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kimjihwan/workspace/0. 서식개선/서식/"/>
    </mc:Choice>
  </mc:AlternateContent>
  <xr:revisionPtr revIDLastSave="0" documentId="13_ncr:1_{653AD410-ACB6-0F49-B71F-0B64C9F2BCE5}" xr6:coauthVersionLast="47" xr6:coauthVersionMax="47" xr10:uidLastSave="{00000000-0000-0000-0000-000000000000}"/>
  <bookViews>
    <workbookView xWindow="0" yWindow="680" windowWidth="30240" windowHeight="18980" activeTab="1" xr2:uid="{00000000-000D-0000-FFFF-FFFF00000000}"/>
  </bookViews>
  <sheets>
    <sheet name="SIF DB" sheetId="10" r:id="rId1"/>
    <sheet name="Dashboard 입력" sheetId="5" r:id="rId2"/>
    <sheet name="기인물 위험정보제공" sheetId="17" r:id="rId3"/>
    <sheet name="Table 1" sheetId="1" r:id="rId4"/>
    <sheet name="Table 2" sheetId="2" r:id="rId5"/>
    <sheet name="Table 4" sheetId="4" r:id="rId6"/>
    <sheet name="작업개요 DB" sheetId="6" r:id="rId7"/>
    <sheet name="위험성평가 DB" sheetId="7" r:id="rId8"/>
    <sheet name="_Helper" sheetId="16" state="hidden" r:id="rId9"/>
  </sheets>
  <externalReferences>
    <externalReference r:id="rId10"/>
  </externalReferences>
  <definedNames>
    <definedName name="_xlnm._FilterDatabase" localSheetId="0" hidden="1">'SIF DB'!$A$1:$R$2575</definedName>
    <definedName name="ChartItem">OFFSET([1]③공정조회!$X$14,0,0,MAX(1,COUNTA([1]③공정조회!$X$14:$X$63)),1)</definedName>
    <definedName name="ChartItemVal">OFFSET([1]③공정조회!$Y$14,0,0,MAX(1,COUNTA([1]③공정조회!$X$14:$X$63)),1)</definedName>
    <definedName name="ChartWork">OFFSET([1]③공정조회!$U$14,0,0,MAX(1,COUNTA([1]③공정조회!$U$14:$U$63)),1)</definedName>
    <definedName name="ChartWorkVal">OFFSET([1]③공정조회!$V$14,0,0,MAX(1,COUNTA([1]③공정조회!$U$14:$U$63)),1)</definedName>
    <definedName name="_xlnm.Print_Area" localSheetId="3">'Table 1'!$A$1:$J$13</definedName>
    <definedName name="_xlnm.Print_Area" localSheetId="4">'Table 2'!$A$1:$H$43</definedName>
    <definedName name="_xlnm.Print_Titles" localSheetId="4">'Table 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6" l="1" a="1"/>
  <c r="M2" i="16" s="1"/>
  <c r="M3" i="16" a="1"/>
  <c r="M3" i="16" s="1"/>
  <c r="M4" i="16" a="1"/>
  <c r="M4" i="16" s="1"/>
  <c r="M5" i="16" a="1"/>
  <c r="M5" i="16" s="1"/>
  <c r="M6" i="16" a="1"/>
  <c r="M6" i="16" s="1"/>
  <c r="M7" i="16" a="1"/>
  <c r="M7" i="16" s="1"/>
  <c r="M8" i="16" a="1"/>
  <c r="M8" i="16" s="1"/>
  <c r="M9" i="16" a="1"/>
  <c r="M9" i="16" s="1"/>
  <c r="M10" i="16" a="1"/>
  <c r="M10" i="16" s="1"/>
  <c r="M11" i="16" a="1"/>
  <c r="M11" i="16" s="1"/>
  <c r="L2" i="16" a="1"/>
  <c r="L2" i="16" s="1"/>
  <c r="L3" i="16" a="1"/>
  <c r="L3" i="16" s="1"/>
  <c r="L4" i="16" a="1"/>
  <c r="L4" i="16" s="1"/>
  <c r="L5" i="16" a="1"/>
  <c r="L5" i="16" s="1"/>
  <c r="L6" i="16" a="1"/>
  <c r="L6" i="16" s="1"/>
  <c r="L7" i="16" a="1"/>
  <c r="L7" i="16" s="1"/>
  <c r="L8" i="16" a="1"/>
  <c r="L8" i="16" s="1"/>
  <c r="L9" i="16" a="1"/>
  <c r="L9" i="16" s="1"/>
  <c r="L10" i="16" a="1"/>
  <c r="L10" i="16" s="1"/>
  <c r="L11" i="16" a="1"/>
  <c r="L11" i="16" s="1"/>
  <c r="K2" i="16" a="1"/>
  <c r="K2" i="16" s="1"/>
  <c r="K3" i="16" a="1"/>
  <c r="K3" i="16" s="1"/>
  <c r="K4" i="16" a="1"/>
  <c r="K4" i="16" s="1"/>
  <c r="K5" i="16" a="1"/>
  <c r="K5" i="16" s="1"/>
  <c r="K6" i="16" a="1"/>
  <c r="K6" i="16" s="1"/>
  <c r="K7" i="16" a="1"/>
  <c r="K7" i="16" s="1"/>
  <c r="K8" i="16" a="1"/>
  <c r="K8" i="16" s="1"/>
  <c r="K9" i="16" a="1"/>
  <c r="K9" i="16" s="1"/>
  <c r="K10" i="16" a="1"/>
  <c r="K10" i="16" s="1"/>
  <c r="K11" i="16" a="1"/>
  <c r="K11" i="16" s="1"/>
  <c r="J2" i="16" a="1"/>
  <c r="J2" i="16" s="1"/>
  <c r="J3" i="16" a="1"/>
  <c r="J3" i="16" s="1"/>
  <c r="J4" i="16" a="1"/>
  <c r="J4" i="16" s="1"/>
  <c r="J5" i="16" a="1"/>
  <c r="J5" i="16" s="1"/>
  <c r="J6" i="16" a="1"/>
  <c r="J6" i="16" s="1"/>
  <c r="J7" i="16" a="1"/>
  <c r="J7" i="16" s="1"/>
  <c r="J8" i="16" a="1"/>
  <c r="J8" i="16" s="1"/>
  <c r="J9" i="16" a="1"/>
  <c r="J9" i="16" s="1"/>
  <c r="J10" i="16" a="1"/>
  <c r="J10" i="16" s="1"/>
  <c r="J11" i="16" a="1"/>
  <c r="J11" i="16" s="1"/>
  <c r="C7" i="17"/>
  <c r="C6" i="17"/>
  <c r="N72" i="17" a="1"/>
  <c r="N72" i="17" s="1"/>
  <c r="N73" i="17" a="1"/>
  <c r="N73" i="17" s="1"/>
  <c r="N74" i="17" a="1"/>
  <c r="N74" i="17" s="1"/>
  <c r="N75" i="17" a="1"/>
  <c r="N75" i="17" s="1"/>
  <c r="N76" i="17" a="1"/>
  <c r="N76" i="17" s="1"/>
  <c r="N77" i="17" a="1"/>
  <c r="N77" i="17" s="1"/>
  <c r="N78" i="17" a="1"/>
  <c r="N78" i="17" s="1"/>
  <c r="N79" i="17" a="1"/>
  <c r="N79" i="17" s="1"/>
  <c r="N80" i="17" a="1"/>
  <c r="N80" i="17" s="1"/>
  <c r="N81" i="17" a="1"/>
  <c r="N81" i="17" s="1"/>
  <c r="L72" i="17" a="1"/>
  <c r="L72" i="17" s="1"/>
  <c r="L73" i="17" a="1"/>
  <c r="L73" i="17" s="1"/>
  <c r="L74" i="17" a="1"/>
  <c r="L74" i="17" s="1"/>
  <c r="L75" i="17" a="1"/>
  <c r="L75" i="17" s="1"/>
  <c r="L76" i="17" a="1"/>
  <c r="L76" i="17" s="1"/>
  <c r="L77" i="17" a="1"/>
  <c r="L77" i="17" s="1"/>
  <c r="L78" i="17" a="1"/>
  <c r="L78" i="17" s="1"/>
  <c r="L79" i="17" a="1"/>
  <c r="L79" i="17" s="1"/>
  <c r="L80" i="17" a="1"/>
  <c r="L80" i="17" s="1"/>
  <c r="L81" i="17" a="1"/>
  <c r="L81" i="17" s="1"/>
  <c r="J72" i="17" a="1"/>
  <c r="J72" i="17" s="1"/>
  <c r="J73" i="17" a="1"/>
  <c r="J73" i="17" s="1"/>
  <c r="J74" i="17" a="1"/>
  <c r="J74" i="17" s="1"/>
  <c r="J75" i="17" a="1"/>
  <c r="J75" i="17" s="1"/>
  <c r="J76" i="17" a="1"/>
  <c r="J76" i="17" s="1"/>
  <c r="J77" i="17" a="1"/>
  <c r="J77" i="17" s="1"/>
  <c r="J78" i="17" a="1"/>
  <c r="J78" i="17" s="1"/>
  <c r="J79" i="17" a="1"/>
  <c r="J79" i="17" s="1"/>
  <c r="J80" i="17" a="1"/>
  <c r="J80" i="17" s="1"/>
  <c r="J81" i="17" a="1"/>
  <c r="J81" i="17" s="1"/>
  <c r="I72" i="17" a="1"/>
  <c r="I72" i="17" s="1"/>
  <c r="I73" i="17" a="1"/>
  <c r="I73" i="17" s="1"/>
  <c r="I74" i="17" a="1"/>
  <c r="I74" i="17" s="1"/>
  <c r="I75" i="17" a="1"/>
  <c r="I75" i="17" s="1"/>
  <c r="I76" i="17" a="1"/>
  <c r="I76" i="17" s="1"/>
  <c r="I77" i="17" a="1"/>
  <c r="I77" i="17" s="1"/>
  <c r="I78" i="17" a="1"/>
  <c r="I78" i="17" s="1"/>
  <c r="I79" i="17" a="1"/>
  <c r="I79" i="17" s="1"/>
  <c r="I80" i="17" a="1"/>
  <c r="I80" i="17" s="1"/>
  <c r="I81" i="17" a="1"/>
  <c r="I81" i="17" s="1"/>
  <c r="AB12" i="17" a="1"/>
  <c r="AB12" i="17" s="1"/>
  <c r="AB13" i="17" a="1"/>
  <c r="AB13" i="17" s="1"/>
  <c r="AB14" i="17" a="1"/>
  <c r="AB14" i="17" s="1"/>
  <c r="AB15" i="17" a="1"/>
  <c r="AB15" i="17" s="1"/>
  <c r="AB16" i="17" a="1"/>
  <c r="AB16" i="17" s="1"/>
  <c r="AB17" i="17" a="1"/>
  <c r="AB17" i="17" s="1"/>
  <c r="AB18" i="17" a="1"/>
  <c r="AB18" i="17" s="1"/>
  <c r="AB19" i="17" a="1"/>
  <c r="AB19" i="17" s="1"/>
  <c r="AB20" i="17" a="1"/>
  <c r="AB20" i="17" s="1"/>
  <c r="AB21" i="17" a="1"/>
  <c r="AB21"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AH53" i="5"/>
  <c r="AH52" i="5"/>
  <c r="AH51" i="5"/>
  <c r="AP61" i="5"/>
  <c r="AP62" i="5"/>
  <c r="AP63" i="5"/>
  <c r="AP64" i="5"/>
  <c r="AM58" i="5"/>
  <c r="AL8" i="5" a="1"/>
  <c r="AL8" i="5" s="1"/>
  <c r="AL9" i="5" a="1"/>
  <c r="AL9" i="5" s="1"/>
  <c r="AL10" i="5" a="1"/>
  <c r="AL10" i="5" s="1"/>
  <c r="AL11" i="5" a="1"/>
  <c r="AL11" i="5" s="1"/>
  <c r="AL12" i="5" a="1"/>
  <c r="AL12" i="5" s="1"/>
  <c r="AL13" i="5" a="1"/>
  <c r="AL13" i="5" s="1"/>
  <c r="AL14" i="5" a="1"/>
  <c r="AL14" i="5" s="1"/>
  <c r="AL15" i="5" a="1"/>
  <c r="AL15" i="5" s="1"/>
  <c r="AL16" i="5" a="1"/>
  <c r="AL16" i="5" s="1"/>
  <c r="AL17" i="5" a="1"/>
  <c r="AL17" i="5" s="1"/>
  <c r="AL18" i="5" a="1"/>
  <c r="AL18" i="5" s="1"/>
  <c r="AL19" i="5" a="1"/>
  <c r="AL19" i="5" s="1"/>
  <c r="AL20" i="5" a="1"/>
  <c r="AL20" i="5" s="1"/>
  <c r="AL21" i="5" a="1"/>
  <c r="AL21" i="5" s="1"/>
  <c r="AL22" i="5" a="1"/>
  <c r="AL22" i="5" s="1"/>
  <c r="AL23" i="5" a="1"/>
  <c r="AL23" i="5" s="1"/>
  <c r="AL24" i="5" a="1"/>
  <c r="AL24" i="5" s="1"/>
  <c r="AL25" i="5" a="1"/>
  <c r="AL25" i="5" s="1"/>
  <c r="AL26" i="5" a="1"/>
  <c r="AL26" i="5" s="1"/>
  <c r="AL27" i="5" a="1"/>
  <c r="AL27" i="5" s="1"/>
  <c r="AL28" i="5" a="1"/>
  <c r="AL28" i="5" s="1"/>
  <c r="AL29" i="5" a="1"/>
  <c r="AL29" i="5" s="1"/>
  <c r="AL30" i="5" a="1"/>
  <c r="AL30" i="5" s="1"/>
  <c r="AL31" i="5" a="1"/>
  <c r="AL31" i="5" s="1"/>
  <c r="AL32" i="5" a="1"/>
  <c r="AL32" i="5" s="1"/>
  <c r="AL33" i="5" a="1"/>
  <c r="AL33" i="5" s="1"/>
  <c r="AL34" i="5" a="1"/>
  <c r="AL34" i="5" s="1"/>
  <c r="AL35" i="5" a="1"/>
  <c r="AL35" i="5" s="1"/>
  <c r="AL36" i="5" a="1"/>
  <c r="AL36" i="5" s="1"/>
  <c r="AL37" i="5" a="1"/>
  <c r="AL37" i="5" s="1"/>
  <c r="AL38" i="5" a="1"/>
  <c r="AL38" i="5" s="1"/>
  <c r="AL39" i="5" a="1"/>
  <c r="AL39" i="5" s="1"/>
  <c r="AL40" i="5" a="1"/>
  <c r="AL40" i="5" s="1"/>
  <c r="AL41" i="5" a="1"/>
  <c r="AL41" i="5" s="1"/>
  <c r="AL42" i="5" a="1"/>
  <c r="AL42" i="5" s="1"/>
  <c r="AL43" i="5" a="1"/>
  <c r="AL43" i="5" s="1"/>
  <c r="AL44" i="5" a="1"/>
  <c r="AL44" i="5" s="1"/>
  <c r="AL45" i="5" a="1"/>
  <c r="AL45" i="5" s="1"/>
  <c r="AL46" i="5" a="1"/>
  <c r="AL46" i="5" s="1"/>
  <c r="AL47" i="5" a="1"/>
  <c r="AL47" i="5" s="1"/>
  <c r="AL48" i="5" a="1"/>
  <c r="AL48" i="5" s="1"/>
  <c r="AL49" i="5" a="1"/>
  <c r="AL49" i="5" s="1"/>
  <c r="AL50" i="5" a="1"/>
  <c r="AL50" i="5" s="1"/>
  <c r="AL51" i="5" a="1"/>
  <c r="AL51" i="5" s="1"/>
  <c r="AL52" i="5" a="1"/>
  <c r="AL52" i="5" s="1"/>
  <c r="AL53" i="5" a="1"/>
  <c r="AL53" i="5" s="1"/>
  <c r="AL54" i="5" a="1"/>
  <c r="AL54" i="5" s="1"/>
  <c r="AL55" i="5" a="1"/>
  <c r="AL55" i="5" s="1"/>
  <c r="AL56" i="5" a="1"/>
  <c r="AL56" i="5" s="1"/>
  <c r="AL57" i="5" a="1"/>
  <c r="AL57" i="5" s="1"/>
  <c r="H9" i="1"/>
  <c r="P10" i="5"/>
  <c r="E5" i="1" s="1"/>
  <c r="P8" i="5"/>
  <c r="P9" i="5"/>
  <c r="E4" i="1" s="1"/>
  <c r="Z8" i="5" a="1"/>
  <c r="L13" i="5" a="1"/>
  <c r="L13" i="5" s="1"/>
  <c r="J13" i="5" s="1"/>
  <c r="L12" i="5" a="1"/>
  <c r="L12" i="5" s="1"/>
  <c r="J12" i="5" s="1"/>
  <c r="L14" i="5" a="1"/>
  <c r="L14" i="5" s="1"/>
  <c r="J14" i="5" s="1"/>
  <c r="L11" i="5" a="1"/>
  <c r="L11" i="5" s="1"/>
  <c r="J11" i="5" s="1"/>
  <c r="J8" i="5"/>
  <c r="J9" i="5"/>
  <c r="J10" i="5"/>
  <c r="J15" i="5"/>
  <c r="J16" i="5"/>
  <c r="J17" i="5"/>
  <c r="R14" i="5"/>
  <c r="E12" i="1" s="1"/>
  <c r="R11" i="5"/>
  <c r="H7" i="1" s="1"/>
  <c r="R10" i="5"/>
  <c r="H6" i="1" s="1"/>
  <c r="R12" i="5"/>
  <c r="E11" i="1" s="1"/>
  <c r="R13" i="5" a="1"/>
  <c r="R13" i="5" s="1"/>
  <c r="E13" i="1" s="1"/>
  <c r="R9" i="5"/>
  <c r="H5" i="1" s="1"/>
  <c r="R8" i="5"/>
  <c r="H4" i="1" s="1"/>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12" i="17"/>
  <c r="H3" i="16" a="1"/>
  <c r="H3" i="16" s="1"/>
  <c r="H4" i="16" a="1"/>
  <c r="H4" i="16" s="1"/>
  <c r="H5" i="16" a="1"/>
  <c r="H5" i="16" s="1"/>
  <c r="H6" i="16" a="1"/>
  <c r="H6" i="16" s="1"/>
  <c r="H7" i="16" a="1"/>
  <c r="H7" i="16" s="1"/>
  <c r="H8" i="16" a="1"/>
  <c r="H8" i="16"/>
  <c r="H9" i="16" a="1"/>
  <c r="H9" i="16"/>
  <c r="H10" i="16" a="1"/>
  <c r="H10" i="16"/>
  <c r="H11" i="16" a="1"/>
  <c r="H11" i="16"/>
  <c r="H13" i="16" a="1"/>
  <c r="H13" i="16"/>
  <c r="H14" i="16" a="1"/>
  <c r="H14" i="16"/>
  <c r="H15" i="16" a="1"/>
  <c r="H15" i="16"/>
  <c r="H16" i="16" a="1"/>
  <c r="H16" i="16"/>
  <c r="H17" i="16" a="1"/>
  <c r="H17" i="16"/>
  <c r="H18" i="16" a="1"/>
  <c r="H18" i="16"/>
  <c r="H19" i="16" a="1"/>
  <c r="H19" i="16"/>
  <c r="H20" i="16" a="1"/>
  <c r="H20" i="16"/>
  <c r="H21" i="16" a="1"/>
  <c r="H21" i="16"/>
  <c r="H23" i="16" a="1"/>
  <c r="H23" i="16"/>
  <c r="H24" i="16" a="1"/>
  <c r="H24" i="16"/>
  <c r="H25" i="16" a="1"/>
  <c r="H25" i="16"/>
  <c r="H26" i="16" a="1"/>
  <c r="H26" i="16"/>
  <c r="H27" i="16" a="1"/>
  <c r="H27" i="16"/>
  <c r="H28" i="16" a="1"/>
  <c r="H28" i="16"/>
  <c r="H29" i="16" a="1"/>
  <c r="H29" i="16"/>
  <c r="H30" i="16" a="1"/>
  <c r="H30" i="16"/>
  <c r="H31" i="16" a="1"/>
  <c r="H31" i="16"/>
  <c r="H38" i="16" a="1"/>
  <c r="H38" i="16"/>
  <c r="H39" i="16" a="1"/>
  <c r="H39" i="16"/>
  <c r="H40" i="16" a="1"/>
  <c r="H40" i="16"/>
  <c r="H41" i="16" a="1"/>
  <c r="H41" i="16"/>
  <c r="H49" i="16" a="1"/>
  <c r="H49" i="16"/>
  <c r="H50" i="16" a="1"/>
  <c r="H50" i="16"/>
  <c r="H51" i="16" a="1"/>
  <c r="H51" i="16"/>
  <c r="H58" i="16" a="1"/>
  <c r="H58" i="16"/>
  <c r="H59" i="16" a="1"/>
  <c r="H59" i="16"/>
  <c r="H60" i="16" a="1"/>
  <c r="H60" i="16"/>
  <c r="H61" i="16" a="1"/>
  <c r="H61" i="16"/>
  <c r="H69" i="16" a="1"/>
  <c r="H69" i="16"/>
  <c r="H70" i="16" a="1"/>
  <c r="H70" i="16"/>
  <c r="H71" i="16" a="1"/>
  <c r="H71" i="16"/>
  <c r="H79" i="16" a="1"/>
  <c r="H79" i="16"/>
  <c r="H80" i="16" a="1"/>
  <c r="H80" i="16"/>
  <c r="H81" i="16" a="1"/>
  <c r="H81" i="16"/>
  <c r="H88" i="16" a="1"/>
  <c r="H88" i="16"/>
  <c r="H89" i="16" a="1"/>
  <c r="H89" i="16"/>
  <c r="H90" i="16" a="1"/>
  <c r="H90" i="16"/>
  <c r="H91" i="16" a="1"/>
  <c r="H91" i="16"/>
  <c r="H97" i="16" a="1"/>
  <c r="H97" i="16"/>
  <c r="H98" i="16" a="1"/>
  <c r="H98" i="16"/>
  <c r="H99" i="16" a="1"/>
  <c r="H99" i="16"/>
  <c r="H100" i="16" a="1"/>
  <c r="H100" i="16"/>
  <c r="H101" i="16" a="1"/>
  <c r="H101" i="16"/>
  <c r="H104" i="16" a="1"/>
  <c r="H104" i="16"/>
  <c r="H105" i="16" a="1"/>
  <c r="H105" i="16"/>
  <c r="H106" i="16" a="1"/>
  <c r="H106" i="16"/>
  <c r="H107" i="16" a="1"/>
  <c r="H107" i="16"/>
  <c r="H108" i="16" a="1"/>
  <c r="H108" i="16"/>
  <c r="H109" i="16" a="1"/>
  <c r="H109" i="16"/>
  <c r="H110" i="16" a="1"/>
  <c r="H110" i="16"/>
  <c r="H111" i="16" a="1"/>
  <c r="H111" i="16"/>
  <c r="H116" i="16" a="1"/>
  <c r="H116" i="16"/>
  <c r="H117" i="16" a="1"/>
  <c r="H117" i="16"/>
  <c r="H118" i="16" a="1"/>
  <c r="H118" i="16"/>
  <c r="H119" i="16" a="1"/>
  <c r="H119" i="16"/>
  <c r="H120" i="16" a="1"/>
  <c r="H120" i="16"/>
  <c r="H121" i="16" a="1"/>
  <c r="H121" i="16"/>
  <c r="H129" i="16" a="1"/>
  <c r="H129" i="16"/>
  <c r="H130" i="16" a="1"/>
  <c r="H130" i="16"/>
  <c r="H131" i="16" a="1"/>
  <c r="H131" i="16"/>
  <c r="H135" i="16" a="1"/>
  <c r="H135" i="16" s="1"/>
  <c r="H136" i="16" a="1"/>
  <c r="H136" i="16" s="1"/>
  <c r="H137" i="16" a="1"/>
  <c r="H137" i="16" s="1"/>
  <c r="H138" i="16" a="1"/>
  <c r="H138" i="16"/>
  <c r="H139" i="16" a="1"/>
  <c r="H139" i="16"/>
  <c r="H140" i="16" a="1"/>
  <c r="H140" i="16"/>
  <c r="H141" i="16" a="1"/>
  <c r="H141" i="16"/>
  <c r="H142" i="16" a="1"/>
  <c r="H142" i="16" s="1"/>
  <c r="H143" i="16" a="1"/>
  <c r="H143" i="16" s="1"/>
  <c r="H144" i="16" a="1"/>
  <c r="H144" i="16"/>
  <c r="H145" i="16" a="1"/>
  <c r="H145" i="16"/>
  <c r="H146" i="16" a="1"/>
  <c r="H146" i="16"/>
  <c r="H147" i="16" a="1"/>
  <c r="H147" i="16"/>
  <c r="H148" i="16" a="1"/>
  <c r="H148" i="16"/>
  <c r="H149" i="16" a="1"/>
  <c r="H149" i="16"/>
  <c r="H150" i="16" a="1"/>
  <c r="H150" i="16"/>
  <c r="H151" i="16" a="1"/>
  <c r="H151" i="16"/>
  <c r="H152" i="16" a="1"/>
  <c r="H152" i="16" s="1"/>
  <c r="H153" i="16" a="1"/>
  <c r="H153" i="16" s="1"/>
  <c r="H154" i="16" a="1"/>
  <c r="H154" i="16" s="1"/>
  <c r="H155" i="16" a="1"/>
  <c r="H155" i="16"/>
  <c r="H156" i="16" a="1"/>
  <c r="H156" i="16"/>
  <c r="H157" i="16" a="1"/>
  <c r="H157" i="16"/>
  <c r="H158" i="16" a="1"/>
  <c r="H158" i="16"/>
  <c r="H159" i="16" a="1"/>
  <c r="H159" i="16"/>
  <c r="H160" i="16" a="1"/>
  <c r="H160" i="16"/>
  <c r="H161" i="16" a="1"/>
  <c r="H161" i="16"/>
  <c r="H162" i="16" a="1"/>
  <c r="H162" i="16" s="1"/>
  <c r="H163" i="16" a="1"/>
  <c r="H163" i="16" s="1"/>
  <c r="H164" i="16" a="1"/>
  <c r="H164" i="16" s="1"/>
  <c r="H165" i="16" a="1"/>
  <c r="H165" i="16" s="1"/>
  <c r="H166" i="16" a="1"/>
  <c r="H166" i="16" s="1"/>
  <c r="H167" i="16" a="1"/>
  <c r="H167" i="16" s="1"/>
  <c r="H168" i="16" a="1"/>
  <c r="H168" i="16"/>
  <c r="H169" i="16" a="1"/>
  <c r="H169" i="16"/>
  <c r="H170" i="16" a="1"/>
  <c r="H170" i="16"/>
  <c r="H171" i="16" a="1"/>
  <c r="H171" i="16"/>
  <c r="H172" i="16" a="1"/>
  <c r="H172" i="16" s="1"/>
  <c r="H173" i="16" a="1"/>
  <c r="H173" i="16" s="1"/>
  <c r="H174" i="16" a="1"/>
  <c r="H174" i="16" s="1"/>
  <c r="H175" i="16" a="1"/>
  <c r="H175" i="16" s="1"/>
  <c r="H176" i="16" a="1"/>
  <c r="H176" i="16" s="1"/>
  <c r="H177" i="16" a="1"/>
  <c r="H177" i="16" s="1"/>
  <c r="H178" i="16" a="1"/>
  <c r="H178" i="16" s="1"/>
  <c r="H179" i="16" a="1"/>
  <c r="H179" i="16" s="1"/>
  <c r="H180" i="16" a="1"/>
  <c r="H180" i="16" s="1"/>
  <c r="H181" i="16" a="1"/>
  <c r="H181" i="16"/>
  <c r="H182" i="16" a="1"/>
  <c r="H182" i="16" s="1"/>
  <c r="H183" i="16" a="1"/>
  <c r="H183" i="16" s="1"/>
  <c r="H184" i="16" a="1"/>
  <c r="H184" i="16" s="1"/>
  <c r="H185" i="16" a="1"/>
  <c r="H185" i="16" s="1"/>
  <c r="H186" i="16" a="1"/>
  <c r="H186" i="16" s="1"/>
  <c r="H187" i="16" a="1"/>
  <c r="H187" i="16" s="1"/>
  <c r="H188" i="16" a="1"/>
  <c r="H188" i="16" s="1"/>
  <c r="H189" i="16" a="1"/>
  <c r="H189" i="16" s="1"/>
  <c r="H190" i="16" a="1"/>
  <c r="H190" i="16" s="1"/>
  <c r="H191" i="16" a="1"/>
  <c r="H191" i="16" s="1"/>
  <c r="H192" i="16" a="1"/>
  <c r="H192" i="16" s="1"/>
  <c r="H193" i="16" a="1"/>
  <c r="H193" i="16" s="1"/>
  <c r="H194" i="16" a="1"/>
  <c r="H194" i="16" s="1"/>
  <c r="H195" i="16" a="1"/>
  <c r="H195" i="16" s="1"/>
  <c r="H196" i="16" a="1"/>
  <c r="H196" i="16" s="1"/>
  <c r="H197" i="16" a="1"/>
  <c r="H197" i="16" s="1"/>
  <c r="H198" i="16" a="1"/>
  <c r="H198" i="16" s="1"/>
  <c r="H199" i="16" a="1"/>
  <c r="H199" i="16" s="1"/>
  <c r="H200" i="16" a="1"/>
  <c r="H200" i="16"/>
  <c r="H201" i="16" a="1"/>
  <c r="H201" i="16"/>
  <c r="H202" i="16" a="1"/>
  <c r="H202" i="16" s="1"/>
  <c r="H203" i="16" a="1"/>
  <c r="H203" i="16" s="1"/>
  <c r="H204" i="16" a="1"/>
  <c r="H204" i="16" s="1"/>
  <c r="H205" i="16" a="1"/>
  <c r="H205" i="16" s="1"/>
  <c r="H206" i="16" a="1"/>
  <c r="H206" i="16"/>
  <c r="H207" i="16" a="1"/>
  <c r="H207" i="16"/>
  <c r="H208" i="16" a="1"/>
  <c r="H208" i="16"/>
  <c r="H209" i="16" a="1"/>
  <c r="H209" i="16"/>
  <c r="H210" i="16" a="1"/>
  <c r="H210" i="16"/>
  <c r="H211" i="16" a="1"/>
  <c r="H211" i="16"/>
  <c r="H212" i="16" a="1"/>
  <c r="H212" i="16" s="1"/>
  <c r="H213" i="16" a="1"/>
  <c r="H213" i="16" s="1"/>
  <c r="H214" i="16" a="1"/>
  <c r="H214" i="16" s="1"/>
  <c r="H215" i="16" a="1"/>
  <c r="H215" i="16" s="1"/>
  <c r="H216" i="16" a="1"/>
  <c r="H216" i="16" s="1"/>
  <c r="H217" i="16" a="1"/>
  <c r="H217" i="16" s="1"/>
  <c r="H218" i="16" a="1"/>
  <c r="H218" i="16"/>
  <c r="H219" i="16" a="1"/>
  <c r="H219" i="16"/>
  <c r="H220" i="16" a="1"/>
  <c r="H220" i="16"/>
  <c r="H221" i="16" a="1"/>
  <c r="H221" i="16"/>
  <c r="H222" i="16" a="1"/>
  <c r="H222" i="16" s="1"/>
  <c r="H234" i="16" a="1"/>
  <c r="H234" i="16" s="1"/>
  <c r="H235" i="16" a="1"/>
  <c r="H235" i="16" s="1"/>
  <c r="H236" i="16" a="1"/>
  <c r="H236" i="16" s="1"/>
  <c r="H237" i="16" a="1"/>
  <c r="H237" i="16" s="1"/>
  <c r="H238" i="16" a="1"/>
  <c r="H238" i="16" s="1"/>
  <c r="H239" i="16" a="1"/>
  <c r="H239" i="16" s="1"/>
  <c r="H240" i="16" a="1"/>
  <c r="H240" i="16" s="1"/>
  <c r="H241" i="16" a="1"/>
  <c r="H241" i="16" s="1"/>
  <c r="H249" i="16" a="1"/>
  <c r="H249" i="16" s="1"/>
  <c r="H250" i="16" a="1"/>
  <c r="H250" i="16" s="1"/>
  <c r="H251" i="16" a="1"/>
  <c r="H251" i="16" s="1"/>
  <c r="H253" i="16" a="1"/>
  <c r="H253" i="16" s="1"/>
  <c r="H254" i="16" a="1"/>
  <c r="H254" i="16" s="1"/>
  <c r="H255" i="16" a="1"/>
  <c r="H255" i="16" s="1"/>
  <c r="H256" i="16" a="1"/>
  <c r="H256" i="16" s="1"/>
  <c r="H257" i="16" a="1"/>
  <c r="H257" i="16" s="1"/>
  <c r="H258" i="16" a="1"/>
  <c r="H258" i="16" s="1"/>
  <c r="H259" i="16" a="1"/>
  <c r="H259" i="16" s="1"/>
  <c r="H260" i="16" a="1"/>
  <c r="H260" i="16"/>
  <c r="H261" i="16" a="1"/>
  <c r="H261" i="16"/>
  <c r="H266" i="16" a="1"/>
  <c r="H266" i="16"/>
  <c r="H267" i="16" a="1"/>
  <c r="H267" i="16"/>
  <c r="H268" i="16" a="1"/>
  <c r="H268" i="16"/>
  <c r="H269" i="16" a="1"/>
  <c r="H269" i="16"/>
  <c r="H270" i="16" a="1"/>
  <c r="H270" i="16"/>
  <c r="H271" i="16" a="1"/>
  <c r="H271" i="16"/>
  <c r="H276" i="16" a="1"/>
  <c r="H276" i="16"/>
  <c r="H277" i="16" a="1"/>
  <c r="H277" i="16"/>
  <c r="H278" i="16" a="1"/>
  <c r="H278" i="16"/>
  <c r="H279" i="16" a="1"/>
  <c r="H279" i="16"/>
  <c r="H280" i="16" a="1"/>
  <c r="H280" i="16"/>
  <c r="H281" i="16" a="1"/>
  <c r="H281" i="16"/>
  <c r="H283" i="16" a="1"/>
  <c r="H283" i="16"/>
  <c r="H284" i="16" a="1"/>
  <c r="H284" i="16"/>
  <c r="H285" i="16" a="1"/>
  <c r="H285" i="16"/>
  <c r="H286" i="16" a="1"/>
  <c r="H286" i="16"/>
  <c r="H287" i="16" a="1"/>
  <c r="H287" i="16"/>
  <c r="H288" i="16" a="1"/>
  <c r="H288" i="16"/>
  <c r="H289" i="16" a="1"/>
  <c r="H289" i="16"/>
  <c r="H290" i="16" a="1"/>
  <c r="H290" i="16"/>
  <c r="H291" i="16" a="1"/>
  <c r="H291" i="16"/>
  <c r="H295" i="16" a="1"/>
  <c r="H295" i="16"/>
  <c r="H296" i="16" a="1"/>
  <c r="H296" i="16"/>
  <c r="H297" i="16" a="1"/>
  <c r="H297" i="16"/>
  <c r="H298" i="16" a="1"/>
  <c r="H298" i="16"/>
  <c r="H299" i="16" a="1"/>
  <c r="H299" i="16"/>
  <c r="H300" i="16" a="1"/>
  <c r="H300" i="16"/>
  <c r="H301" i="16" a="1"/>
  <c r="H301" i="16"/>
  <c r="H303" i="16" a="1"/>
  <c r="H303" i="16"/>
  <c r="H304" i="16" a="1"/>
  <c r="H304" i="16"/>
  <c r="H305" i="16" a="1"/>
  <c r="H305" i="16"/>
  <c r="H306" i="16" a="1"/>
  <c r="H306" i="16"/>
  <c r="H307" i="16" a="1"/>
  <c r="H307" i="16"/>
  <c r="H308" i="16" a="1"/>
  <c r="H308" i="16" s="1"/>
  <c r="H309" i="16" a="1"/>
  <c r="H309" i="16"/>
  <c r="H310" i="16" a="1"/>
  <c r="H310" i="16" s="1"/>
  <c r="H311" i="16" a="1"/>
  <c r="H311" i="16" s="1"/>
  <c r="H317" i="16" a="1"/>
  <c r="H317" i="16"/>
  <c r="H318" i="16" a="1"/>
  <c r="H318" i="16" s="1"/>
  <c r="H319" i="16" a="1"/>
  <c r="H319" i="16" s="1"/>
  <c r="H320" i="16" a="1"/>
  <c r="H320" i="16" s="1"/>
  <c r="H321" i="16" a="1"/>
  <c r="H321" i="16" s="1"/>
  <c r="H323" i="16" a="1"/>
  <c r="H323" i="16"/>
  <c r="H324" i="16" a="1"/>
  <c r="H324" i="16"/>
  <c r="H325" i="16" a="1"/>
  <c r="H325" i="16"/>
  <c r="H326" i="16" a="1"/>
  <c r="H326" i="16"/>
  <c r="H327" i="16" a="1"/>
  <c r="H327" i="16"/>
  <c r="H328" i="16" a="1"/>
  <c r="H328" i="16"/>
  <c r="H329" i="16" a="1"/>
  <c r="H329" i="16"/>
  <c r="H330" i="16" a="1"/>
  <c r="H330" i="16"/>
  <c r="H331" i="16" a="1"/>
  <c r="H331" i="16"/>
  <c r="H338" i="16" a="1"/>
  <c r="H338" i="16"/>
  <c r="H339" i="16" a="1"/>
  <c r="H339" i="16"/>
  <c r="H340" i="16" a="1"/>
  <c r="H340" i="16"/>
  <c r="H341" i="16" a="1"/>
  <c r="H341" i="16"/>
  <c r="H348" i="16" a="1"/>
  <c r="H348" i="16"/>
  <c r="H349" i="16" a="1"/>
  <c r="H349" i="16"/>
  <c r="H350" i="16" a="1"/>
  <c r="H350" i="16"/>
  <c r="H351" i="16" a="1"/>
  <c r="H351" i="16"/>
  <c r="H353" i="16" a="1"/>
  <c r="H353" i="16"/>
  <c r="H354" i="16" a="1"/>
  <c r="H354" i="16"/>
  <c r="H355" i="16" a="1"/>
  <c r="H355" i="16"/>
  <c r="H356" i="16" a="1"/>
  <c r="H356" i="16"/>
  <c r="H357" i="16" a="1"/>
  <c r="H357" i="16"/>
  <c r="H358" i="16" a="1"/>
  <c r="H358" i="16"/>
  <c r="H359" i="16" a="1"/>
  <c r="H359" i="16"/>
  <c r="H360" i="16" a="1"/>
  <c r="H360" i="16"/>
  <c r="H361" i="16" a="1"/>
  <c r="H361" i="16"/>
  <c r="H368" i="16" a="1"/>
  <c r="H368" i="16"/>
  <c r="H369" i="16" a="1"/>
  <c r="H369" i="16"/>
  <c r="H370" i="16" a="1"/>
  <c r="H370" i="16"/>
  <c r="H371" i="16" a="1"/>
  <c r="H371" i="16"/>
  <c r="H376" i="16" a="1"/>
  <c r="H376" i="16"/>
  <c r="H377" i="16" a="1"/>
  <c r="H377" i="16"/>
  <c r="H378" i="16" a="1"/>
  <c r="H378" i="16"/>
  <c r="H379" i="16" a="1"/>
  <c r="H379" i="16"/>
  <c r="H380" i="16" a="1"/>
  <c r="H380" i="16"/>
  <c r="H381" i="16" a="1"/>
  <c r="H381" i="16"/>
  <c r="H384" i="16" a="1"/>
  <c r="H384" i="16"/>
  <c r="H385" i="16" a="1"/>
  <c r="H385" i="16"/>
  <c r="H386" i="16" a="1"/>
  <c r="H386" i="16"/>
  <c r="H387" i="16" a="1"/>
  <c r="H387" i="16"/>
  <c r="H388" i="16" a="1"/>
  <c r="H388" i="16"/>
  <c r="H389" i="16" a="1"/>
  <c r="H389" i="16"/>
  <c r="H390" i="16" a="1"/>
  <c r="H390" i="16"/>
  <c r="H391" i="16" a="1"/>
  <c r="H391" i="16"/>
  <c r="H401" i="16" a="1"/>
  <c r="H401" i="16"/>
  <c r="H404" i="16" a="1"/>
  <c r="H404" i="16"/>
  <c r="H405" i="16" a="1"/>
  <c r="H405" i="16"/>
  <c r="H406" i="16" a="1"/>
  <c r="H406" i="16"/>
  <c r="H407" i="16" a="1"/>
  <c r="H407" i="16"/>
  <c r="H408" i="16" a="1"/>
  <c r="H408" i="16"/>
  <c r="H409" i="16" a="1"/>
  <c r="H409" i="16"/>
  <c r="H410" i="16" a="1"/>
  <c r="H410" i="16"/>
  <c r="H411" i="16" a="1"/>
  <c r="H411" i="16"/>
  <c r="H416" i="16" a="1"/>
  <c r="H416" i="16"/>
  <c r="H417" i="16" a="1"/>
  <c r="H417" i="16"/>
  <c r="H418" i="16" a="1"/>
  <c r="H418" i="16"/>
  <c r="H419" i="16" a="1"/>
  <c r="H419" i="16"/>
  <c r="H420" i="16" a="1"/>
  <c r="H420" i="16"/>
  <c r="H421" i="16" a="1"/>
  <c r="H421" i="16"/>
  <c r="H423" i="16" a="1"/>
  <c r="H423" i="16"/>
  <c r="H424" i="16" a="1"/>
  <c r="H424" i="16"/>
  <c r="H425" i="16" a="1"/>
  <c r="H425" i="16"/>
  <c r="H426" i="16" a="1"/>
  <c r="H426" i="16"/>
  <c r="H427" i="16" a="1"/>
  <c r="H427" i="16"/>
  <c r="H428" i="16" a="1"/>
  <c r="H428" i="16"/>
  <c r="H429" i="16" a="1"/>
  <c r="H429" i="16"/>
  <c r="H430" i="16" a="1"/>
  <c r="H430" i="16"/>
  <c r="H431" i="16" a="1"/>
  <c r="H431" i="16"/>
  <c r="H433" i="16" a="1"/>
  <c r="H433" i="16"/>
  <c r="H434" i="16" a="1"/>
  <c r="H434" i="16"/>
  <c r="H435" i="16" a="1"/>
  <c r="H435" i="16"/>
  <c r="H436" i="16" a="1"/>
  <c r="H436" i="16"/>
  <c r="H437" i="16" a="1"/>
  <c r="H437" i="16"/>
  <c r="H438" i="16" a="1"/>
  <c r="H438" i="16"/>
  <c r="H439" i="16" a="1"/>
  <c r="H439" i="16"/>
  <c r="H440" i="16" a="1"/>
  <c r="H440" i="16"/>
  <c r="H441" i="16" a="1"/>
  <c r="H441" i="16"/>
  <c r="H447" i="16" a="1"/>
  <c r="H447" i="16"/>
  <c r="H448" i="16" a="1"/>
  <c r="H448" i="16"/>
  <c r="H449" i="16" a="1"/>
  <c r="H449" i="16"/>
  <c r="H450" i="16" a="1"/>
  <c r="H450" i="16"/>
  <c r="H451" i="16" a="1"/>
  <c r="H451" i="16"/>
  <c r="H456" i="16" a="1"/>
  <c r="H456" i="16"/>
  <c r="H457" i="16" a="1"/>
  <c r="H457" i="16"/>
  <c r="H458" i="16" a="1"/>
  <c r="H458" i="16"/>
  <c r="H459" i="16" a="1"/>
  <c r="H459" i="16"/>
  <c r="H460" i="16" a="1"/>
  <c r="H460" i="16"/>
  <c r="H461" i="16" a="1"/>
  <c r="H461" i="16"/>
  <c r="H466" i="16" a="1"/>
  <c r="H466" i="16"/>
  <c r="H467" i="16" a="1"/>
  <c r="H467" i="16"/>
  <c r="H468" i="16" a="1"/>
  <c r="H468" i="16"/>
  <c r="H469" i="16" a="1"/>
  <c r="H469" i="16"/>
  <c r="H470" i="16" a="1"/>
  <c r="H470" i="16"/>
  <c r="H471" i="16" a="1"/>
  <c r="H471" i="16"/>
  <c r="H479" i="16" a="1"/>
  <c r="H479" i="16"/>
  <c r="H480" i="16" a="1"/>
  <c r="H480" i="16"/>
  <c r="H481" i="16" a="1"/>
  <c r="H481" i="16"/>
  <c r="H483" i="16" a="1"/>
  <c r="H483" i="16"/>
  <c r="H484" i="16" a="1"/>
  <c r="H484" i="16"/>
  <c r="H485" i="16" a="1"/>
  <c r="H485" i="16"/>
  <c r="H486" i="16" a="1"/>
  <c r="H486" i="16"/>
  <c r="H487" i="16" a="1"/>
  <c r="H487" i="16"/>
  <c r="H488" i="16" a="1"/>
  <c r="H488" i="16"/>
  <c r="H489" i="16" a="1"/>
  <c r="H489" i="16"/>
  <c r="H490" i="16" a="1"/>
  <c r="H490" i="16"/>
  <c r="H491" i="16" a="1"/>
  <c r="H491" i="16"/>
  <c r="H495" i="16" a="1"/>
  <c r="H495" i="16"/>
  <c r="H496" i="16" a="1"/>
  <c r="H496" i="16"/>
  <c r="H497" i="16" a="1"/>
  <c r="H497" i="16"/>
  <c r="H498" i="16" a="1"/>
  <c r="H498" i="16"/>
  <c r="H499" i="16" a="1"/>
  <c r="H499" i="16"/>
  <c r="H500" i="16" a="1"/>
  <c r="H500" i="16"/>
  <c r="H501" i="16" a="1"/>
  <c r="H501" i="16"/>
  <c r="H505" i="16" a="1"/>
  <c r="H505" i="16"/>
  <c r="H506" i="16" a="1"/>
  <c r="H506" i="16"/>
  <c r="H507" i="16" a="1"/>
  <c r="H507" i="16"/>
  <c r="H508" i="16" a="1"/>
  <c r="H508" i="16"/>
  <c r="H509" i="16" a="1"/>
  <c r="H509" i="16"/>
  <c r="H510" i="16" a="1"/>
  <c r="H510" i="16"/>
  <c r="H511" i="16" a="1"/>
  <c r="H511" i="16"/>
  <c r="H515" i="16" a="1"/>
  <c r="H515" i="16"/>
  <c r="H516" i="16" a="1"/>
  <c r="H516" i="16"/>
  <c r="H517" i="16" a="1"/>
  <c r="H517" i="16"/>
  <c r="H518" i="16" a="1"/>
  <c r="H518" i="16"/>
  <c r="H519" i="16" a="1"/>
  <c r="H519" i="16"/>
  <c r="H520" i="16" a="1"/>
  <c r="H520" i="16"/>
  <c r="H521" i="16" a="1"/>
  <c r="H521" i="16"/>
  <c r="H526" i="16" a="1"/>
  <c r="H526" i="16"/>
  <c r="H527" i="16" a="1"/>
  <c r="H527" i="16"/>
  <c r="H528" i="16" a="1"/>
  <c r="H528" i="16"/>
  <c r="H529" i="16" a="1"/>
  <c r="H529" i="16"/>
  <c r="H530" i="16" a="1"/>
  <c r="H530" i="16"/>
  <c r="H531" i="16" a="1"/>
  <c r="H531" i="16"/>
  <c r="H537" i="16" a="1"/>
  <c r="H537" i="16"/>
  <c r="H538" i="16" a="1"/>
  <c r="H538" i="16"/>
  <c r="H539" i="16" a="1"/>
  <c r="H539" i="16"/>
  <c r="H540" i="16" a="1"/>
  <c r="H540" i="16"/>
  <c r="H541" i="16" a="1"/>
  <c r="H541" i="16"/>
  <c r="H545" i="16" a="1"/>
  <c r="H545" i="16"/>
  <c r="H546" i="16" a="1"/>
  <c r="H546" i="16"/>
  <c r="H547" i="16" a="1"/>
  <c r="H547" i="16"/>
  <c r="H548" i="16" a="1"/>
  <c r="H548" i="16" s="1"/>
  <c r="H549" i="16" a="1"/>
  <c r="H549" i="16" s="1"/>
  <c r="H550" i="16" a="1"/>
  <c r="H550" i="16"/>
  <c r="H551" i="16" a="1"/>
  <c r="H551" i="16" s="1"/>
  <c r="H556" i="16" a="1"/>
  <c r="H556" i="16" s="1"/>
  <c r="H557" i="16" a="1"/>
  <c r="H557" i="16"/>
  <c r="H558" i="16" a="1"/>
  <c r="H558" i="16"/>
  <c r="H559" i="16" a="1"/>
  <c r="H559" i="16"/>
  <c r="H560" i="16" a="1"/>
  <c r="H560" i="16"/>
  <c r="H561" i="16" a="1"/>
  <c r="H561" i="16"/>
  <c r="H570" i="16" a="1"/>
  <c r="H570" i="16"/>
  <c r="H571" i="16" a="1"/>
  <c r="H571" i="16"/>
  <c r="H578" i="16" a="1"/>
  <c r="H578" i="16"/>
  <c r="H579" i="16" a="1"/>
  <c r="H579" i="16"/>
  <c r="H580" i="16" a="1"/>
  <c r="H580" i="16"/>
  <c r="H581" i="16" a="1"/>
  <c r="H581"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I565" i="16"/>
  <c r="I566" i="16"/>
  <c r="I567" i="16"/>
  <c r="I568" i="16"/>
  <c r="I569" i="16"/>
  <c r="I570" i="16"/>
  <c r="I571" i="16"/>
  <c r="I572" i="16"/>
  <c r="I573" i="16"/>
  <c r="I574" i="16"/>
  <c r="I575" i="16"/>
  <c r="I576" i="16"/>
  <c r="I577" i="16"/>
  <c r="I578" i="16"/>
  <c r="I579" i="16"/>
  <c r="I580" i="16"/>
  <c r="I581" i="16"/>
  <c r="I2" i="16"/>
  <c r="A301" i="2"/>
  <c r="A302" i="2"/>
  <c r="A303" i="2"/>
  <c r="B301" i="2"/>
  <c r="B302" i="2"/>
  <c r="B303" i="2"/>
  <c r="C301" i="2"/>
  <c r="C302" i="2"/>
  <c r="C303" i="2"/>
  <c r="D301" i="2"/>
  <c r="D302" i="2"/>
  <c r="D303" i="2"/>
  <c r="E301" i="2"/>
  <c r="E302" i="2"/>
  <c r="E303" i="2"/>
  <c r="F301" i="2"/>
  <c r="F302" i="2"/>
  <c r="F303" i="2"/>
  <c r="A54" i="2"/>
  <c r="B54" i="2"/>
  <c r="C54" i="2"/>
  <c r="D54" i="2"/>
  <c r="E54" i="2"/>
  <c r="F54" i="2"/>
  <c r="A55" i="2"/>
  <c r="B55" i="2"/>
  <c r="C55" i="2"/>
  <c r="D55" i="2"/>
  <c r="E55" i="2"/>
  <c r="F55" i="2"/>
  <c r="A56" i="2"/>
  <c r="B56" i="2"/>
  <c r="C56" i="2"/>
  <c r="D56" i="2"/>
  <c r="E56" i="2"/>
  <c r="F56" i="2"/>
  <c r="A57" i="2"/>
  <c r="B57" i="2"/>
  <c r="C57" i="2"/>
  <c r="D57" i="2"/>
  <c r="E57" i="2"/>
  <c r="F57" i="2"/>
  <c r="A58" i="2"/>
  <c r="B58" i="2"/>
  <c r="C58" i="2"/>
  <c r="D58" i="2"/>
  <c r="E58" i="2"/>
  <c r="F58" i="2"/>
  <c r="A59" i="2"/>
  <c r="B59" i="2"/>
  <c r="C59" i="2"/>
  <c r="D59" i="2"/>
  <c r="E59" i="2"/>
  <c r="F59" i="2"/>
  <c r="A60" i="2"/>
  <c r="B60" i="2"/>
  <c r="C60" i="2"/>
  <c r="D60" i="2"/>
  <c r="E60" i="2"/>
  <c r="F60" i="2"/>
  <c r="A61" i="2"/>
  <c r="B61" i="2"/>
  <c r="C61" i="2"/>
  <c r="D61" i="2"/>
  <c r="E61" i="2"/>
  <c r="F61" i="2"/>
  <c r="A62" i="2"/>
  <c r="B62" i="2"/>
  <c r="C62" i="2"/>
  <c r="D62" i="2"/>
  <c r="E62" i="2"/>
  <c r="F62" i="2"/>
  <c r="A63" i="2"/>
  <c r="B63" i="2"/>
  <c r="C63" i="2"/>
  <c r="D63" i="2"/>
  <c r="E63" i="2"/>
  <c r="F63" i="2"/>
  <c r="A64" i="2"/>
  <c r="B64" i="2"/>
  <c r="C64" i="2"/>
  <c r="D64" i="2"/>
  <c r="E64" i="2"/>
  <c r="F64" i="2"/>
  <c r="A65" i="2"/>
  <c r="B65" i="2"/>
  <c r="C65" i="2"/>
  <c r="D65" i="2"/>
  <c r="E65" i="2"/>
  <c r="F65" i="2"/>
  <c r="A66" i="2"/>
  <c r="B66" i="2"/>
  <c r="C66" i="2"/>
  <c r="D66" i="2"/>
  <c r="E66" i="2"/>
  <c r="F66" i="2"/>
  <c r="A67" i="2"/>
  <c r="B67" i="2"/>
  <c r="C67" i="2"/>
  <c r="D67" i="2"/>
  <c r="E67" i="2"/>
  <c r="F67" i="2"/>
  <c r="A68" i="2"/>
  <c r="B68" i="2"/>
  <c r="C68" i="2"/>
  <c r="D68" i="2"/>
  <c r="E68" i="2"/>
  <c r="F68" i="2"/>
  <c r="A69" i="2"/>
  <c r="B69" i="2"/>
  <c r="C69" i="2"/>
  <c r="D69" i="2"/>
  <c r="E69" i="2"/>
  <c r="F69" i="2"/>
  <c r="A70" i="2"/>
  <c r="B70" i="2"/>
  <c r="C70" i="2"/>
  <c r="D70" i="2"/>
  <c r="E70" i="2"/>
  <c r="F70" i="2"/>
  <c r="A71" i="2"/>
  <c r="B71" i="2"/>
  <c r="C71" i="2"/>
  <c r="D71" i="2"/>
  <c r="E71" i="2"/>
  <c r="F71" i="2"/>
  <c r="A72" i="2"/>
  <c r="B72" i="2"/>
  <c r="C72" i="2"/>
  <c r="D72" i="2"/>
  <c r="E72" i="2"/>
  <c r="F72" i="2"/>
  <c r="A73" i="2"/>
  <c r="B73" i="2"/>
  <c r="C73" i="2"/>
  <c r="D73" i="2"/>
  <c r="E73" i="2"/>
  <c r="F73" i="2"/>
  <c r="A74" i="2"/>
  <c r="B74" i="2"/>
  <c r="C74" i="2"/>
  <c r="D74" i="2"/>
  <c r="E74" i="2"/>
  <c r="F74" i="2"/>
  <c r="A75" i="2"/>
  <c r="B75" i="2"/>
  <c r="C75" i="2"/>
  <c r="D75" i="2"/>
  <c r="E75" i="2"/>
  <c r="F75" i="2"/>
  <c r="A76" i="2"/>
  <c r="B76" i="2"/>
  <c r="C76" i="2"/>
  <c r="D76" i="2"/>
  <c r="E76" i="2"/>
  <c r="F76" i="2"/>
  <c r="A77" i="2"/>
  <c r="B77" i="2"/>
  <c r="C77" i="2"/>
  <c r="D77" i="2"/>
  <c r="E77" i="2"/>
  <c r="F77" i="2"/>
  <c r="A78" i="2"/>
  <c r="B78" i="2"/>
  <c r="C78" i="2"/>
  <c r="D78" i="2"/>
  <c r="E78" i="2"/>
  <c r="F78" i="2"/>
  <c r="A79" i="2"/>
  <c r="B79" i="2"/>
  <c r="C79" i="2"/>
  <c r="D79" i="2"/>
  <c r="E79" i="2"/>
  <c r="F79" i="2"/>
  <c r="A80" i="2"/>
  <c r="B80" i="2"/>
  <c r="C80" i="2"/>
  <c r="D80" i="2"/>
  <c r="E80" i="2"/>
  <c r="F80" i="2"/>
  <c r="A81" i="2"/>
  <c r="B81" i="2"/>
  <c r="C81" i="2"/>
  <c r="D81" i="2"/>
  <c r="E81" i="2"/>
  <c r="F81" i="2"/>
  <c r="A82" i="2"/>
  <c r="B82" i="2"/>
  <c r="C82" i="2"/>
  <c r="D82" i="2"/>
  <c r="E82" i="2"/>
  <c r="F82" i="2"/>
  <c r="A83" i="2"/>
  <c r="B83" i="2"/>
  <c r="C83" i="2"/>
  <c r="D83" i="2"/>
  <c r="E83" i="2"/>
  <c r="F83" i="2"/>
  <c r="A84" i="2"/>
  <c r="B84" i="2"/>
  <c r="C84" i="2"/>
  <c r="D84" i="2"/>
  <c r="E84" i="2"/>
  <c r="F84" i="2"/>
  <c r="A85" i="2"/>
  <c r="B85" i="2"/>
  <c r="C85" i="2"/>
  <c r="D85" i="2"/>
  <c r="E85" i="2"/>
  <c r="F85" i="2"/>
  <c r="A86" i="2"/>
  <c r="B86" i="2"/>
  <c r="C86" i="2"/>
  <c r="D86" i="2"/>
  <c r="E86" i="2"/>
  <c r="F86" i="2"/>
  <c r="A87" i="2"/>
  <c r="B87" i="2"/>
  <c r="C87" i="2"/>
  <c r="D87" i="2"/>
  <c r="E87" i="2"/>
  <c r="F87" i="2"/>
  <c r="A88" i="2"/>
  <c r="B88" i="2"/>
  <c r="C88" i="2"/>
  <c r="D88" i="2"/>
  <c r="E88" i="2"/>
  <c r="F88" i="2"/>
  <c r="A89" i="2"/>
  <c r="B89" i="2"/>
  <c r="C89" i="2"/>
  <c r="D89" i="2"/>
  <c r="E89" i="2"/>
  <c r="F89" i="2"/>
  <c r="A90" i="2"/>
  <c r="B90" i="2"/>
  <c r="C90" i="2"/>
  <c r="D90" i="2"/>
  <c r="E90" i="2"/>
  <c r="F90" i="2"/>
  <c r="A91" i="2"/>
  <c r="B91" i="2"/>
  <c r="C91" i="2"/>
  <c r="D91" i="2"/>
  <c r="E91" i="2"/>
  <c r="F91" i="2"/>
  <c r="A92" i="2"/>
  <c r="B92" i="2"/>
  <c r="C92" i="2"/>
  <c r="D92" i="2"/>
  <c r="E92" i="2"/>
  <c r="F92" i="2"/>
  <c r="A93" i="2"/>
  <c r="B93" i="2"/>
  <c r="C93" i="2"/>
  <c r="D93" i="2"/>
  <c r="E93" i="2"/>
  <c r="F93" i="2"/>
  <c r="A94" i="2"/>
  <c r="B94" i="2"/>
  <c r="C94" i="2"/>
  <c r="D94" i="2"/>
  <c r="E94" i="2"/>
  <c r="F94" i="2"/>
  <c r="A95" i="2"/>
  <c r="B95" i="2"/>
  <c r="C95" i="2"/>
  <c r="D95" i="2"/>
  <c r="E95" i="2"/>
  <c r="F95" i="2"/>
  <c r="A96" i="2"/>
  <c r="B96" i="2"/>
  <c r="C96" i="2"/>
  <c r="D96" i="2"/>
  <c r="E96" i="2"/>
  <c r="F96" i="2"/>
  <c r="A97" i="2"/>
  <c r="B97" i="2"/>
  <c r="C97" i="2"/>
  <c r="D97" i="2"/>
  <c r="E97" i="2"/>
  <c r="F97" i="2"/>
  <c r="A98" i="2"/>
  <c r="B98" i="2"/>
  <c r="C98" i="2"/>
  <c r="D98" i="2"/>
  <c r="E98" i="2"/>
  <c r="F98" i="2"/>
  <c r="A99" i="2"/>
  <c r="B99" i="2"/>
  <c r="C99" i="2"/>
  <c r="D99" i="2"/>
  <c r="E99" i="2"/>
  <c r="F99" i="2"/>
  <c r="A100" i="2"/>
  <c r="B100" i="2"/>
  <c r="C100" i="2"/>
  <c r="D100" i="2"/>
  <c r="E100" i="2"/>
  <c r="F100" i="2"/>
  <c r="A101" i="2"/>
  <c r="B101" i="2"/>
  <c r="C101" i="2"/>
  <c r="D101" i="2"/>
  <c r="E101" i="2"/>
  <c r="F101" i="2"/>
  <c r="A102" i="2"/>
  <c r="B102" i="2"/>
  <c r="C102" i="2"/>
  <c r="D102" i="2"/>
  <c r="E102" i="2"/>
  <c r="F102" i="2"/>
  <c r="A103" i="2"/>
  <c r="B103" i="2"/>
  <c r="C103" i="2"/>
  <c r="D103" i="2"/>
  <c r="E103" i="2"/>
  <c r="F103" i="2"/>
  <c r="A104" i="2"/>
  <c r="B104" i="2"/>
  <c r="C104" i="2"/>
  <c r="D104" i="2"/>
  <c r="E104" i="2"/>
  <c r="F104" i="2"/>
  <c r="A105" i="2"/>
  <c r="B105" i="2"/>
  <c r="C105" i="2"/>
  <c r="D105" i="2"/>
  <c r="E105" i="2"/>
  <c r="F105" i="2"/>
  <c r="A106" i="2"/>
  <c r="B106" i="2"/>
  <c r="C106" i="2"/>
  <c r="D106" i="2"/>
  <c r="E106" i="2"/>
  <c r="F106" i="2"/>
  <c r="A107" i="2"/>
  <c r="B107" i="2"/>
  <c r="C107" i="2"/>
  <c r="D107" i="2"/>
  <c r="E107" i="2"/>
  <c r="F107" i="2"/>
  <c r="A108" i="2"/>
  <c r="B108" i="2"/>
  <c r="C108" i="2"/>
  <c r="D108" i="2"/>
  <c r="E108" i="2"/>
  <c r="F108" i="2"/>
  <c r="A109" i="2"/>
  <c r="B109" i="2"/>
  <c r="C109" i="2"/>
  <c r="D109" i="2"/>
  <c r="E109" i="2"/>
  <c r="F109" i="2"/>
  <c r="A110" i="2"/>
  <c r="B110" i="2"/>
  <c r="C110" i="2"/>
  <c r="D110" i="2"/>
  <c r="E110" i="2"/>
  <c r="F110" i="2"/>
  <c r="A111" i="2"/>
  <c r="B111" i="2"/>
  <c r="C111" i="2"/>
  <c r="D111" i="2"/>
  <c r="E111" i="2"/>
  <c r="F111" i="2"/>
  <c r="A112" i="2"/>
  <c r="B112" i="2"/>
  <c r="C112" i="2"/>
  <c r="D112" i="2"/>
  <c r="E112" i="2"/>
  <c r="F112" i="2"/>
  <c r="A113" i="2"/>
  <c r="B113" i="2"/>
  <c r="C113" i="2"/>
  <c r="D113" i="2"/>
  <c r="E113" i="2"/>
  <c r="F113" i="2"/>
  <c r="A114" i="2"/>
  <c r="B114" i="2"/>
  <c r="C114" i="2"/>
  <c r="D114" i="2"/>
  <c r="E114" i="2"/>
  <c r="F114" i="2"/>
  <c r="A115" i="2"/>
  <c r="B115" i="2"/>
  <c r="C115" i="2"/>
  <c r="D115" i="2"/>
  <c r="E115" i="2"/>
  <c r="F115" i="2"/>
  <c r="A116" i="2"/>
  <c r="B116" i="2"/>
  <c r="C116" i="2"/>
  <c r="D116" i="2"/>
  <c r="E116" i="2"/>
  <c r="F116" i="2"/>
  <c r="A117" i="2"/>
  <c r="B117" i="2"/>
  <c r="C117" i="2"/>
  <c r="D117" i="2"/>
  <c r="E117" i="2"/>
  <c r="F117" i="2"/>
  <c r="A118" i="2"/>
  <c r="B118" i="2"/>
  <c r="C118" i="2"/>
  <c r="D118" i="2"/>
  <c r="E118" i="2"/>
  <c r="F118" i="2"/>
  <c r="A119" i="2"/>
  <c r="B119" i="2"/>
  <c r="C119" i="2"/>
  <c r="D119" i="2"/>
  <c r="E119" i="2"/>
  <c r="F119" i="2"/>
  <c r="A120" i="2"/>
  <c r="B120" i="2"/>
  <c r="C120" i="2"/>
  <c r="D120" i="2"/>
  <c r="E120" i="2"/>
  <c r="F120" i="2"/>
  <c r="A121" i="2"/>
  <c r="B121" i="2"/>
  <c r="C121" i="2"/>
  <c r="D121" i="2"/>
  <c r="E121" i="2"/>
  <c r="F121" i="2"/>
  <c r="A122" i="2"/>
  <c r="B122" i="2"/>
  <c r="C122" i="2"/>
  <c r="D122" i="2"/>
  <c r="E122" i="2"/>
  <c r="F122" i="2"/>
  <c r="A123" i="2"/>
  <c r="B123" i="2"/>
  <c r="C123" i="2"/>
  <c r="D123" i="2"/>
  <c r="E123" i="2"/>
  <c r="F123" i="2"/>
  <c r="A124" i="2"/>
  <c r="B124" i="2"/>
  <c r="C124" i="2"/>
  <c r="D124" i="2"/>
  <c r="E124" i="2"/>
  <c r="F124" i="2"/>
  <c r="A125" i="2"/>
  <c r="B125" i="2"/>
  <c r="C125" i="2"/>
  <c r="D125" i="2"/>
  <c r="E125" i="2"/>
  <c r="F125" i="2"/>
  <c r="A126" i="2"/>
  <c r="B126" i="2"/>
  <c r="C126" i="2"/>
  <c r="D126" i="2"/>
  <c r="E126" i="2"/>
  <c r="F126" i="2"/>
  <c r="A127" i="2"/>
  <c r="B127" i="2"/>
  <c r="C127" i="2"/>
  <c r="D127" i="2"/>
  <c r="E127" i="2"/>
  <c r="F127" i="2"/>
  <c r="A128" i="2"/>
  <c r="B128" i="2"/>
  <c r="C128" i="2"/>
  <c r="D128" i="2"/>
  <c r="E128" i="2"/>
  <c r="F128" i="2"/>
  <c r="A129" i="2"/>
  <c r="B129" i="2"/>
  <c r="C129" i="2"/>
  <c r="D129" i="2"/>
  <c r="E129" i="2"/>
  <c r="F129" i="2"/>
  <c r="A130" i="2"/>
  <c r="B130" i="2"/>
  <c r="C130" i="2"/>
  <c r="D130" i="2"/>
  <c r="E130" i="2"/>
  <c r="F130" i="2"/>
  <c r="A131" i="2"/>
  <c r="B131" i="2"/>
  <c r="C131" i="2"/>
  <c r="D131" i="2"/>
  <c r="E131" i="2"/>
  <c r="F131" i="2"/>
  <c r="A132" i="2"/>
  <c r="B132" i="2"/>
  <c r="C132" i="2"/>
  <c r="D132" i="2"/>
  <c r="E132" i="2"/>
  <c r="F132" i="2"/>
  <c r="A133" i="2"/>
  <c r="B133" i="2"/>
  <c r="C133" i="2"/>
  <c r="D133" i="2"/>
  <c r="E133" i="2"/>
  <c r="F133" i="2"/>
  <c r="A134" i="2"/>
  <c r="B134" i="2"/>
  <c r="C134" i="2"/>
  <c r="D134" i="2"/>
  <c r="E134" i="2"/>
  <c r="F134" i="2"/>
  <c r="A135" i="2"/>
  <c r="B135" i="2"/>
  <c r="C135" i="2"/>
  <c r="D135" i="2"/>
  <c r="E135" i="2"/>
  <c r="F135" i="2"/>
  <c r="A136" i="2"/>
  <c r="B136" i="2"/>
  <c r="C136" i="2"/>
  <c r="D136" i="2"/>
  <c r="E136" i="2"/>
  <c r="F136" i="2"/>
  <c r="A137" i="2"/>
  <c r="B137" i="2"/>
  <c r="C137" i="2"/>
  <c r="D137" i="2"/>
  <c r="E137" i="2"/>
  <c r="F137" i="2"/>
  <c r="A138" i="2"/>
  <c r="B138" i="2"/>
  <c r="C138" i="2"/>
  <c r="D138" i="2"/>
  <c r="E138" i="2"/>
  <c r="F138" i="2"/>
  <c r="A139" i="2"/>
  <c r="B139" i="2"/>
  <c r="C139" i="2"/>
  <c r="D139" i="2"/>
  <c r="E139" i="2"/>
  <c r="F139" i="2"/>
  <c r="A140" i="2"/>
  <c r="B140" i="2"/>
  <c r="C140" i="2"/>
  <c r="D140" i="2"/>
  <c r="E140" i="2"/>
  <c r="F140" i="2"/>
  <c r="A141" i="2"/>
  <c r="B141" i="2"/>
  <c r="C141" i="2"/>
  <c r="D141" i="2"/>
  <c r="E141" i="2"/>
  <c r="F141" i="2"/>
  <c r="A142" i="2"/>
  <c r="B142" i="2"/>
  <c r="C142" i="2"/>
  <c r="D142" i="2"/>
  <c r="E142" i="2"/>
  <c r="F142" i="2"/>
  <c r="A143" i="2"/>
  <c r="B143" i="2"/>
  <c r="C143" i="2"/>
  <c r="D143" i="2"/>
  <c r="E143" i="2"/>
  <c r="F143" i="2"/>
  <c r="A144" i="2"/>
  <c r="B144" i="2"/>
  <c r="C144" i="2"/>
  <c r="D144" i="2"/>
  <c r="E144" i="2"/>
  <c r="F144" i="2"/>
  <c r="A145" i="2"/>
  <c r="B145" i="2"/>
  <c r="C145" i="2"/>
  <c r="D145" i="2"/>
  <c r="E145" i="2"/>
  <c r="F145" i="2"/>
  <c r="A146" i="2"/>
  <c r="B146" i="2"/>
  <c r="C146" i="2"/>
  <c r="D146" i="2"/>
  <c r="E146" i="2"/>
  <c r="F146" i="2"/>
  <c r="A147" i="2"/>
  <c r="B147" i="2"/>
  <c r="C147" i="2"/>
  <c r="D147" i="2"/>
  <c r="E147" i="2"/>
  <c r="F147" i="2"/>
  <c r="A148" i="2"/>
  <c r="B148" i="2"/>
  <c r="C148" i="2"/>
  <c r="D148" i="2"/>
  <c r="E148" i="2"/>
  <c r="F148" i="2"/>
  <c r="A149" i="2"/>
  <c r="B149" i="2"/>
  <c r="C149" i="2"/>
  <c r="D149" i="2"/>
  <c r="E149" i="2"/>
  <c r="F149" i="2"/>
  <c r="A150" i="2"/>
  <c r="B150" i="2"/>
  <c r="C150" i="2"/>
  <c r="D150" i="2"/>
  <c r="E150" i="2"/>
  <c r="F150" i="2"/>
  <c r="A151" i="2"/>
  <c r="B151" i="2"/>
  <c r="C151" i="2"/>
  <c r="D151" i="2"/>
  <c r="E151" i="2"/>
  <c r="F151" i="2"/>
  <c r="A152" i="2"/>
  <c r="B152" i="2"/>
  <c r="C152" i="2"/>
  <c r="D152" i="2"/>
  <c r="E152" i="2"/>
  <c r="F152" i="2"/>
  <c r="A153" i="2"/>
  <c r="B153" i="2"/>
  <c r="C153" i="2"/>
  <c r="D153" i="2"/>
  <c r="E153" i="2"/>
  <c r="F153" i="2"/>
  <c r="A154" i="2"/>
  <c r="B154" i="2"/>
  <c r="C154" i="2"/>
  <c r="D154" i="2"/>
  <c r="E154" i="2"/>
  <c r="F154" i="2"/>
  <c r="A155" i="2"/>
  <c r="B155" i="2"/>
  <c r="C155" i="2"/>
  <c r="D155" i="2"/>
  <c r="E155" i="2"/>
  <c r="F155" i="2"/>
  <c r="A156" i="2"/>
  <c r="B156" i="2"/>
  <c r="C156" i="2"/>
  <c r="D156" i="2"/>
  <c r="E156" i="2"/>
  <c r="F156" i="2"/>
  <c r="A157" i="2"/>
  <c r="B157" i="2"/>
  <c r="C157" i="2"/>
  <c r="D157" i="2"/>
  <c r="E157" i="2"/>
  <c r="F157" i="2"/>
  <c r="A158" i="2"/>
  <c r="B158" i="2"/>
  <c r="C158" i="2"/>
  <c r="D158" i="2"/>
  <c r="E158" i="2"/>
  <c r="F158" i="2"/>
  <c r="A159" i="2"/>
  <c r="B159" i="2"/>
  <c r="C159" i="2"/>
  <c r="D159" i="2"/>
  <c r="E159" i="2"/>
  <c r="F159" i="2"/>
  <c r="A160" i="2"/>
  <c r="B160" i="2"/>
  <c r="C160" i="2"/>
  <c r="D160" i="2"/>
  <c r="E160" i="2"/>
  <c r="F160" i="2"/>
  <c r="A161" i="2"/>
  <c r="B161" i="2"/>
  <c r="C161" i="2"/>
  <c r="D161" i="2"/>
  <c r="E161" i="2"/>
  <c r="F161" i="2"/>
  <c r="A162" i="2"/>
  <c r="B162" i="2"/>
  <c r="C162" i="2"/>
  <c r="D162" i="2"/>
  <c r="E162" i="2"/>
  <c r="F162" i="2"/>
  <c r="A163" i="2"/>
  <c r="B163" i="2"/>
  <c r="C163" i="2"/>
  <c r="D163" i="2"/>
  <c r="E163" i="2"/>
  <c r="F163" i="2"/>
  <c r="A164" i="2"/>
  <c r="B164" i="2"/>
  <c r="C164" i="2"/>
  <c r="D164" i="2"/>
  <c r="E164" i="2"/>
  <c r="F164" i="2"/>
  <c r="A165" i="2"/>
  <c r="B165" i="2"/>
  <c r="C165" i="2"/>
  <c r="D165" i="2"/>
  <c r="E165" i="2"/>
  <c r="F165" i="2"/>
  <c r="A166" i="2"/>
  <c r="B166" i="2"/>
  <c r="C166" i="2"/>
  <c r="D166" i="2"/>
  <c r="E166" i="2"/>
  <c r="F166" i="2"/>
  <c r="A167" i="2"/>
  <c r="B167" i="2"/>
  <c r="C167" i="2"/>
  <c r="D167" i="2"/>
  <c r="E167" i="2"/>
  <c r="F167" i="2"/>
  <c r="A168" i="2"/>
  <c r="B168" i="2"/>
  <c r="C168" i="2"/>
  <c r="D168" i="2"/>
  <c r="E168" i="2"/>
  <c r="F168" i="2"/>
  <c r="A169" i="2"/>
  <c r="B169" i="2"/>
  <c r="C169" i="2"/>
  <c r="D169" i="2"/>
  <c r="E169" i="2"/>
  <c r="F169" i="2"/>
  <c r="A170" i="2"/>
  <c r="B170" i="2"/>
  <c r="C170" i="2"/>
  <c r="D170" i="2"/>
  <c r="E170" i="2"/>
  <c r="F170" i="2"/>
  <c r="A171" i="2"/>
  <c r="B171" i="2"/>
  <c r="C171" i="2"/>
  <c r="D171" i="2"/>
  <c r="E171" i="2"/>
  <c r="F171" i="2"/>
  <c r="A172" i="2"/>
  <c r="B172" i="2"/>
  <c r="C172" i="2"/>
  <c r="D172" i="2"/>
  <c r="E172" i="2"/>
  <c r="F172" i="2"/>
  <c r="A173" i="2"/>
  <c r="B173" i="2"/>
  <c r="C173" i="2"/>
  <c r="D173" i="2"/>
  <c r="E173" i="2"/>
  <c r="F173" i="2"/>
  <c r="A174" i="2"/>
  <c r="B174" i="2"/>
  <c r="C174" i="2"/>
  <c r="D174" i="2"/>
  <c r="E174" i="2"/>
  <c r="F174" i="2"/>
  <c r="A175" i="2"/>
  <c r="B175" i="2"/>
  <c r="C175" i="2"/>
  <c r="D175" i="2"/>
  <c r="E175" i="2"/>
  <c r="F175" i="2"/>
  <c r="A176" i="2"/>
  <c r="B176" i="2"/>
  <c r="C176" i="2"/>
  <c r="D176" i="2"/>
  <c r="E176" i="2"/>
  <c r="F176" i="2"/>
  <c r="A177" i="2"/>
  <c r="B177" i="2"/>
  <c r="C177" i="2"/>
  <c r="D177" i="2"/>
  <c r="E177" i="2"/>
  <c r="F177" i="2"/>
  <c r="A178" i="2"/>
  <c r="B178" i="2"/>
  <c r="C178" i="2"/>
  <c r="D178" i="2"/>
  <c r="E178" i="2"/>
  <c r="F178" i="2"/>
  <c r="A179" i="2"/>
  <c r="B179" i="2"/>
  <c r="C179" i="2"/>
  <c r="D179" i="2"/>
  <c r="E179" i="2"/>
  <c r="F179" i="2"/>
  <c r="A180" i="2"/>
  <c r="B180" i="2"/>
  <c r="C180" i="2"/>
  <c r="D180" i="2"/>
  <c r="E180" i="2"/>
  <c r="F180" i="2"/>
  <c r="A181" i="2"/>
  <c r="B181" i="2"/>
  <c r="C181" i="2"/>
  <c r="D181" i="2"/>
  <c r="E181" i="2"/>
  <c r="F181" i="2"/>
  <c r="A182" i="2"/>
  <c r="B182" i="2"/>
  <c r="C182" i="2"/>
  <c r="D182" i="2"/>
  <c r="E182" i="2"/>
  <c r="F182" i="2"/>
  <c r="A183" i="2"/>
  <c r="B183" i="2"/>
  <c r="C183" i="2"/>
  <c r="D183" i="2"/>
  <c r="E183" i="2"/>
  <c r="F183" i="2"/>
  <c r="A184" i="2"/>
  <c r="B184" i="2"/>
  <c r="C184" i="2"/>
  <c r="D184" i="2"/>
  <c r="E184" i="2"/>
  <c r="F184" i="2"/>
  <c r="A185" i="2"/>
  <c r="B185" i="2"/>
  <c r="C185" i="2"/>
  <c r="D185" i="2"/>
  <c r="E185" i="2"/>
  <c r="F185" i="2"/>
  <c r="A186" i="2"/>
  <c r="B186" i="2"/>
  <c r="C186" i="2"/>
  <c r="D186" i="2"/>
  <c r="E186" i="2"/>
  <c r="F186" i="2"/>
  <c r="A187" i="2"/>
  <c r="B187" i="2"/>
  <c r="C187" i="2"/>
  <c r="D187" i="2"/>
  <c r="E187" i="2"/>
  <c r="F187" i="2"/>
  <c r="A188" i="2"/>
  <c r="B188" i="2"/>
  <c r="C188" i="2"/>
  <c r="D188" i="2"/>
  <c r="E188" i="2"/>
  <c r="F188" i="2"/>
  <c r="A189" i="2"/>
  <c r="B189" i="2"/>
  <c r="C189" i="2"/>
  <c r="D189" i="2"/>
  <c r="E189" i="2"/>
  <c r="F189" i="2"/>
  <c r="A190" i="2"/>
  <c r="B190" i="2"/>
  <c r="C190" i="2"/>
  <c r="D190" i="2"/>
  <c r="E190" i="2"/>
  <c r="F190" i="2"/>
  <c r="A191" i="2"/>
  <c r="B191" i="2"/>
  <c r="C191" i="2"/>
  <c r="D191" i="2"/>
  <c r="E191" i="2"/>
  <c r="F191" i="2"/>
  <c r="A192" i="2"/>
  <c r="B192" i="2"/>
  <c r="C192" i="2"/>
  <c r="D192" i="2"/>
  <c r="E192" i="2"/>
  <c r="F192" i="2"/>
  <c r="A193" i="2"/>
  <c r="B193" i="2"/>
  <c r="C193" i="2"/>
  <c r="D193" i="2"/>
  <c r="E193" i="2"/>
  <c r="F193" i="2"/>
  <c r="A194" i="2"/>
  <c r="B194" i="2"/>
  <c r="C194" i="2"/>
  <c r="D194" i="2"/>
  <c r="E194" i="2"/>
  <c r="F194" i="2"/>
  <c r="A195" i="2"/>
  <c r="B195" i="2"/>
  <c r="C195" i="2"/>
  <c r="D195" i="2"/>
  <c r="E195" i="2"/>
  <c r="F195" i="2"/>
  <c r="A196" i="2"/>
  <c r="B196" i="2"/>
  <c r="C196" i="2"/>
  <c r="D196" i="2"/>
  <c r="E196" i="2"/>
  <c r="F196" i="2"/>
  <c r="A197" i="2"/>
  <c r="B197" i="2"/>
  <c r="C197" i="2"/>
  <c r="D197" i="2"/>
  <c r="E197" i="2"/>
  <c r="F197" i="2"/>
  <c r="A198" i="2"/>
  <c r="B198" i="2"/>
  <c r="C198" i="2"/>
  <c r="D198" i="2"/>
  <c r="E198" i="2"/>
  <c r="F198" i="2"/>
  <c r="A199" i="2"/>
  <c r="B199" i="2"/>
  <c r="C199" i="2"/>
  <c r="D199" i="2"/>
  <c r="E199" i="2"/>
  <c r="F199" i="2"/>
  <c r="A200" i="2"/>
  <c r="B200" i="2"/>
  <c r="C200" i="2"/>
  <c r="D200" i="2"/>
  <c r="E200" i="2"/>
  <c r="F200" i="2"/>
  <c r="A201" i="2"/>
  <c r="B201" i="2"/>
  <c r="C201" i="2"/>
  <c r="D201" i="2"/>
  <c r="E201" i="2"/>
  <c r="F201" i="2"/>
  <c r="A202" i="2"/>
  <c r="B202" i="2"/>
  <c r="C202" i="2"/>
  <c r="D202" i="2"/>
  <c r="E202" i="2"/>
  <c r="F202" i="2"/>
  <c r="A203" i="2"/>
  <c r="B203" i="2"/>
  <c r="C203" i="2"/>
  <c r="D203" i="2"/>
  <c r="E203" i="2"/>
  <c r="F203" i="2"/>
  <c r="A204" i="2"/>
  <c r="B204" i="2"/>
  <c r="C204" i="2"/>
  <c r="D204" i="2"/>
  <c r="E204" i="2"/>
  <c r="F204" i="2"/>
  <c r="A205" i="2"/>
  <c r="B205" i="2"/>
  <c r="C205" i="2"/>
  <c r="D205" i="2"/>
  <c r="E205" i="2"/>
  <c r="F205" i="2"/>
  <c r="A206" i="2"/>
  <c r="B206" i="2"/>
  <c r="C206" i="2"/>
  <c r="D206" i="2"/>
  <c r="E206" i="2"/>
  <c r="F206" i="2"/>
  <c r="A207" i="2"/>
  <c r="B207" i="2"/>
  <c r="C207" i="2"/>
  <c r="D207" i="2"/>
  <c r="E207" i="2"/>
  <c r="F207" i="2"/>
  <c r="A208" i="2"/>
  <c r="B208" i="2"/>
  <c r="C208" i="2"/>
  <c r="D208" i="2"/>
  <c r="E208" i="2"/>
  <c r="F208" i="2"/>
  <c r="A209" i="2"/>
  <c r="B209" i="2"/>
  <c r="C209" i="2"/>
  <c r="D209" i="2"/>
  <c r="E209" i="2"/>
  <c r="F209" i="2"/>
  <c r="A210" i="2"/>
  <c r="B210" i="2"/>
  <c r="C210" i="2"/>
  <c r="D210" i="2"/>
  <c r="E210" i="2"/>
  <c r="F210" i="2"/>
  <c r="A211" i="2"/>
  <c r="B211" i="2"/>
  <c r="C211" i="2"/>
  <c r="D211" i="2"/>
  <c r="E211" i="2"/>
  <c r="F211" i="2"/>
  <c r="A212" i="2"/>
  <c r="B212" i="2"/>
  <c r="C212" i="2"/>
  <c r="D212" i="2"/>
  <c r="E212" i="2"/>
  <c r="F212" i="2"/>
  <c r="A213" i="2"/>
  <c r="B213" i="2"/>
  <c r="C213" i="2"/>
  <c r="D213" i="2"/>
  <c r="E213" i="2"/>
  <c r="F213" i="2"/>
  <c r="A214" i="2"/>
  <c r="B214" i="2"/>
  <c r="C214" i="2"/>
  <c r="D214" i="2"/>
  <c r="E214" i="2"/>
  <c r="F214" i="2"/>
  <c r="A215" i="2"/>
  <c r="B215" i="2"/>
  <c r="C215" i="2"/>
  <c r="D215" i="2"/>
  <c r="E215" i="2"/>
  <c r="F215" i="2"/>
  <c r="A216" i="2"/>
  <c r="B216" i="2"/>
  <c r="C216" i="2"/>
  <c r="D216" i="2"/>
  <c r="E216" i="2"/>
  <c r="F216" i="2"/>
  <c r="A217" i="2"/>
  <c r="B217" i="2"/>
  <c r="C217" i="2"/>
  <c r="D217" i="2"/>
  <c r="E217" i="2"/>
  <c r="F217" i="2"/>
  <c r="A218" i="2"/>
  <c r="B218" i="2"/>
  <c r="C218" i="2"/>
  <c r="D218" i="2"/>
  <c r="E218" i="2"/>
  <c r="F218" i="2"/>
  <c r="A219" i="2"/>
  <c r="B219" i="2"/>
  <c r="C219" i="2"/>
  <c r="D219" i="2"/>
  <c r="E219" i="2"/>
  <c r="F219" i="2"/>
  <c r="A220" i="2"/>
  <c r="B220" i="2"/>
  <c r="C220" i="2"/>
  <c r="D220" i="2"/>
  <c r="E220" i="2"/>
  <c r="F220" i="2"/>
  <c r="A221" i="2"/>
  <c r="B221" i="2"/>
  <c r="C221" i="2"/>
  <c r="D221" i="2"/>
  <c r="E221" i="2"/>
  <c r="F221" i="2"/>
  <c r="A222" i="2"/>
  <c r="B222" i="2"/>
  <c r="C222" i="2"/>
  <c r="D222" i="2"/>
  <c r="E222" i="2"/>
  <c r="F222" i="2"/>
  <c r="A223" i="2"/>
  <c r="B223" i="2"/>
  <c r="C223" i="2"/>
  <c r="D223" i="2"/>
  <c r="E223" i="2"/>
  <c r="F223" i="2"/>
  <c r="A224" i="2"/>
  <c r="B224" i="2"/>
  <c r="C224" i="2"/>
  <c r="D224" i="2"/>
  <c r="E224" i="2"/>
  <c r="F224" i="2"/>
  <c r="A225" i="2"/>
  <c r="B225" i="2"/>
  <c r="C225" i="2"/>
  <c r="D225" i="2"/>
  <c r="E225" i="2"/>
  <c r="F225" i="2"/>
  <c r="A226" i="2"/>
  <c r="B226" i="2"/>
  <c r="C226" i="2"/>
  <c r="D226" i="2"/>
  <c r="E226" i="2"/>
  <c r="F226" i="2"/>
  <c r="A227" i="2"/>
  <c r="B227" i="2"/>
  <c r="C227" i="2"/>
  <c r="D227" i="2"/>
  <c r="E227" i="2"/>
  <c r="F227" i="2"/>
  <c r="A228" i="2"/>
  <c r="B228" i="2"/>
  <c r="C228" i="2"/>
  <c r="D228" i="2"/>
  <c r="E228" i="2"/>
  <c r="F228" i="2"/>
  <c r="A229" i="2"/>
  <c r="B229" i="2"/>
  <c r="C229" i="2"/>
  <c r="D229" i="2"/>
  <c r="E229" i="2"/>
  <c r="F229" i="2"/>
  <c r="A230" i="2"/>
  <c r="B230" i="2"/>
  <c r="C230" i="2"/>
  <c r="D230" i="2"/>
  <c r="E230" i="2"/>
  <c r="F230" i="2"/>
  <c r="A231" i="2"/>
  <c r="B231" i="2"/>
  <c r="C231" i="2"/>
  <c r="D231" i="2"/>
  <c r="E231" i="2"/>
  <c r="F231" i="2"/>
  <c r="A232" i="2"/>
  <c r="B232" i="2"/>
  <c r="C232" i="2"/>
  <c r="D232" i="2"/>
  <c r="E232" i="2"/>
  <c r="F232" i="2"/>
  <c r="A233" i="2"/>
  <c r="B233" i="2"/>
  <c r="C233" i="2"/>
  <c r="D233" i="2"/>
  <c r="E233" i="2"/>
  <c r="F233" i="2"/>
  <c r="A234" i="2"/>
  <c r="B234" i="2"/>
  <c r="C234" i="2"/>
  <c r="D234" i="2"/>
  <c r="E234" i="2"/>
  <c r="F234" i="2"/>
  <c r="A235" i="2"/>
  <c r="B235" i="2"/>
  <c r="C235" i="2"/>
  <c r="D235" i="2"/>
  <c r="E235" i="2"/>
  <c r="F235" i="2"/>
  <c r="A236" i="2"/>
  <c r="B236" i="2"/>
  <c r="C236" i="2"/>
  <c r="D236" i="2"/>
  <c r="E236" i="2"/>
  <c r="F236" i="2"/>
  <c r="A237" i="2"/>
  <c r="B237" i="2"/>
  <c r="C237" i="2"/>
  <c r="D237" i="2"/>
  <c r="E237" i="2"/>
  <c r="F237" i="2"/>
  <c r="A238" i="2"/>
  <c r="B238" i="2"/>
  <c r="C238" i="2"/>
  <c r="D238" i="2"/>
  <c r="E238" i="2"/>
  <c r="F238" i="2"/>
  <c r="A239" i="2"/>
  <c r="B239" i="2"/>
  <c r="C239" i="2"/>
  <c r="D239" i="2"/>
  <c r="E239" i="2"/>
  <c r="F239" i="2"/>
  <c r="A240" i="2"/>
  <c r="B240" i="2"/>
  <c r="C240" i="2"/>
  <c r="D240" i="2"/>
  <c r="E240" i="2"/>
  <c r="F240" i="2"/>
  <c r="A241" i="2"/>
  <c r="B241" i="2"/>
  <c r="C241" i="2"/>
  <c r="D241" i="2"/>
  <c r="E241" i="2"/>
  <c r="F241" i="2"/>
  <c r="A242" i="2"/>
  <c r="B242" i="2"/>
  <c r="C242" i="2"/>
  <c r="D242" i="2"/>
  <c r="E242" i="2"/>
  <c r="F242" i="2"/>
  <c r="A243" i="2"/>
  <c r="B243" i="2"/>
  <c r="C243" i="2"/>
  <c r="D243" i="2"/>
  <c r="E243" i="2"/>
  <c r="F243" i="2"/>
  <c r="A244" i="2"/>
  <c r="B244" i="2"/>
  <c r="C244" i="2"/>
  <c r="D244" i="2"/>
  <c r="E244" i="2"/>
  <c r="F244" i="2"/>
  <c r="A245" i="2"/>
  <c r="B245" i="2"/>
  <c r="C245" i="2"/>
  <c r="D245" i="2"/>
  <c r="E245" i="2"/>
  <c r="F245" i="2"/>
  <c r="A246" i="2"/>
  <c r="B246" i="2"/>
  <c r="C246" i="2"/>
  <c r="D246" i="2"/>
  <c r="E246" i="2"/>
  <c r="F246" i="2"/>
  <c r="A247" i="2"/>
  <c r="B247" i="2"/>
  <c r="C247" i="2"/>
  <c r="D247" i="2"/>
  <c r="E247" i="2"/>
  <c r="F247" i="2"/>
  <c r="A248" i="2"/>
  <c r="B248" i="2"/>
  <c r="C248" i="2"/>
  <c r="D248" i="2"/>
  <c r="E248" i="2"/>
  <c r="F248" i="2"/>
  <c r="A249" i="2"/>
  <c r="B249" i="2"/>
  <c r="C249" i="2"/>
  <c r="D249" i="2"/>
  <c r="E249" i="2"/>
  <c r="F249" i="2"/>
  <c r="A250" i="2"/>
  <c r="B250" i="2"/>
  <c r="C250" i="2"/>
  <c r="D250" i="2"/>
  <c r="E250" i="2"/>
  <c r="F250" i="2"/>
  <c r="A251" i="2"/>
  <c r="B251" i="2"/>
  <c r="C251" i="2"/>
  <c r="D251" i="2"/>
  <c r="E251" i="2"/>
  <c r="F251" i="2"/>
  <c r="A252" i="2"/>
  <c r="B252" i="2"/>
  <c r="C252" i="2"/>
  <c r="D252" i="2"/>
  <c r="E252" i="2"/>
  <c r="F252" i="2"/>
  <c r="A253" i="2"/>
  <c r="B253" i="2"/>
  <c r="C253" i="2"/>
  <c r="D253" i="2"/>
  <c r="E253" i="2"/>
  <c r="F253" i="2"/>
  <c r="A254" i="2"/>
  <c r="B254" i="2"/>
  <c r="C254" i="2"/>
  <c r="D254" i="2"/>
  <c r="E254" i="2"/>
  <c r="F254" i="2"/>
  <c r="A255" i="2"/>
  <c r="B255" i="2"/>
  <c r="C255" i="2"/>
  <c r="D255" i="2"/>
  <c r="E255" i="2"/>
  <c r="F255" i="2"/>
  <c r="A256" i="2"/>
  <c r="B256" i="2"/>
  <c r="C256" i="2"/>
  <c r="D256" i="2"/>
  <c r="E256" i="2"/>
  <c r="F256" i="2"/>
  <c r="A257" i="2"/>
  <c r="B257" i="2"/>
  <c r="C257" i="2"/>
  <c r="D257" i="2"/>
  <c r="E257" i="2"/>
  <c r="F257" i="2"/>
  <c r="A258" i="2"/>
  <c r="B258" i="2"/>
  <c r="C258" i="2"/>
  <c r="D258" i="2"/>
  <c r="E258" i="2"/>
  <c r="F258" i="2"/>
  <c r="A259" i="2"/>
  <c r="B259" i="2"/>
  <c r="C259" i="2"/>
  <c r="D259" i="2"/>
  <c r="E259" i="2"/>
  <c r="F259" i="2"/>
  <c r="A260" i="2"/>
  <c r="B260" i="2"/>
  <c r="C260" i="2"/>
  <c r="D260" i="2"/>
  <c r="E260" i="2"/>
  <c r="F260" i="2"/>
  <c r="A261" i="2"/>
  <c r="B261" i="2"/>
  <c r="C261" i="2"/>
  <c r="D261" i="2"/>
  <c r="E261" i="2"/>
  <c r="F261" i="2"/>
  <c r="A262" i="2"/>
  <c r="B262" i="2"/>
  <c r="C262" i="2"/>
  <c r="D262" i="2"/>
  <c r="E262" i="2"/>
  <c r="F262" i="2"/>
  <c r="A263" i="2"/>
  <c r="B263" i="2"/>
  <c r="C263" i="2"/>
  <c r="D263" i="2"/>
  <c r="E263" i="2"/>
  <c r="F263" i="2"/>
  <c r="A264" i="2"/>
  <c r="B264" i="2"/>
  <c r="C264" i="2"/>
  <c r="D264" i="2"/>
  <c r="E264" i="2"/>
  <c r="F264" i="2"/>
  <c r="A265" i="2"/>
  <c r="B265" i="2"/>
  <c r="C265" i="2"/>
  <c r="D265" i="2"/>
  <c r="E265" i="2"/>
  <c r="F265" i="2"/>
  <c r="A266" i="2"/>
  <c r="B266" i="2"/>
  <c r="C266" i="2"/>
  <c r="D266" i="2"/>
  <c r="E266" i="2"/>
  <c r="F266" i="2"/>
  <c r="A267" i="2"/>
  <c r="B267" i="2"/>
  <c r="C267" i="2"/>
  <c r="D267" i="2"/>
  <c r="E267" i="2"/>
  <c r="F267" i="2"/>
  <c r="A268" i="2"/>
  <c r="B268" i="2"/>
  <c r="C268" i="2"/>
  <c r="D268" i="2"/>
  <c r="E268" i="2"/>
  <c r="F268" i="2"/>
  <c r="A269" i="2"/>
  <c r="B269" i="2"/>
  <c r="C269" i="2"/>
  <c r="D269" i="2"/>
  <c r="E269" i="2"/>
  <c r="F269" i="2"/>
  <c r="A270" i="2"/>
  <c r="B270" i="2"/>
  <c r="C270" i="2"/>
  <c r="D270" i="2"/>
  <c r="E270" i="2"/>
  <c r="F270" i="2"/>
  <c r="A271" i="2"/>
  <c r="B271" i="2"/>
  <c r="C271" i="2"/>
  <c r="D271" i="2"/>
  <c r="E271" i="2"/>
  <c r="F271" i="2"/>
  <c r="A272" i="2"/>
  <c r="B272" i="2"/>
  <c r="C272" i="2"/>
  <c r="D272" i="2"/>
  <c r="E272" i="2"/>
  <c r="F272" i="2"/>
  <c r="A273" i="2"/>
  <c r="B273" i="2"/>
  <c r="C273" i="2"/>
  <c r="D273" i="2"/>
  <c r="E273" i="2"/>
  <c r="F273" i="2"/>
  <c r="A274" i="2"/>
  <c r="B274" i="2"/>
  <c r="C274" i="2"/>
  <c r="D274" i="2"/>
  <c r="E274" i="2"/>
  <c r="F274" i="2"/>
  <c r="A275" i="2"/>
  <c r="B275" i="2"/>
  <c r="C275" i="2"/>
  <c r="D275" i="2"/>
  <c r="E275" i="2"/>
  <c r="F275" i="2"/>
  <c r="A276" i="2"/>
  <c r="B276" i="2"/>
  <c r="C276" i="2"/>
  <c r="D276" i="2"/>
  <c r="E276" i="2"/>
  <c r="F276" i="2"/>
  <c r="A277" i="2"/>
  <c r="B277" i="2"/>
  <c r="C277" i="2"/>
  <c r="D277" i="2"/>
  <c r="E277" i="2"/>
  <c r="F277" i="2"/>
  <c r="A278" i="2"/>
  <c r="B278" i="2"/>
  <c r="C278" i="2"/>
  <c r="D278" i="2"/>
  <c r="E278" i="2"/>
  <c r="F278" i="2"/>
  <c r="A279" i="2"/>
  <c r="B279" i="2"/>
  <c r="C279" i="2"/>
  <c r="D279" i="2"/>
  <c r="E279" i="2"/>
  <c r="F279" i="2"/>
  <c r="A280" i="2"/>
  <c r="B280" i="2"/>
  <c r="C280" i="2"/>
  <c r="D280" i="2"/>
  <c r="E280" i="2"/>
  <c r="F280" i="2"/>
  <c r="A281" i="2"/>
  <c r="B281" i="2"/>
  <c r="C281" i="2"/>
  <c r="D281" i="2"/>
  <c r="E281" i="2"/>
  <c r="F281" i="2"/>
  <c r="A282" i="2"/>
  <c r="B282" i="2"/>
  <c r="C282" i="2"/>
  <c r="D282" i="2"/>
  <c r="E282" i="2"/>
  <c r="F282" i="2"/>
  <c r="A283" i="2"/>
  <c r="B283" i="2"/>
  <c r="C283" i="2"/>
  <c r="D283" i="2"/>
  <c r="E283" i="2"/>
  <c r="F283" i="2"/>
  <c r="A284" i="2"/>
  <c r="B284" i="2"/>
  <c r="C284" i="2"/>
  <c r="D284" i="2"/>
  <c r="E284" i="2"/>
  <c r="F284" i="2"/>
  <c r="A285" i="2"/>
  <c r="B285" i="2"/>
  <c r="C285" i="2"/>
  <c r="D285" i="2"/>
  <c r="E285" i="2"/>
  <c r="F285" i="2"/>
  <c r="A286" i="2"/>
  <c r="B286" i="2"/>
  <c r="C286" i="2"/>
  <c r="D286" i="2"/>
  <c r="E286" i="2"/>
  <c r="F286" i="2"/>
  <c r="A287" i="2"/>
  <c r="B287" i="2"/>
  <c r="C287" i="2"/>
  <c r="D287" i="2"/>
  <c r="E287" i="2"/>
  <c r="F287" i="2"/>
  <c r="A288" i="2"/>
  <c r="B288" i="2"/>
  <c r="C288" i="2"/>
  <c r="D288" i="2"/>
  <c r="E288" i="2"/>
  <c r="F288" i="2"/>
  <c r="A289" i="2"/>
  <c r="B289" i="2"/>
  <c r="C289" i="2"/>
  <c r="D289" i="2"/>
  <c r="E289" i="2"/>
  <c r="F289" i="2"/>
  <c r="A290" i="2"/>
  <c r="B290" i="2"/>
  <c r="C290" i="2"/>
  <c r="D290" i="2"/>
  <c r="E290" i="2"/>
  <c r="F290" i="2"/>
  <c r="A291" i="2"/>
  <c r="B291" i="2"/>
  <c r="C291" i="2"/>
  <c r="D291" i="2"/>
  <c r="E291" i="2"/>
  <c r="F291" i="2"/>
  <c r="A292" i="2"/>
  <c r="B292" i="2"/>
  <c r="C292" i="2"/>
  <c r="D292" i="2"/>
  <c r="E292" i="2"/>
  <c r="F292" i="2"/>
  <c r="A293" i="2"/>
  <c r="B293" i="2"/>
  <c r="C293" i="2"/>
  <c r="D293" i="2"/>
  <c r="E293" i="2"/>
  <c r="F293" i="2"/>
  <c r="A294" i="2"/>
  <c r="B294" i="2"/>
  <c r="C294" i="2"/>
  <c r="D294" i="2"/>
  <c r="E294" i="2"/>
  <c r="F294" i="2"/>
  <c r="A295" i="2"/>
  <c r="B295" i="2"/>
  <c r="C295" i="2"/>
  <c r="D295" i="2"/>
  <c r="E295" i="2"/>
  <c r="F295" i="2"/>
  <c r="A296" i="2"/>
  <c r="B296" i="2"/>
  <c r="C296" i="2"/>
  <c r="D296" i="2"/>
  <c r="E296" i="2"/>
  <c r="F296" i="2"/>
  <c r="A297" i="2"/>
  <c r="B297" i="2"/>
  <c r="C297" i="2"/>
  <c r="D297" i="2"/>
  <c r="E297" i="2"/>
  <c r="F297" i="2"/>
  <c r="A298" i="2"/>
  <c r="B298" i="2"/>
  <c r="C298" i="2"/>
  <c r="D298" i="2"/>
  <c r="E298" i="2"/>
  <c r="F298" i="2"/>
  <c r="A299" i="2"/>
  <c r="B299" i="2"/>
  <c r="C299" i="2"/>
  <c r="D299" i="2"/>
  <c r="E299" i="2"/>
  <c r="F299" i="2"/>
  <c r="A300" i="2"/>
  <c r="B300" i="2"/>
  <c r="C300" i="2"/>
  <c r="D300" i="2"/>
  <c r="E300" i="2"/>
  <c r="F300" i="2"/>
  <c r="AK307" i="5"/>
  <c r="AH307" i="5"/>
  <c r="AK306" i="5"/>
  <c r="AH306" i="5"/>
  <c r="AK305" i="5"/>
  <c r="AH305" i="5"/>
  <c r="AK304" i="5"/>
  <c r="AH304" i="5"/>
  <c r="AK303" i="5"/>
  <c r="AH303" i="5"/>
  <c r="AK302" i="5"/>
  <c r="AH302" i="5"/>
  <c r="AK301" i="5"/>
  <c r="AH301" i="5"/>
  <c r="AK300" i="5"/>
  <c r="AH300" i="5"/>
  <c r="AK299" i="5"/>
  <c r="AH299" i="5"/>
  <c r="AK298" i="5"/>
  <c r="AH298" i="5"/>
  <c r="AK297" i="5"/>
  <c r="AH297" i="5"/>
  <c r="AK296" i="5"/>
  <c r="AH296" i="5"/>
  <c r="AK295" i="5"/>
  <c r="AH295" i="5"/>
  <c r="AK294" i="5"/>
  <c r="AH294" i="5"/>
  <c r="AK293" i="5"/>
  <c r="AH293" i="5"/>
  <c r="AK292" i="5"/>
  <c r="AH292" i="5"/>
  <c r="AK291" i="5"/>
  <c r="AH291" i="5"/>
  <c r="AK290" i="5"/>
  <c r="AH290" i="5"/>
  <c r="AK289" i="5"/>
  <c r="AH289" i="5"/>
  <c r="AK288" i="5"/>
  <c r="AH288" i="5"/>
  <c r="AK287" i="5"/>
  <c r="AH287" i="5"/>
  <c r="AK286" i="5"/>
  <c r="AH286" i="5"/>
  <c r="AK285" i="5"/>
  <c r="AH285" i="5"/>
  <c r="AK284" i="5"/>
  <c r="AH284" i="5"/>
  <c r="AK283" i="5"/>
  <c r="AH283" i="5"/>
  <c r="AK282" i="5"/>
  <c r="AH282" i="5"/>
  <c r="AK281" i="5"/>
  <c r="AH281" i="5"/>
  <c r="AK280" i="5"/>
  <c r="AH280" i="5"/>
  <c r="AK279" i="5"/>
  <c r="AH279" i="5"/>
  <c r="AK278" i="5"/>
  <c r="AH278" i="5"/>
  <c r="AK277" i="5"/>
  <c r="AH277" i="5"/>
  <c r="AK276" i="5"/>
  <c r="AH276" i="5"/>
  <c r="AK275" i="5"/>
  <c r="AH275" i="5"/>
  <c r="AK274" i="5"/>
  <c r="AH274" i="5"/>
  <c r="AK273" i="5"/>
  <c r="AH273" i="5"/>
  <c r="AK272" i="5"/>
  <c r="AH272" i="5"/>
  <c r="AK271" i="5"/>
  <c r="AH271" i="5"/>
  <c r="AK270" i="5"/>
  <c r="AH270" i="5"/>
  <c r="AK269" i="5"/>
  <c r="AH269" i="5"/>
  <c r="AK268" i="5"/>
  <c r="AH268" i="5"/>
  <c r="AK267" i="5"/>
  <c r="AH267" i="5"/>
  <c r="AK266" i="5"/>
  <c r="AH266" i="5"/>
  <c r="AK265" i="5"/>
  <c r="AH265" i="5"/>
  <c r="AK264" i="5"/>
  <c r="AH264" i="5"/>
  <c r="AK263" i="5"/>
  <c r="AH263" i="5"/>
  <c r="AK262" i="5"/>
  <c r="AH262" i="5"/>
  <c r="AK261" i="5"/>
  <c r="AH261" i="5"/>
  <c r="AK260" i="5"/>
  <c r="AH260" i="5"/>
  <c r="AK259" i="5"/>
  <c r="AH259" i="5"/>
  <c r="AK258" i="5"/>
  <c r="AH258" i="5"/>
  <c r="AK257" i="5"/>
  <c r="AH257" i="5"/>
  <c r="AK256" i="5"/>
  <c r="AH256" i="5"/>
  <c r="AK255" i="5"/>
  <c r="AH255" i="5"/>
  <c r="AK254" i="5"/>
  <c r="AH254" i="5"/>
  <c r="AK253" i="5"/>
  <c r="AH253" i="5"/>
  <c r="AK252" i="5"/>
  <c r="AH252" i="5"/>
  <c r="AK251" i="5"/>
  <c r="AH251" i="5"/>
  <c r="AK250" i="5"/>
  <c r="AH250" i="5"/>
  <c r="AK249" i="5"/>
  <c r="AH249" i="5"/>
  <c r="AK248" i="5"/>
  <c r="AH248" i="5"/>
  <c r="AK247" i="5"/>
  <c r="AH247" i="5"/>
  <c r="AK246" i="5"/>
  <c r="AH246" i="5"/>
  <c r="AK245" i="5"/>
  <c r="AH245" i="5"/>
  <c r="AK244" i="5"/>
  <c r="AH244" i="5"/>
  <c r="AK243" i="5"/>
  <c r="AH243" i="5"/>
  <c r="AK242" i="5"/>
  <c r="AH242" i="5"/>
  <c r="AK241" i="5"/>
  <c r="AH241" i="5"/>
  <c r="AK240" i="5"/>
  <c r="AH240" i="5"/>
  <c r="AK239" i="5"/>
  <c r="AH239" i="5"/>
  <c r="AK238" i="5"/>
  <c r="AH238" i="5"/>
  <c r="AK237" i="5"/>
  <c r="AH237" i="5"/>
  <c r="AK236" i="5"/>
  <c r="AH236" i="5"/>
  <c r="AK235" i="5"/>
  <c r="AH235" i="5"/>
  <c r="AK234" i="5"/>
  <c r="AH234" i="5"/>
  <c r="AK233" i="5"/>
  <c r="AH233" i="5"/>
  <c r="AK232" i="5"/>
  <c r="AH232" i="5"/>
  <c r="AK231" i="5"/>
  <c r="AH231" i="5"/>
  <c r="AK230" i="5"/>
  <c r="AH230" i="5"/>
  <c r="AK229" i="5"/>
  <c r="AH229" i="5"/>
  <c r="AK228" i="5"/>
  <c r="AH228" i="5"/>
  <c r="AK227" i="5"/>
  <c r="AH227" i="5"/>
  <c r="AK226" i="5"/>
  <c r="AH226" i="5"/>
  <c r="AK225" i="5"/>
  <c r="AH225" i="5"/>
  <c r="AK224" i="5"/>
  <c r="AH224" i="5"/>
  <c r="AK223" i="5"/>
  <c r="AH223" i="5"/>
  <c r="AK222" i="5"/>
  <c r="AH222" i="5"/>
  <c r="AK221" i="5"/>
  <c r="AH221" i="5"/>
  <c r="AK220" i="5"/>
  <c r="AH220" i="5"/>
  <c r="AK219" i="5"/>
  <c r="AH219" i="5"/>
  <c r="AK218" i="5"/>
  <c r="AH218" i="5"/>
  <c r="AK217" i="5"/>
  <c r="AH217" i="5"/>
  <c r="AK216" i="5"/>
  <c r="AH216" i="5"/>
  <c r="AK215" i="5"/>
  <c r="AH215" i="5"/>
  <c r="AK214" i="5"/>
  <c r="AH214" i="5"/>
  <c r="AK213" i="5"/>
  <c r="AH213" i="5"/>
  <c r="AK212" i="5"/>
  <c r="AH212" i="5"/>
  <c r="AK211" i="5"/>
  <c r="AH211" i="5"/>
  <c r="AK210" i="5"/>
  <c r="AH210" i="5"/>
  <c r="AK209" i="5"/>
  <c r="AH209" i="5"/>
  <c r="AK208" i="5"/>
  <c r="AH208" i="5"/>
  <c r="AK207" i="5"/>
  <c r="AH207" i="5"/>
  <c r="AK206" i="5"/>
  <c r="AH206" i="5"/>
  <c r="AK205" i="5"/>
  <c r="AH205" i="5"/>
  <c r="AK204" i="5"/>
  <c r="AH204" i="5"/>
  <c r="AK203" i="5"/>
  <c r="AH203" i="5"/>
  <c r="AK202" i="5"/>
  <c r="AH202" i="5"/>
  <c r="AK201" i="5"/>
  <c r="AH201" i="5"/>
  <c r="AK200" i="5"/>
  <c r="AH200" i="5"/>
  <c r="AK199" i="5"/>
  <c r="AH199" i="5"/>
  <c r="AK198" i="5"/>
  <c r="AH198" i="5"/>
  <c r="AK197" i="5"/>
  <c r="AH197" i="5"/>
  <c r="AK196" i="5"/>
  <c r="AH196" i="5"/>
  <c r="AK195" i="5"/>
  <c r="AH195" i="5"/>
  <c r="AK194" i="5"/>
  <c r="AH194" i="5"/>
  <c r="AK193" i="5"/>
  <c r="AH193" i="5"/>
  <c r="AK192" i="5"/>
  <c r="AH192" i="5"/>
  <c r="AK191" i="5"/>
  <c r="AH191" i="5"/>
  <c r="AK190" i="5"/>
  <c r="AH190" i="5"/>
  <c r="AK189" i="5"/>
  <c r="AH189" i="5"/>
  <c r="AK188" i="5"/>
  <c r="AH188" i="5"/>
  <c r="AK187" i="5"/>
  <c r="AH187" i="5"/>
  <c r="AK186" i="5"/>
  <c r="AH186" i="5"/>
  <c r="AK185" i="5"/>
  <c r="AH185" i="5"/>
  <c r="AK184" i="5"/>
  <c r="AH184" i="5"/>
  <c r="AK183" i="5"/>
  <c r="AH183" i="5"/>
  <c r="AK182" i="5"/>
  <c r="AH182" i="5"/>
  <c r="AK181" i="5"/>
  <c r="AH181" i="5"/>
  <c r="AK180" i="5"/>
  <c r="AH180" i="5"/>
  <c r="AK179" i="5"/>
  <c r="AH179" i="5"/>
  <c r="AK178" i="5"/>
  <c r="AH178" i="5"/>
  <c r="AK177" i="5"/>
  <c r="AH177" i="5"/>
  <c r="AK176" i="5"/>
  <c r="AH176" i="5"/>
  <c r="AK175" i="5"/>
  <c r="AH175" i="5"/>
  <c r="AK174" i="5"/>
  <c r="AH174" i="5"/>
  <c r="AK173" i="5"/>
  <c r="AH173" i="5"/>
  <c r="AK172" i="5"/>
  <c r="AH172" i="5"/>
  <c r="AK171" i="5"/>
  <c r="AH171" i="5"/>
  <c r="AK170" i="5"/>
  <c r="AH170" i="5"/>
  <c r="AK169" i="5"/>
  <c r="AH169" i="5"/>
  <c r="AK168" i="5"/>
  <c r="AH168" i="5"/>
  <c r="AK167" i="5"/>
  <c r="AH167" i="5"/>
  <c r="AK166" i="5"/>
  <c r="AH166" i="5"/>
  <c r="AK165" i="5"/>
  <c r="AH165" i="5"/>
  <c r="AK164" i="5"/>
  <c r="AH164" i="5"/>
  <c r="AK163" i="5"/>
  <c r="AH163" i="5"/>
  <c r="AK162" i="5"/>
  <c r="AH162" i="5"/>
  <c r="AK161" i="5"/>
  <c r="AH161" i="5"/>
  <c r="AK160" i="5"/>
  <c r="AH160" i="5"/>
  <c r="AK159" i="5"/>
  <c r="AH159" i="5"/>
  <c r="AK158" i="5"/>
  <c r="AH158" i="5"/>
  <c r="AK157" i="5"/>
  <c r="AH157" i="5"/>
  <c r="AK156" i="5"/>
  <c r="AH156" i="5"/>
  <c r="AK155" i="5"/>
  <c r="AH155" i="5"/>
  <c r="AK154" i="5"/>
  <c r="AH154" i="5"/>
  <c r="AK153" i="5"/>
  <c r="AH153" i="5"/>
  <c r="AK152" i="5"/>
  <c r="AH152" i="5"/>
  <c r="AK151" i="5"/>
  <c r="AH151" i="5"/>
  <c r="AK150" i="5"/>
  <c r="AH150" i="5"/>
  <c r="AK149" i="5"/>
  <c r="AH149" i="5"/>
  <c r="AK148" i="5"/>
  <c r="AH148" i="5"/>
  <c r="AK147" i="5"/>
  <c r="AH147" i="5"/>
  <c r="AK146" i="5"/>
  <c r="AH146" i="5"/>
  <c r="AK145" i="5"/>
  <c r="AH145" i="5"/>
  <c r="AK144" i="5"/>
  <c r="AH144" i="5"/>
  <c r="AK143" i="5"/>
  <c r="AH143" i="5"/>
  <c r="AK142" i="5"/>
  <c r="AH142" i="5"/>
  <c r="AK141" i="5"/>
  <c r="AH141" i="5"/>
  <c r="AK140" i="5"/>
  <c r="AH140" i="5"/>
  <c r="AK139" i="5"/>
  <c r="AH139" i="5"/>
  <c r="AK138" i="5"/>
  <c r="AH138" i="5"/>
  <c r="AK137" i="5"/>
  <c r="AH137" i="5"/>
  <c r="AK136" i="5"/>
  <c r="AH136" i="5"/>
  <c r="AK135" i="5"/>
  <c r="AH135" i="5"/>
  <c r="AK134" i="5"/>
  <c r="AH134" i="5"/>
  <c r="AK133" i="5"/>
  <c r="AH133" i="5"/>
  <c r="AK132" i="5"/>
  <c r="AH132" i="5"/>
  <c r="AK131" i="5"/>
  <c r="AH131" i="5"/>
  <c r="AK130" i="5"/>
  <c r="AH130" i="5"/>
  <c r="AK129" i="5"/>
  <c r="AH129" i="5"/>
  <c r="AK128" i="5"/>
  <c r="AH128" i="5"/>
  <c r="AK127" i="5"/>
  <c r="AH127" i="5"/>
  <c r="AK126" i="5"/>
  <c r="AH126" i="5"/>
  <c r="AK125" i="5"/>
  <c r="AH125" i="5"/>
  <c r="AK124" i="5"/>
  <c r="AH124" i="5"/>
  <c r="AK123" i="5"/>
  <c r="AH123" i="5"/>
  <c r="AK122" i="5"/>
  <c r="AH122" i="5"/>
  <c r="AK121" i="5"/>
  <c r="AH121" i="5"/>
  <c r="AK120" i="5"/>
  <c r="AH120" i="5"/>
  <c r="AK119" i="5"/>
  <c r="AH119" i="5"/>
  <c r="AK118" i="5"/>
  <c r="AH118" i="5"/>
  <c r="AK117" i="5"/>
  <c r="AH117" i="5"/>
  <c r="AK116" i="5"/>
  <c r="AH116" i="5"/>
  <c r="AK115" i="5"/>
  <c r="AH115" i="5"/>
  <c r="AK114" i="5"/>
  <c r="AH114" i="5"/>
  <c r="AK113" i="5"/>
  <c r="AH113" i="5"/>
  <c r="AK112" i="5"/>
  <c r="AH112" i="5"/>
  <c r="AK111" i="5"/>
  <c r="AH111" i="5"/>
  <c r="AK110" i="5"/>
  <c r="AH110" i="5"/>
  <c r="AK109" i="5"/>
  <c r="AH109" i="5"/>
  <c r="AK108" i="5"/>
  <c r="AH108" i="5"/>
  <c r="AK107" i="5"/>
  <c r="AH107" i="5"/>
  <c r="AK106" i="5"/>
  <c r="AH106" i="5"/>
  <c r="AK105" i="5"/>
  <c r="AH105" i="5"/>
  <c r="AK104" i="5"/>
  <c r="AH104" i="5"/>
  <c r="AK103" i="5"/>
  <c r="AH103" i="5"/>
  <c r="AK102" i="5"/>
  <c r="AH102" i="5"/>
  <c r="AK101" i="5"/>
  <c r="AH101" i="5"/>
  <c r="AK100" i="5"/>
  <c r="AH100" i="5"/>
  <c r="AK99" i="5"/>
  <c r="AH99" i="5"/>
  <c r="AK98" i="5"/>
  <c r="AH98" i="5"/>
  <c r="AK97" i="5"/>
  <c r="AH97" i="5"/>
  <c r="AK96" i="5"/>
  <c r="AH96" i="5"/>
  <c r="AK95" i="5"/>
  <c r="AH95" i="5"/>
  <c r="AK94" i="5"/>
  <c r="AH94" i="5"/>
  <c r="AK93" i="5"/>
  <c r="AH93" i="5"/>
  <c r="AK92" i="5"/>
  <c r="AH92" i="5"/>
  <c r="AK91" i="5"/>
  <c r="AH91" i="5"/>
  <c r="AK90" i="5"/>
  <c r="AH90" i="5"/>
  <c r="AK89" i="5"/>
  <c r="AH89" i="5"/>
  <c r="AK88" i="5"/>
  <c r="AH88" i="5"/>
  <c r="AK87" i="5"/>
  <c r="AH87" i="5"/>
  <c r="AK86" i="5"/>
  <c r="AH86" i="5"/>
  <c r="AK85" i="5"/>
  <c r="AH85" i="5"/>
  <c r="AK84" i="5"/>
  <c r="AH84" i="5"/>
  <c r="AK83" i="5"/>
  <c r="AH83" i="5"/>
  <c r="AK82" i="5"/>
  <c r="AH82" i="5"/>
  <c r="AK81" i="5"/>
  <c r="AH81" i="5"/>
  <c r="AK80" i="5"/>
  <c r="AH80" i="5"/>
  <c r="AK79" i="5"/>
  <c r="AH79" i="5"/>
  <c r="AK78" i="5"/>
  <c r="AH78" i="5"/>
  <c r="AK77" i="5"/>
  <c r="AH77" i="5"/>
  <c r="AK76" i="5"/>
  <c r="AH76" i="5"/>
  <c r="AK75" i="5"/>
  <c r="AH75" i="5"/>
  <c r="AK74" i="5"/>
  <c r="AH74" i="5"/>
  <c r="AK73" i="5"/>
  <c r="AH73" i="5"/>
  <c r="AK72" i="5"/>
  <c r="AH72" i="5"/>
  <c r="AK71" i="5"/>
  <c r="AH71" i="5"/>
  <c r="AK70" i="5"/>
  <c r="AH70" i="5"/>
  <c r="AK69" i="5"/>
  <c r="AH69" i="5"/>
  <c r="AK68" i="5"/>
  <c r="AH68" i="5"/>
  <c r="AK67" i="5"/>
  <c r="AH67" i="5"/>
  <c r="AK66" i="5"/>
  <c r="AH66" i="5"/>
  <c r="AK65" i="5"/>
  <c r="AH65" i="5"/>
  <c r="AK64" i="5"/>
  <c r="AH64" i="5"/>
  <c r="AK63" i="5"/>
  <c r="AH63" i="5"/>
  <c r="AK62" i="5"/>
  <c r="AH62" i="5"/>
  <c r="AK61" i="5"/>
  <c r="AH61" i="5"/>
  <c r="AK60" i="5"/>
  <c r="AH60" i="5"/>
  <c r="AK59" i="5"/>
  <c r="AH59" i="5"/>
  <c r="AK58" i="5"/>
  <c r="AH58" i="5"/>
  <c r="AK57" i="5"/>
  <c r="AH57" i="5"/>
  <c r="AK56" i="5"/>
  <c r="AH56" i="5"/>
  <c r="AK55" i="5"/>
  <c r="AH55" i="5"/>
  <c r="AK54" i="5"/>
  <c r="AH54" i="5"/>
  <c r="AK53" i="5"/>
  <c r="A44" i="2"/>
  <c r="B44" i="2"/>
  <c r="C44" i="2"/>
  <c r="D44" i="2"/>
  <c r="E44" i="2"/>
  <c r="F44" i="2"/>
  <c r="A45" i="2"/>
  <c r="B45" i="2"/>
  <c r="C45" i="2"/>
  <c r="D45" i="2"/>
  <c r="E45" i="2"/>
  <c r="F45" i="2"/>
  <c r="A46" i="2"/>
  <c r="B46" i="2"/>
  <c r="C46" i="2"/>
  <c r="D46" i="2"/>
  <c r="E46" i="2"/>
  <c r="F46" i="2"/>
  <c r="A47" i="2"/>
  <c r="B47" i="2"/>
  <c r="C47" i="2"/>
  <c r="D47" i="2"/>
  <c r="E47" i="2"/>
  <c r="F47" i="2"/>
  <c r="A48" i="2"/>
  <c r="B48" i="2"/>
  <c r="C48" i="2"/>
  <c r="D48" i="2"/>
  <c r="E48" i="2"/>
  <c r="F48" i="2"/>
  <c r="A49" i="2"/>
  <c r="B49" i="2"/>
  <c r="C49" i="2"/>
  <c r="D49" i="2"/>
  <c r="E49" i="2"/>
  <c r="F49" i="2"/>
  <c r="A50" i="2"/>
  <c r="B50" i="2"/>
  <c r="C50" i="2"/>
  <c r="D50" i="2"/>
  <c r="E50" i="2"/>
  <c r="F50" i="2"/>
  <c r="A51" i="2"/>
  <c r="B51" i="2"/>
  <c r="C51" i="2"/>
  <c r="D51" i="2"/>
  <c r="E51" i="2"/>
  <c r="F51" i="2"/>
  <c r="A52" i="2"/>
  <c r="B52" i="2"/>
  <c r="C52" i="2"/>
  <c r="D52" i="2"/>
  <c r="E52" i="2"/>
  <c r="F52" i="2"/>
  <c r="A53" i="2"/>
  <c r="B53" i="2"/>
  <c r="C53" i="2"/>
  <c r="D53" i="2"/>
  <c r="E53" i="2"/>
  <c r="F53" i="2"/>
  <c r="AK52" i="5"/>
  <c r="AK51" i="5"/>
  <c r="AK50" i="5"/>
  <c r="AH50" i="5"/>
  <c r="AK49" i="5"/>
  <c r="AH49" i="5"/>
  <c r="AK48" i="5"/>
  <c r="AH48" i="5"/>
  <c r="A35" i="2"/>
  <c r="B35" i="2"/>
  <c r="C35" i="2"/>
  <c r="D35" i="2"/>
  <c r="E35" i="2"/>
  <c r="F35" i="2"/>
  <c r="A36" i="2"/>
  <c r="B36" i="2"/>
  <c r="C36" i="2"/>
  <c r="D36" i="2"/>
  <c r="E36" i="2"/>
  <c r="F36" i="2"/>
  <c r="A37" i="2"/>
  <c r="B37" i="2"/>
  <c r="C37" i="2"/>
  <c r="D37" i="2"/>
  <c r="E37" i="2"/>
  <c r="F37" i="2"/>
  <c r="A38" i="2"/>
  <c r="B38" i="2"/>
  <c r="C38" i="2"/>
  <c r="D38" i="2"/>
  <c r="E38" i="2"/>
  <c r="F38" i="2"/>
  <c r="A39" i="2"/>
  <c r="B39" i="2"/>
  <c r="C39" i="2"/>
  <c r="D39" i="2"/>
  <c r="E39" i="2"/>
  <c r="F39" i="2"/>
  <c r="A40" i="2"/>
  <c r="B40" i="2"/>
  <c r="C40" i="2"/>
  <c r="D40" i="2"/>
  <c r="E40" i="2"/>
  <c r="F40" i="2"/>
  <c r="A41" i="2"/>
  <c r="B41" i="2"/>
  <c r="C41" i="2"/>
  <c r="D41" i="2"/>
  <c r="E41" i="2"/>
  <c r="F41" i="2"/>
  <c r="A42" i="2"/>
  <c r="B42" i="2"/>
  <c r="C42" i="2"/>
  <c r="D42" i="2"/>
  <c r="E42" i="2"/>
  <c r="F42" i="2"/>
  <c r="A43" i="2"/>
  <c r="B43" i="2"/>
  <c r="C43" i="2"/>
  <c r="D43" i="2"/>
  <c r="E43" i="2"/>
  <c r="F43" i="2"/>
  <c r="A23" i="2"/>
  <c r="B23" i="2"/>
  <c r="C23" i="2"/>
  <c r="D23" i="2"/>
  <c r="E23" i="2"/>
  <c r="F23" i="2"/>
  <c r="A24" i="2"/>
  <c r="B24" i="2"/>
  <c r="C24" i="2"/>
  <c r="D24" i="2"/>
  <c r="E24" i="2"/>
  <c r="F24" i="2"/>
  <c r="A25" i="2"/>
  <c r="B25" i="2"/>
  <c r="C25" i="2"/>
  <c r="D25" i="2"/>
  <c r="E25" i="2"/>
  <c r="F25" i="2"/>
  <c r="A26" i="2"/>
  <c r="B26" i="2"/>
  <c r="C26" i="2"/>
  <c r="D26" i="2"/>
  <c r="E26" i="2"/>
  <c r="F26" i="2"/>
  <c r="A27" i="2"/>
  <c r="B27" i="2"/>
  <c r="C27" i="2"/>
  <c r="D27" i="2"/>
  <c r="E27" i="2"/>
  <c r="F27" i="2"/>
  <c r="A28" i="2"/>
  <c r="B28" i="2"/>
  <c r="C28" i="2"/>
  <c r="D28" i="2"/>
  <c r="E28" i="2"/>
  <c r="F28" i="2"/>
  <c r="A29" i="2"/>
  <c r="B29" i="2"/>
  <c r="C29" i="2"/>
  <c r="D29" i="2"/>
  <c r="E29" i="2"/>
  <c r="F29" i="2"/>
  <c r="A30" i="2"/>
  <c r="B30" i="2"/>
  <c r="C30" i="2"/>
  <c r="D30" i="2"/>
  <c r="E30" i="2"/>
  <c r="F30" i="2"/>
  <c r="A31" i="2"/>
  <c r="B31" i="2"/>
  <c r="C31" i="2"/>
  <c r="D31" i="2"/>
  <c r="E31" i="2"/>
  <c r="F31" i="2"/>
  <c r="A32" i="2"/>
  <c r="B32" i="2"/>
  <c r="C32" i="2"/>
  <c r="D32" i="2"/>
  <c r="E32" i="2"/>
  <c r="F32" i="2"/>
  <c r="A33" i="2"/>
  <c r="B33" i="2"/>
  <c r="C33" i="2"/>
  <c r="D33" i="2"/>
  <c r="E33" i="2"/>
  <c r="F33" i="2"/>
  <c r="A34" i="2"/>
  <c r="B34" i="2"/>
  <c r="C34" i="2"/>
  <c r="D34" i="2"/>
  <c r="E34" i="2"/>
  <c r="F34" i="2"/>
  <c r="AH42" i="5"/>
  <c r="AH43" i="5"/>
  <c r="AH44" i="5"/>
  <c r="AH45" i="5"/>
  <c r="AH46" i="5"/>
  <c r="AH47" i="5"/>
  <c r="AK42" i="5"/>
  <c r="AK43" i="5"/>
  <c r="AK44" i="5"/>
  <c r="AK45" i="5"/>
  <c r="AK46" i="5"/>
  <c r="AK47" i="5"/>
  <c r="AK27" i="5"/>
  <c r="AK28" i="5"/>
  <c r="AK29" i="5"/>
  <c r="AK30" i="5"/>
  <c r="AK31" i="5"/>
  <c r="AK32" i="5"/>
  <c r="AK33" i="5"/>
  <c r="AK34" i="5"/>
  <c r="AK35" i="5"/>
  <c r="AK36" i="5"/>
  <c r="AK37" i="5"/>
  <c r="AK38" i="5"/>
  <c r="AK39" i="5"/>
  <c r="AK40" i="5"/>
  <c r="AK41" i="5"/>
  <c r="F6" i="2"/>
  <c r="F5" i="2"/>
  <c r="F7" i="2"/>
  <c r="F8" i="2"/>
  <c r="F9" i="2"/>
  <c r="F10" i="2"/>
  <c r="F11" i="2"/>
  <c r="F12" i="2"/>
  <c r="F13" i="2"/>
  <c r="F14" i="2"/>
  <c r="F15" i="2"/>
  <c r="F16" i="2"/>
  <c r="F17" i="2"/>
  <c r="F18" i="2"/>
  <c r="F19" i="2"/>
  <c r="F20" i="2"/>
  <c r="F21" i="2"/>
  <c r="F22" i="2"/>
  <c r="F4" i="2"/>
  <c r="AH9" i="5"/>
  <c r="AH10" i="5"/>
  <c r="AH11" i="5"/>
  <c r="AH12" i="5"/>
  <c r="AH13" i="5"/>
  <c r="AH14" i="5"/>
  <c r="AH15"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8" i="5"/>
  <c r="E5" i="2"/>
  <c r="E6" i="2"/>
  <c r="E7" i="2"/>
  <c r="E8" i="2"/>
  <c r="E9" i="2"/>
  <c r="E10" i="2"/>
  <c r="E11" i="2"/>
  <c r="E12" i="2"/>
  <c r="E13" i="2"/>
  <c r="E14" i="2"/>
  <c r="E15" i="2"/>
  <c r="E16" i="2"/>
  <c r="E17" i="2"/>
  <c r="E18" i="2"/>
  <c r="E19" i="2"/>
  <c r="E20" i="2"/>
  <c r="E21" i="2"/>
  <c r="E22" i="2"/>
  <c r="E4" i="2"/>
  <c r="AK8" i="5"/>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B22" i="2"/>
  <c r="C22" i="2"/>
  <c r="B4" i="2"/>
  <c r="C4" i="2"/>
  <c r="AK9" i="5"/>
  <c r="G5" i="2" s="1"/>
  <c r="AK26" i="5"/>
  <c r="AK25" i="5"/>
  <c r="AK24" i="5"/>
  <c r="AK23" i="5"/>
  <c r="AK22" i="5"/>
  <c r="AK21" i="5"/>
  <c r="AK20" i="5"/>
  <c r="AK19" i="5"/>
  <c r="AK18" i="5"/>
  <c r="AK17" i="5"/>
  <c r="AK16" i="5"/>
  <c r="AK15" i="5"/>
  <c r="AK14" i="5"/>
  <c r="AK13" i="5"/>
  <c r="L6" i="4"/>
  <c r="M6" i="4"/>
  <c r="L7" i="4"/>
  <c r="M7" i="4"/>
  <c r="L8" i="4"/>
  <c r="M8" i="4"/>
  <c r="L9" i="4"/>
  <c r="M9" i="4"/>
  <c r="L10" i="4"/>
  <c r="M10" i="4"/>
  <c r="L11" i="4"/>
  <c r="M11" i="4"/>
  <c r="L12" i="4"/>
  <c r="M12" i="4"/>
  <c r="L13" i="4"/>
  <c r="M13" i="4"/>
  <c r="L14" i="4"/>
  <c r="M14" i="4"/>
  <c r="M5" i="4"/>
  <c r="L5" i="4"/>
  <c r="G6" i="4"/>
  <c r="H6" i="4"/>
  <c r="G7" i="4"/>
  <c r="H7" i="4"/>
  <c r="G8" i="4"/>
  <c r="H8" i="4"/>
  <c r="G9" i="4"/>
  <c r="H9" i="4"/>
  <c r="G10" i="4"/>
  <c r="H10" i="4"/>
  <c r="G11" i="4"/>
  <c r="H11" i="4"/>
  <c r="G12" i="4"/>
  <c r="H12" i="4"/>
  <c r="G13" i="4"/>
  <c r="H13" i="4"/>
  <c r="G14" i="4"/>
  <c r="H14" i="4"/>
  <c r="H5" i="4"/>
  <c r="G5" i="4"/>
  <c r="C6" i="4"/>
  <c r="C7" i="4"/>
  <c r="C8" i="4"/>
  <c r="C9" i="4"/>
  <c r="C10" i="4"/>
  <c r="C11" i="4"/>
  <c r="C12" i="4"/>
  <c r="C13" i="4"/>
  <c r="C14" i="4"/>
  <c r="C5" i="4"/>
  <c r="B6" i="4"/>
  <c r="B7" i="4"/>
  <c r="B8" i="4"/>
  <c r="B9" i="4"/>
  <c r="B10" i="4"/>
  <c r="B11" i="4"/>
  <c r="B12" i="4"/>
  <c r="B13" i="4"/>
  <c r="B14" i="4"/>
  <c r="B5" i="4"/>
  <c r="AK12" i="5"/>
  <c r="C52" i="17"/>
  <c r="C41" i="17"/>
  <c r="C8" i="17"/>
  <c r="C69" i="17"/>
  <c r="C68" i="17"/>
  <c r="C67" i="17"/>
  <c r="C66" i="17"/>
  <c r="C65" i="17"/>
  <c r="C64" i="17"/>
  <c r="C63" i="17"/>
  <c r="C62" i="17"/>
  <c r="C61" i="17"/>
  <c r="C60" i="17"/>
  <c r="C59" i="17"/>
  <c r="C58" i="17"/>
  <c r="C57" i="17"/>
  <c r="C56" i="17"/>
  <c r="C55" i="17"/>
  <c r="C54" i="17"/>
  <c r="C53" i="17"/>
  <c r="C51" i="17"/>
  <c r="C50" i="17"/>
  <c r="C49" i="17"/>
  <c r="C48" i="17"/>
  <c r="C47" i="17"/>
  <c r="C46" i="17"/>
  <c r="C45" i="17"/>
  <c r="C44" i="17"/>
  <c r="C43" i="17"/>
  <c r="C42" i="17"/>
  <c r="C40" i="17"/>
  <c r="C39" i="17"/>
  <c r="C38" i="17"/>
  <c r="C37" i="17"/>
  <c r="C36" i="17"/>
  <c r="C35" i="17"/>
  <c r="C34" i="17"/>
  <c r="C33" i="17"/>
  <c r="C32" i="17"/>
  <c r="C31" i="17"/>
  <c r="C30" i="17"/>
  <c r="C29" i="17"/>
  <c r="C28" i="17"/>
  <c r="C27" i="17"/>
  <c r="C26" i="17"/>
  <c r="C25" i="17"/>
  <c r="C24" i="17"/>
  <c r="C23" i="17"/>
  <c r="C22" i="17"/>
  <c r="C21" i="17"/>
  <c r="C20" i="17"/>
  <c r="C19" i="17"/>
  <c r="C18" i="17"/>
  <c r="C17" i="17"/>
  <c r="C16" i="17"/>
  <c r="C15" i="17"/>
  <c r="C14" i="17"/>
  <c r="C13" i="17"/>
  <c r="C12" i="17"/>
  <c r="A4" i="2"/>
  <c r="A5" i="2"/>
  <c r="A6" i="2"/>
  <c r="A7" i="2"/>
  <c r="A8" i="2"/>
  <c r="A9" i="2"/>
  <c r="A10" i="2"/>
  <c r="A11" i="2"/>
  <c r="A12" i="2"/>
  <c r="A13" i="2"/>
  <c r="A14" i="2"/>
  <c r="A15" i="2"/>
  <c r="A16" i="2"/>
  <c r="A17" i="2"/>
  <c r="A18" i="2"/>
  <c r="A19" i="2"/>
  <c r="A20" i="2"/>
  <c r="A21" i="2"/>
  <c r="A22" i="2"/>
  <c r="D4" i="2"/>
  <c r="D5" i="2"/>
  <c r="D6" i="2"/>
  <c r="D7" i="2"/>
  <c r="D8" i="2"/>
  <c r="D9" i="2"/>
  <c r="D10" i="2"/>
  <c r="D11" i="2"/>
  <c r="D12" i="2"/>
  <c r="D13" i="2"/>
  <c r="D14" i="2"/>
  <c r="D15" i="2"/>
  <c r="D16" i="2"/>
  <c r="D17" i="2"/>
  <c r="D18" i="2"/>
  <c r="D19" i="2"/>
  <c r="D20" i="2"/>
  <c r="D21" i="2"/>
  <c r="D22" i="2"/>
  <c r="E10" i="1"/>
  <c r="E9" i="1"/>
  <c r="E7" i="1"/>
  <c r="E6" i="1"/>
  <c r="AK11" i="5"/>
  <c r="AK10" i="5"/>
  <c r="H21" i="7"/>
  <c r="H20" i="7"/>
  <c r="H19" i="7"/>
  <c r="H18" i="7"/>
  <c r="H17" i="7"/>
  <c r="H16" i="7"/>
  <c r="H15" i="7"/>
  <c r="H14" i="7"/>
  <c r="H13" i="7"/>
  <c r="H12" i="7"/>
  <c r="H11" i="7"/>
  <c r="H10" i="7"/>
  <c r="H9" i="7"/>
  <c r="H8" i="7"/>
  <c r="H7" i="7"/>
  <c r="H6" i="7"/>
  <c r="H5" i="7"/>
  <c r="H4" i="7"/>
  <c r="H3" i="7"/>
  <c r="H2" i="7"/>
  <c r="F5" i="17" l="1"/>
  <c r="H134" i="16" a="1"/>
  <c r="H134" i="16" s="1"/>
  <c r="H2" i="16" a="1"/>
  <c r="H2" i="16" s="1"/>
  <c r="H12" i="16" a="1"/>
  <c r="H12" i="16" s="1"/>
  <c r="H374" i="16" a="1"/>
  <c r="H374" i="16" s="1"/>
  <c r="H93" i="16" a="1"/>
  <c r="H93" i="16" s="1"/>
  <c r="H94" i="16" a="1"/>
  <c r="H94" i="16" s="1"/>
  <c r="H95" i="16" a="1"/>
  <c r="H95" i="16" s="1"/>
  <c r="H96" i="16" a="1"/>
  <c r="H96" i="16" s="1"/>
  <c r="H102" i="16" a="1"/>
  <c r="H102" i="16" s="1"/>
  <c r="H103" i="16" a="1"/>
  <c r="H103" i="16" s="1"/>
  <c r="H112" i="16" a="1"/>
  <c r="H112" i="16" s="1"/>
  <c r="H113" i="16" a="1"/>
  <c r="H113" i="16" s="1"/>
  <c r="H114" i="16" a="1"/>
  <c r="H114" i="16" s="1"/>
  <c r="H115" i="16" a="1"/>
  <c r="H115" i="16" s="1"/>
  <c r="H122" i="16" a="1"/>
  <c r="H122" i="16" s="1"/>
  <c r="H123" i="16" a="1"/>
  <c r="H123" i="16" s="1"/>
  <c r="H124" i="16" a="1"/>
  <c r="H124" i="16" s="1"/>
  <c r="H125" i="16" a="1"/>
  <c r="H125" i="16" s="1"/>
  <c r="H126" i="16" a="1"/>
  <c r="H126" i="16" s="1"/>
  <c r="H127" i="16" a="1"/>
  <c r="H127" i="16" s="1"/>
  <c r="H128" i="16" a="1"/>
  <c r="H128" i="16" s="1"/>
  <c r="H132" i="16" a="1"/>
  <c r="H132" i="16" s="1"/>
  <c r="H133" i="16" a="1"/>
  <c r="H133" i="16" s="1"/>
  <c r="H223" i="16" a="1"/>
  <c r="H223" i="16" s="1"/>
  <c r="H224" i="16" a="1"/>
  <c r="H224" i="16" s="1"/>
  <c r="H225" i="16" a="1"/>
  <c r="H225" i="16" s="1"/>
  <c r="H226" i="16" a="1"/>
  <c r="H226" i="16" s="1"/>
  <c r="H227" i="16" a="1"/>
  <c r="H227" i="16" s="1"/>
  <c r="H228" i="16" a="1"/>
  <c r="H228" i="16" s="1"/>
  <c r="H229" i="16" a="1"/>
  <c r="H229" i="16" s="1"/>
  <c r="H230" i="16" a="1"/>
  <c r="H230" i="16" s="1"/>
  <c r="H231" i="16" a="1"/>
  <c r="H231" i="16" s="1"/>
  <c r="H232" i="16" a="1"/>
  <c r="H232" i="16" s="1"/>
  <c r="H233" i="16" a="1"/>
  <c r="H233" i="16" s="1"/>
  <c r="H242" i="16" a="1"/>
  <c r="H242" i="16" s="1"/>
  <c r="H243" i="16" a="1"/>
  <c r="H243" i="16" s="1"/>
  <c r="H244" i="16" a="1"/>
  <c r="H244" i="16" s="1"/>
  <c r="H245" i="16" a="1"/>
  <c r="H245" i="16" s="1"/>
  <c r="H246" i="16" a="1"/>
  <c r="H246" i="16" s="1"/>
  <c r="H247" i="16" a="1"/>
  <c r="H247" i="16" s="1"/>
  <c r="H248" i="16" a="1"/>
  <c r="H248" i="16" s="1"/>
  <c r="H252" i="16" a="1"/>
  <c r="H252" i="16" s="1"/>
  <c r="H262" i="16" a="1"/>
  <c r="H262" i="16" s="1"/>
  <c r="H263" i="16" a="1"/>
  <c r="H263" i="16" s="1"/>
  <c r="H264" i="16" a="1"/>
  <c r="H264" i="16" s="1"/>
  <c r="H265" i="16" a="1"/>
  <c r="H265" i="16" s="1"/>
  <c r="H272" i="16" a="1"/>
  <c r="H272" i="16" s="1"/>
  <c r="H273" i="16" a="1"/>
  <c r="H273" i="16" s="1"/>
  <c r="H274" i="16" a="1"/>
  <c r="H274" i="16" s="1"/>
  <c r="H275" i="16" a="1"/>
  <c r="H275" i="16" s="1"/>
  <c r="H282" i="16" a="1"/>
  <c r="H282" i="16" s="1"/>
  <c r="H292" i="16" a="1"/>
  <c r="H292" i="16" s="1"/>
  <c r="H293" i="16" a="1"/>
  <c r="H293" i="16" s="1"/>
  <c r="H294" i="16" a="1"/>
  <c r="H294" i="16" s="1"/>
  <c r="H302" i="16" a="1"/>
  <c r="H302" i="16" s="1"/>
  <c r="H312" i="16" a="1"/>
  <c r="H312" i="16" s="1"/>
  <c r="H313" i="16" a="1"/>
  <c r="H313" i="16" s="1"/>
  <c r="H314" i="16" a="1"/>
  <c r="H314" i="16" s="1"/>
  <c r="H315" i="16" a="1"/>
  <c r="H315" i="16" s="1"/>
  <c r="H316" i="16" a="1"/>
  <c r="H316" i="16" s="1"/>
  <c r="H322" i="16" a="1"/>
  <c r="H322" i="16" s="1"/>
  <c r="H332" i="16" a="1"/>
  <c r="H332" i="16" s="1"/>
  <c r="H333" i="16" a="1"/>
  <c r="H333" i="16" s="1"/>
  <c r="H334" i="16" a="1"/>
  <c r="H334" i="16" s="1"/>
  <c r="H335" i="16" a="1"/>
  <c r="H335" i="16" s="1"/>
  <c r="H336" i="16" a="1"/>
  <c r="H336" i="16" s="1"/>
  <c r="H337" i="16" a="1"/>
  <c r="H337" i="16" s="1"/>
  <c r="H342" i="16" a="1"/>
  <c r="H342" i="16" s="1"/>
  <c r="H343" i="16" a="1"/>
  <c r="H343" i="16" s="1"/>
  <c r="H344" i="16" a="1"/>
  <c r="H344" i="16" s="1"/>
  <c r="H345" i="16" a="1"/>
  <c r="H345" i="16" s="1"/>
  <c r="H346" i="16" a="1"/>
  <c r="H346" i="16" s="1"/>
  <c r="H347" i="16" a="1"/>
  <c r="H347" i="16" s="1"/>
  <c r="H352" i="16" a="1"/>
  <c r="H352" i="16" s="1"/>
  <c r="H362" i="16" a="1"/>
  <c r="H362" i="16" s="1"/>
  <c r="H363" i="16" a="1"/>
  <c r="H363" i="16" s="1"/>
  <c r="H364" i="16" a="1"/>
  <c r="H364" i="16" s="1"/>
  <c r="H365" i="16" a="1"/>
  <c r="H365" i="16" s="1"/>
  <c r="H366" i="16" a="1"/>
  <c r="H366" i="16" s="1"/>
  <c r="H367" i="16" a="1"/>
  <c r="H367" i="16" s="1"/>
  <c r="H372" i="16" a="1"/>
  <c r="H372" i="16" s="1"/>
  <c r="H22" i="16" a="1"/>
  <c r="H22" i="16" s="1"/>
  <c r="H87" i="16" a="1"/>
  <c r="H87" i="16" s="1"/>
  <c r="H32" i="16" a="1"/>
  <c r="H32" i="16" s="1"/>
  <c r="H382" i="16" a="1"/>
  <c r="H382" i="16" s="1"/>
  <c r="H383" i="16" a="1"/>
  <c r="H383" i="16" s="1"/>
  <c r="H392" i="16" a="1"/>
  <c r="H392" i="16" s="1"/>
  <c r="H393" i="16" a="1"/>
  <c r="H393" i="16" s="1"/>
  <c r="H394" i="16" a="1"/>
  <c r="H394" i="16" s="1"/>
  <c r="H395" i="16" a="1"/>
  <c r="H395" i="16" s="1"/>
  <c r="H396" i="16" a="1"/>
  <c r="H396" i="16" s="1"/>
  <c r="H397" i="16" a="1"/>
  <c r="H397" i="16" s="1"/>
  <c r="H398" i="16" a="1"/>
  <c r="H398" i="16" s="1"/>
  <c r="H399" i="16" a="1"/>
  <c r="H399" i="16" s="1"/>
  <c r="H400" i="16" a="1"/>
  <c r="H400" i="16" s="1"/>
  <c r="H402" i="16" a="1"/>
  <c r="H402" i="16" s="1"/>
  <c r="H403" i="16" a="1"/>
  <c r="H403" i="16" s="1"/>
  <c r="H412" i="16" a="1"/>
  <c r="H412" i="16" s="1"/>
  <c r="H413" i="16" a="1"/>
  <c r="H413" i="16" s="1"/>
  <c r="H414" i="16" a="1"/>
  <c r="H414" i="16" s="1"/>
  <c r="H415" i="16" a="1"/>
  <c r="H415" i="16" s="1"/>
  <c r="H422" i="16" a="1"/>
  <c r="H422" i="16" s="1"/>
  <c r="H432" i="16" a="1"/>
  <c r="H432" i="16" s="1"/>
  <c r="H92" i="16" a="1"/>
  <c r="H92" i="16" s="1"/>
  <c r="H552" i="16" a="1"/>
  <c r="H552" i="16" s="1"/>
  <c r="H554" i="16" a="1"/>
  <c r="H554" i="16" s="1"/>
  <c r="H562" i="16" a="1"/>
  <c r="H562" i="16" s="1"/>
  <c r="H564" i="16" a="1"/>
  <c r="H564" i="16" s="1"/>
  <c r="H566" i="16" a="1"/>
  <c r="H566" i="16" s="1"/>
  <c r="H568" i="16" a="1"/>
  <c r="H568" i="16" s="1"/>
  <c r="H572" i="16" a="1"/>
  <c r="H572" i="16" s="1"/>
  <c r="H574" i="16" a="1"/>
  <c r="H574" i="16" s="1"/>
  <c r="H575" i="16" a="1"/>
  <c r="H575" i="16" s="1"/>
  <c r="H442" i="16" a="1"/>
  <c r="H442" i="16" s="1"/>
  <c r="H443" i="16" a="1"/>
  <c r="H443" i="16" s="1"/>
  <c r="H444" i="16" a="1"/>
  <c r="H444" i="16" s="1"/>
  <c r="H445" i="16" a="1"/>
  <c r="H445" i="16" s="1"/>
  <c r="H446" i="16" a="1"/>
  <c r="H446" i="16" s="1"/>
  <c r="H452" i="16" a="1"/>
  <c r="H452" i="16" s="1"/>
  <c r="H453" i="16" a="1"/>
  <c r="H453" i="16" s="1"/>
  <c r="H454" i="16" a="1"/>
  <c r="H454" i="16" s="1"/>
  <c r="H455" i="16" a="1"/>
  <c r="H455" i="16" s="1"/>
  <c r="H462" i="16" a="1"/>
  <c r="H462" i="16" s="1"/>
  <c r="H463" i="16" a="1"/>
  <c r="H463" i="16" s="1"/>
  <c r="H464" i="16" a="1"/>
  <c r="H464" i="16" s="1"/>
  <c r="H465" i="16" a="1"/>
  <c r="H465" i="16" s="1"/>
  <c r="H472" i="16" a="1"/>
  <c r="H472" i="16" s="1"/>
  <c r="H473" i="16" a="1"/>
  <c r="H473" i="16" s="1"/>
  <c r="H474" i="16" a="1"/>
  <c r="H474" i="16" s="1"/>
  <c r="H475" i="16" a="1"/>
  <c r="H475" i="16" s="1"/>
  <c r="H476" i="16" a="1"/>
  <c r="H476" i="16" s="1"/>
  <c r="H477" i="16" a="1"/>
  <c r="H477" i="16" s="1"/>
  <c r="H478" i="16" a="1"/>
  <c r="H478" i="16" s="1"/>
  <c r="H482" i="16" a="1"/>
  <c r="H482" i="16" s="1"/>
  <c r="H492" i="16" a="1"/>
  <c r="H492" i="16" s="1"/>
  <c r="H493" i="16" a="1"/>
  <c r="H493" i="16" s="1"/>
  <c r="H494" i="16" a="1"/>
  <c r="H494" i="16" s="1"/>
  <c r="H502" i="16" a="1"/>
  <c r="H502" i="16" s="1"/>
  <c r="H503" i="16" a="1"/>
  <c r="H503" i="16" s="1"/>
  <c r="H504" i="16" a="1"/>
  <c r="H504" i="16" s="1"/>
  <c r="H512" i="16" a="1"/>
  <c r="H512" i="16" s="1"/>
  <c r="H513" i="16" a="1"/>
  <c r="H513" i="16" s="1"/>
  <c r="H514" i="16" a="1"/>
  <c r="H514" i="16" s="1"/>
  <c r="H522" i="16" a="1"/>
  <c r="H522" i="16" s="1"/>
  <c r="H523" i="16" a="1"/>
  <c r="H523" i="16" s="1"/>
  <c r="H524" i="16" a="1"/>
  <c r="H524" i="16" s="1"/>
  <c r="H525" i="16" a="1"/>
  <c r="H525" i="16" s="1"/>
  <c r="H532" i="16" a="1"/>
  <c r="H532" i="16" s="1"/>
  <c r="H533" i="16" a="1"/>
  <c r="H533" i="16" s="1"/>
  <c r="H534" i="16" a="1"/>
  <c r="H534" i="16" s="1"/>
  <c r="H535" i="16" a="1"/>
  <c r="H535" i="16" s="1"/>
  <c r="H536" i="16" a="1"/>
  <c r="H536" i="16" s="1"/>
  <c r="H542" i="16" a="1"/>
  <c r="H542" i="16" s="1"/>
  <c r="H544" i="16" a="1"/>
  <c r="H544" i="16" s="1"/>
  <c r="H553" i="16" a="1"/>
  <c r="H553" i="16" s="1"/>
  <c r="H555" i="16" a="1"/>
  <c r="H555" i="16" s="1"/>
  <c r="H563" i="16" a="1"/>
  <c r="H563" i="16" s="1"/>
  <c r="H565" i="16" a="1"/>
  <c r="H565" i="16" s="1"/>
  <c r="H567" i="16" a="1"/>
  <c r="H567" i="16" s="1"/>
  <c r="H569" i="16" a="1"/>
  <c r="H569" i="16" s="1"/>
  <c r="H573" i="16" a="1"/>
  <c r="H573" i="16" s="1"/>
  <c r="H576" i="16" a="1"/>
  <c r="H576" i="16" s="1"/>
  <c r="H577" i="16" a="1"/>
  <c r="H577" i="16" s="1"/>
  <c r="H86" i="16" a="1"/>
  <c r="H86" i="16" s="1"/>
  <c r="H85" i="16" a="1"/>
  <c r="H85" i="16" s="1"/>
  <c r="H84" i="16" a="1"/>
  <c r="H84" i="16" s="1"/>
  <c r="H83" i="16" a="1"/>
  <c r="H83" i="16" s="1"/>
  <c r="H82" i="16" a="1"/>
  <c r="H82" i="16" s="1"/>
  <c r="H78" i="16" a="1"/>
  <c r="H78" i="16" s="1"/>
  <c r="H77" i="16" a="1"/>
  <c r="H77" i="16" s="1"/>
  <c r="H76" i="16" a="1"/>
  <c r="H76" i="16" s="1"/>
  <c r="H75" i="16" a="1"/>
  <c r="H75" i="16" s="1"/>
  <c r="H74" i="16" a="1"/>
  <c r="H74" i="16" s="1"/>
  <c r="H73" i="16" a="1"/>
  <c r="H73" i="16" s="1"/>
  <c r="H72" i="16" a="1"/>
  <c r="H72" i="16" s="1"/>
  <c r="H68" i="16" a="1"/>
  <c r="H68" i="16" s="1"/>
  <c r="H67" i="16" a="1"/>
  <c r="H67" i="16" s="1"/>
  <c r="H66" i="16" a="1"/>
  <c r="H66" i="16" s="1"/>
  <c r="H65" i="16" a="1"/>
  <c r="H65" i="16" s="1"/>
  <c r="H64" i="16" a="1"/>
  <c r="H64" i="16" s="1"/>
  <c r="H63" i="16" a="1"/>
  <c r="H63" i="16" s="1"/>
  <c r="H62" i="16" a="1"/>
  <c r="H62" i="16" s="1"/>
  <c r="H57" i="16" a="1"/>
  <c r="H57" i="16" s="1"/>
  <c r="H56" i="16" a="1"/>
  <c r="H56" i="16" s="1"/>
  <c r="H55" i="16" a="1"/>
  <c r="H55" i="16" s="1"/>
  <c r="H54" i="16" a="1"/>
  <c r="H54" i="16" s="1"/>
  <c r="H53" i="16" a="1"/>
  <c r="H53" i="16" s="1"/>
  <c r="H52" i="16" a="1"/>
  <c r="H52" i="16" s="1"/>
  <c r="H48" i="16" a="1"/>
  <c r="H48" i="16" s="1"/>
  <c r="H47" i="16" a="1"/>
  <c r="H47" i="16" s="1"/>
  <c r="H46" i="16" a="1"/>
  <c r="H46" i="16" s="1"/>
  <c r="H45" i="16" a="1"/>
  <c r="H45" i="16" s="1"/>
  <c r="H44" i="16" a="1"/>
  <c r="H44" i="16" s="1"/>
  <c r="H43" i="16" a="1"/>
  <c r="H43" i="16" s="1"/>
  <c r="H42" i="16" a="1"/>
  <c r="H42" i="16" s="1"/>
  <c r="H37" i="16" a="1"/>
  <c r="H37" i="16" s="1"/>
  <c r="H36" i="16" a="1"/>
  <c r="H36" i="16" s="1"/>
  <c r="H35" i="16" a="1"/>
  <c r="H35" i="16" s="1"/>
  <c r="H34" i="16" a="1"/>
  <c r="H34" i="16" s="1"/>
  <c r="H33" i="16" a="1"/>
  <c r="H33" i="16" s="1"/>
  <c r="H375" i="16" a="1"/>
  <c r="H375" i="16" s="1"/>
  <c r="H373" i="16" a="1"/>
  <c r="H373" i="16" s="1"/>
  <c r="H543" i="16" a="1"/>
  <c r="H543" i="16" s="1"/>
  <c r="AL61" i="5"/>
  <c r="AL62" i="5"/>
  <c r="AL63" i="5"/>
  <c r="AL64" i="5"/>
  <c r="AL65" i="5"/>
  <c r="AL66" i="5"/>
  <c r="AL67" i="5"/>
  <c r="AL68" i="5"/>
  <c r="AL69" i="5"/>
  <c r="AL70" i="5"/>
  <c r="AL71" i="5"/>
  <c r="AN72" i="5"/>
  <c r="AL72" i="5"/>
  <c r="AM72" i="5"/>
  <c r="AL73" i="5"/>
  <c r="AM73" i="5"/>
  <c r="AN73" i="5"/>
  <c r="AM74" i="5"/>
  <c r="AN74" i="5"/>
  <c r="AL74" i="5"/>
  <c r="AN75" i="5"/>
  <c r="AM75" i="5"/>
  <c r="AL75" i="5"/>
  <c r="AN76" i="5"/>
  <c r="AM76" i="5"/>
  <c r="AL76" i="5"/>
  <c r="AM77" i="5"/>
  <c r="AN77" i="5"/>
  <c r="AL77" i="5"/>
  <c r="AM78" i="5"/>
  <c r="AL78" i="5"/>
  <c r="AN78" i="5"/>
  <c r="AM79" i="5"/>
  <c r="AL79" i="5"/>
  <c r="AN79" i="5"/>
  <c r="AN80" i="5"/>
  <c r="AL80" i="5"/>
  <c r="AM80" i="5"/>
  <c r="AN81" i="5"/>
  <c r="AM81" i="5"/>
  <c r="AL81" i="5"/>
  <c r="AN82" i="5"/>
  <c r="AM82" i="5"/>
  <c r="AL82" i="5"/>
  <c r="AM83" i="5"/>
  <c r="AL83" i="5"/>
  <c r="AN83" i="5"/>
  <c r="AL84" i="5"/>
  <c r="AM84" i="5"/>
  <c r="AN84" i="5"/>
  <c r="AN85" i="5"/>
  <c r="AM85" i="5"/>
  <c r="AL85" i="5"/>
  <c r="AM86" i="5"/>
  <c r="AL86" i="5"/>
  <c r="AN86" i="5"/>
  <c r="AN87" i="5"/>
  <c r="AL87" i="5"/>
  <c r="AM87" i="5"/>
  <c r="AL88" i="5"/>
  <c r="AN88" i="5"/>
  <c r="AM88" i="5"/>
  <c r="AL89" i="5"/>
  <c r="AN89" i="5"/>
  <c r="AM89" i="5"/>
  <c r="AM90" i="5"/>
  <c r="AN90" i="5"/>
  <c r="AL90" i="5"/>
  <c r="AN91" i="5"/>
  <c r="AL91" i="5"/>
  <c r="AM91" i="5"/>
  <c r="AN92" i="5"/>
  <c r="AL92" i="5"/>
  <c r="AM92" i="5"/>
  <c r="AM93" i="5"/>
  <c r="AL93" i="5"/>
  <c r="AN93" i="5"/>
  <c r="AN94" i="5"/>
  <c r="AL94" i="5"/>
  <c r="AM94" i="5"/>
  <c r="AL95" i="5"/>
  <c r="AM95" i="5"/>
  <c r="AN95" i="5"/>
  <c r="AL96" i="5"/>
  <c r="AN96" i="5"/>
  <c r="AM96" i="5"/>
  <c r="AM97" i="5"/>
  <c r="AN97" i="5"/>
  <c r="AL97" i="5"/>
  <c r="AM98" i="5"/>
  <c r="AN98" i="5"/>
  <c r="AL98" i="5"/>
  <c r="AM99" i="5"/>
  <c r="AL99" i="5"/>
  <c r="AN99" i="5"/>
  <c r="AM100" i="5"/>
  <c r="AN100" i="5"/>
  <c r="AL100" i="5"/>
  <c r="AL101" i="5"/>
  <c r="AN101" i="5"/>
  <c r="AM101" i="5"/>
  <c r="AL102" i="5"/>
  <c r="AN102" i="5"/>
  <c r="AM102" i="5"/>
  <c r="AN103" i="5"/>
  <c r="AL103" i="5"/>
  <c r="AM103" i="5"/>
  <c r="AM104" i="5"/>
  <c r="AL104" i="5"/>
  <c r="AN104" i="5"/>
  <c r="AM105" i="5"/>
  <c r="AN105" i="5"/>
  <c r="AL105" i="5"/>
  <c r="AL106" i="5"/>
  <c r="AM106" i="5"/>
  <c r="AN106" i="5"/>
  <c r="AL107" i="5"/>
  <c r="AM107" i="5"/>
  <c r="AN107" i="5"/>
  <c r="AM108" i="5"/>
  <c r="AN108" i="5"/>
  <c r="AL108" i="5"/>
  <c r="AL109" i="5"/>
  <c r="AN109" i="5"/>
  <c r="AM109" i="5"/>
  <c r="AM110" i="5"/>
  <c r="AL110" i="5"/>
  <c r="AN110" i="5"/>
  <c r="AP8" i="5"/>
  <c r="AN61" i="5" s="1"/>
  <c r="AO8" i="5"/>
  <c r="AM61" i="5" s="1"/>
  <c r="AN8" i="5"/>
  <c r="AM8" i="5"/>
  <c r="AO9" i="5"/>
  <c r="AM62" i="5" s="1"/>
  <c r="AP9" i="5"/>
  <c r="AN62" i="5" s="1"/>
  <c r="AM9" i="5"/>
  <c r="AN9" i="5"/>
  <c r="AN10" i="5"/>
  <c r="AP10" i="5"/>
  <c r="AN63" i="5" s="1"/>
  <c r="AO10" i="5"/>
  <c r="AM63" i="5" s="1"/>
  <c r="AM10" i="5"/>
  <c r="AP11" i="5"/>
  <c r="AN64" i="5" s="1"/>
  <c r="AN11" i="5"/>
  <c r="AO11" i="5"/>
  <c r="AM64" i="5" s="1"/>
  <c r="AM11" i="5"/>
  <c r="AN12" i="5"/>
  <c r="AM12" i="5"/>
  <c r="AP12" i="5"/>
  <c r="AN65" i="5" s="1"/>
  <c r="AO12" i="5"/>
  <c r="AM65" i="5" s="1"/>
  <c r="AP13" i="5"/>
  <c r="AN66" i="5" s="1"/>
  <c r="AO13" i="5"/>
  <c r="AM66" i="5" s="1"/>
  <c r="AM13" i="5"/>
  <c r="AN13" i="5"/>
  <c r="AP14" i="5"/>
  <c r="AN67" i="5" s="1"/>
  <c r="AO14" i="5"/>
  <c r="AM67" i="5" s="1"/>
  <c r="AN14" i="5"/>
  <c r="AM14" i="5"/>
  <c r="AP15" i="5"/>
  <c r="AN68" i="5" s="1"/>
  <c r="AO15" i="5"/>
  <c r="AM68" i="5" s="1"/>
  <c r="AN15" i="5"/>
  <c r="AM15" i="5"/>
  <c r="AP16" i="5"/>
  <c r="AN69" i="5" s="1"/>
  <c r="AO16" i="5"/>
  <c r="AM69" i="5" s="1"/>
  <c r="AN16" i="5"/>
  <c r="AM16" i="5"/>
  <c r="AP17" i="5"/>
  <c r="AN70" i="5" s="1"/>
  <c r="AO17" i="5"/>
  <c r="AN17" i="5"/>
  <c r="AM17" i="5"/>
  <c r="AP18" i="5"/>
  <c r="AN71" i="5" s="1"/>
  <c r="AO18" i="5"/>
  <c r="AN18" i="5"/>
  <c r="AM18" i="5"/>
  <c r="AR19" i="5"/>
  <c r="AP19" i="5"/>
  <c r="AO19" i="5"/>
  <c r="AQ19" i="5" s="1"/>
  <c r="AN19" i="5"/>
  <c r="AM19" i="5"/>
  <c r="AR20" i="5"/>
  <c r="AP20" i="5"/>
  <c r="AO20" i="5"/>
  <c r="AN20" i="5"/>
  <c r="AM20" i="5"/>
  <c r="AR21" i="5"/>
  <c r="AP21" i="5"/>
  <c r="AO21" i="5"/>
  <c r="AQ21" i="5" s="1"/>
  <c r="AN21" i="5"/>
  <c r="AM21" i="5"/>
  <c r="AR22" i="5"/>
  <c r="AP22" i="5"/>
  <c r="AO22" i="5"/>
  <c r="AQ22" i="5" s="1"/>
  <c r="AN22" i="5"/>
  <c r="AM22" i="5"/>
  <c r="AR23" i="5"/>
  <c r="AP23" i="5"/>
  <c r="AO23" i="5"/>
  <c r="AQ23" i="5" s="1"/>
  <c r="AN23" i="5"/>
  <c r="AM23" i="5"/>
  <c r="AR24" i="5"/>
  <c r="AP24" i="5"/>
  <c r="AO24" i="5"/>
  <c r="AQ24" i="5" s="1"/>
  <c r="AN24" i="5"/>
  <c r="AM24" i="5"/>
  <c r="AR25" i="5"/>
  <c r="AP25" i="5"/>
  <c r="AO25" i="5"/>
  <c r="AQ25" i="5" s="1"/>
  <c r="AN25" i="5"/>
  <c r="AM25" i="5"/>
  <c r="AR26" i="5"/>
  <c r="AP26" i="5"/>
  <c r="AO26" i="5"/>
  <c r="AQ26" i="5" s="1"/>
  <c r="AN26" i="5"/>
  <c r="AM26" i="5"/>
  <c r="AR27" i="5"/>
  <c r="AP27" i="5"/>
  <c r="AO27" i="5"/>
  <c r="AN27" i="5"/>
  <c r="AM27" i="5"/>
  <c r="AR28" i="5"/>
  <c r="AP28" i="5"/>
  <c r="AO28" i="5"/>
  <c r="AQ28" i="5" s="1"/>
  <c r="AN28" i="5"/>
  <c r="AM28" i="5"/>
  <c r="AR29" i="5"/>
  <c r="AP29" i="5"/>
  <c r="AO29" i="5"/>
  <c r="AQ29" i="5" s="1"/>
  <c r="AN29" i="5"/>
  <c r="AM29" i="5"/>
  <c r="AR30" i="5"/>
  <c r="AP30" i="5"/>
  <c r="AO30" i="5"/>
  <c r="AQ30" i="5" s="1"/>
  <c r="AN30" i="5"/>
  <c r="AM30" i="5"/>
  <c r="AR31" i="5"/>
  <c r="AP31" i="5"/>
  <c r="AO31" i="5"/>
  <c r="AQ31" i="5" s="1"/>
  <c r="AN31" i="5"/>
  <c r="AM31" i="5"/>
  <c r="AR32" i="5"/>
  <c r="AP32" i="5"/>
  <c r="AO32" i="5"/>
  <c r="AQ32" i="5" s="1"/>
  <c r="AN32" i="5"/>
  <c r="AM32" i="5"/>
  <c r="AR33" i="5"/>
  <c r="AP33" i="5"/>
  <c r="AO33" i="5"/>
  <c r="AQ33" i="5" s="1"/>
  <c r="AN33" i="5"/>
  <c r="AM33" i="5"/>
  <c r="AR34" i="5"/>
  <c r="AP34" i="5"/>
  <c r="AO34" i="5"/>
  <c r="AQ34" i="5" s="1"/>
  <c r="AN34" i="5"/>
  <c r="AM34" i="5"/>
  <c r="AR35" i="5"/>
  <c r="AP35" i="5"/>
  <c r="AO35" i="5"/>
  <c r="AQ35" i="5" s="1"/>
  <c r="AN35" i="5"/>
  <c r="AM35" i="5"/>
  <c r="AR36" i="5"/>
  <c r="AP36" i="5"/>
  <c r="AO36" i="5"/>
  <c r="AQ36" i="5" s="1"/>
  <c r="AN36" i="5"/>
  <c r="AM36" i="5"/>
  <c r="AR37" i="5"/>
  <c r="AO37" i="5"/>
  <c r="AP37" i="5"/>
  <c r="AQ37" i="5" s="1"/>
  <c r="AN37" i="5"/>
  <c r="AM37" i="5"/>
  <c r="AR38" i="5"/>
  <c r="AP38" i="5"/>
  <c r="AO38" i="5"/>
  <c r="AQ38" i="5" s="1"/>
  <c r="AN38" i="5"/>
  <c r="AM38" i="5"/>
  <c r="AR39" i="5"/>
  <c r="AP39" i="5"/>
  <c r="AO39" i="5"/>
  <c r="AQ39" i="5" s="1"/>
  <c r="AN39" i="5"/>
  <c r="AM39" i="5"/>
  <c r="AR40" i="5"/>
  <c r="AP40" i="5"/>
  <c r="AO40" i="5"/>
  <c r="AQ40" i="5" s="1"/>
  <c r="AN40" i="5"/>
  <c r="AM40" i="5"/>
  <c r="AR41" i="5"/>
  <c r="AP41" i="5"/>
  <c r="AO41" i="5"/>
  <c r="AQ41" i="5" s="1"/>
  <c r="AN41" i="5"/>
  <c r="AM41" i="5"/>
  <c r="AR42" i="5"/>
  <c r="AP42" i="5"/>
  <c r="AO42" i="5"/>
  <c r="AQ42" i="5" s="1"/>
  <c r="AN42" i="5"/>
  <c r="AM42" i="5"/>
  <c r="AR43" i="5"/>
  <c r="AP43" i="5"/>
  <c r="AO43" i="5"/>
  <c r="AQ43" i="5" s="1"/>
  <c r="AN43" i="5"/>
  <c r="AM43" i="5"/>
  <c r="AR44" i="5"/>
  <c r="AP44" i="5"/>
  <c r="AO44" i="5"/>
  <c r="AQ44" i="5" s="1"/>
  <c r="AN44" i="5"/>
  <c r="AM44" i="5"/>
  <c r="AR45" i="5"/>
  <c r="AP45" i="5"/>
  <c r="AO45" i="5"/>
  <c r="AQ45" i="5" s="1"/>
  <c r="AN45" i="5"/>
  <c r="AM45" i="5"/>
  <c r="AR46" i="5"/>
  <c r="AP46" i="5"/>
  <c r="AO46" i="5"/>
  <c r="AQ46" i="5" s="1"/>
  <c r="AN46" i="5"/>
  <c r="AM46" i="5"/>
  <c r="AR47" i="5"/>
  <c r="AP47" i="5"/>
  <c r="AO47" i="5"/>
  <c r="AQ47" i="5" s="1"/>
  <c r="AN47" i="5"/>
  <c r="AM47" i="5"/>
  <c r="AR48" i="5"/>
  <c r="AP48" i="5"/>
  <c r="AO48" i="5"/>
  <c r="AN48" i="5"/>
  <c r="AM48" i="5"/>
  <c r="AR49" i="5"/>
  <c r="AP49" i="5"/>
  <c r="AO49" i="5"/>
  <c r="AQ49" i="5" s="1"/>
  <c r="AN49" i="5"/>
  <c r="AM49" i="5"/>
  <c r="AR50" i="5"/>
  <c r="AP50" i="5"/>
  <c r="AO50" i="5"/>
  <c r="AQ50" i="5" s="1"/>
  <c r="AN50" i="5"/>
  <c r="AM50" i="5"/>
  <c r="AR51" i="5"/>
  <c r="AP51" i="5"/>
  <c r="AO51" i="5"/>
  <c r="AQ51" i="5" s="1"/>
  <c r="AN51" i="5"/>
  <c r="AM51" i="5"/>
  <c r="AR52" i="5"/>
  <c r="AP52" i="5"/>
  <c r="AO52" i="5"/>
  <c r="AQ52" i="5" s="1"/>
  <c r="AN52" i="5"/>
  <c r="AM52" i="5"/>
  <c r="AR53" i="5"/>
  <c r="AP53" i="5"/>
  <c r="AO53" i="5"/>
  <c r="AQ53" i="5" s="1"/>
  <c r="AN53" i="5"/>
  <c r="AM53" i="5"/>
  <c r="AR54" i="5"/>
  <c r="AP54" i="5"/>
  <c r="AO54" i="5"/>
  <c r="AQ54" i="5" s="1"/>
  <c r="AN54" i="5"/>
  <c r="AM54" i="5"/>
  <c r="AR55" i="5"/>
  <c r="AP55" i="5"/>
  <c r="AO55" i="5"/>
  <c r="AQ55" i="5" s="1"/>
  <c r="AN55" i="5"/>
  <c r="AM55" i="5"/>
  <c r="AR56" i="5"/>
  <c r="AP56" i="5"/>
  <c r="AO56" i="5"/>
  <c r="AN56" i="5"/>
  <c r="AM56" i="5"/>
  <c r="AR57" i="5"/>
  <c r="AP57" i="5"/>
  <c r="AO57" i="5"/>
  <c r="AQ57" i="5" s="1"/>
  <c r="AN57" i="5"/>
  <c r="AM57" i="5"/>
  <c r="AN58" i="5"/>
  <c r="AO58" i="5"/>
  <c r="AV8" i="5"/>
  <c r="AV9" i="5"/>
  <c r="AV10" i="5"/>
  <c r="AV11" i="5"/>
  <c r="AP58" i="5"/>
  <c r="AW8" i="5"/>
  <c r="AT62" i="5" s="1"/>
  <c r="AW9" i="5"/>
  <c r="AT64" i="5" s="1"/>
  <c r="AW10" i="5"/>
  <c r="AT66" i="5" s="1"/>
  <c r="AW11" i="5"/>
  <c r="AT68" i="5" s="1"/>
  <c r="G4" i="2"/>
  <c r="G254" i="2"/>
  <c r="G251" i="2"/>
  <c r="G250" i="2"/>
  <c r="G248" i="2"/>
  <c r="G222" i="2"/>
  <c r="G239" i="2"/>
  <c r="G25" i="2"/>
  <c r="G225" i="2"/>
  <c r="G241" i="2"/>
  <c r="G229" i="2"/>
  <c r="G216" i="2"/>
  <c r="G110" i="2"/>
  <c r="G91" i="2"/>
  <c r="G89" i="2"/>
  <c r="G87" i="2"/>
  <c r="G85" i="2"/>
  <c r="G81" i="2"/>
  <c r="G63" i="2"/>
  <c r="G61" i="2"/>
  <c r="G245" i="2"/>
  <c r="G242" i="2"/>
  <c r="G238" i="2"/>
  <c r="G217" i="2"/>
  <c r="G83" i="2"/>
  <c r="G73" i="2"/>
  <c r="G69" i="2"/>
  <c r="G243" i="2"/>
  <c r="G236" i="2"/>
  <c r="G231" i="2"/>
  <c r="G224" i="2"/>
  <c r="G116" i="2"/>
  <c r="G112" i="2"/>
  <c r="G107" i="2"/>
  <c r="G72" i="2"/>
  <c r="G246" i="2"/>
  <c r="G114" i="2"/>
  <c r="G100" i="2"/>
  <c r="G94" i="2"/>
  <c r="G75" i="2"/>
  <c r="G247" i="2"/>
  <c r="G215" i="2"/>
  <c r="G113" i="2"/>
  <c r="G106" i="2"/>
  <c r="G82" i="2"/>
  <c r="G77" i="2"/>
  <c r="G66" i="2"/>
  <c r="G62" i="2"/>
  <c r="G218" i="2"/>
  <c r="G102" i="2"/>
  <c r="G59" i="2"/>
  <c r="G56" i="2"/>
  <c r="G92" i="2"/>
  <c r="G237" i="2"/>
  <c r="G227" i="2"/>
  <c r="G221" i="2"/>
  <c r="G109" i="2"/>
  <c r="G80" i="2"/>
  <c r="G58" i="2"/>
  <c r="G234" i="2"/>
  <c r="G228" i="2"/>
  <c r="G219" i="2"/>
  <c r="G111" i="2"/>
  <c r="G105" i="2"/>
  <c r="G93" i="2"/>
  <c r="G90" i="2"/>
  <c r="G84" i="2"/>
  <c r="G71" i="2"/>
  <c r="G233" i="2"/>
  <c r="G117" i="2"/>
  <c r="G86" i="2"/>
  <c r="G78" i="2"/>
  <c r="G232" i="2"/>
  <c r="G220" i="2"/>
  <c r="G115" i="2"/>
  <c r="G108" i="2"/>
  <c r="G79" i="2"/>
  <c r="G76" i="2"/>
  <c r="G70" i="2"/>
  <c r="G68" i="2"/>
  <c r="G57" i="2"/>
  <c r="G226" i="2"/>
  <c r="G118" i="2"/>
  <c r="G74" i="2"/>
  <c r="G303" i="2"/>
  <c r="G300" i="2"/>
  <c r="G298" i="2"/>
  <c r="G296" i="2"/>
  <c r="G293" i="2"/>
  <c r="G290" i="2"/>
  <c r="G289" i="2"/>
  <c r="G287" i="2"/>
  <c r="G285" i="2"/>
  <c r="G281" i="2"/>
  <c r="G279" i="2"/>
  <c r="G278" i="2"/>
  <c r="G273" i="2"/>
  <c r="G271" i="2"/>
  <c r="G270" i="2"/>
  <c r="G269" i="2"/>
  <c r="G268" i="2"/>
  <c r="G267" i="2"/>
  <c r="G264" i="2"/>
  <c r="G263" i="2"/>
  <c r="G262" i="2"/>
  <c r="G260" i="2"/>
  <c r="G258" i="2"/>
  <c r="G257" i="2"/>
  <c r="G256" i="2"/>
  <c r="G255" i="2"/>
  <c r="G235" i="2"/>
  <c r="G230" i="2"/>
  <c r="G223" i="2"/>
  <c r="G88"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4" i="2"/>
  <c r="G143" i="2"/>
  <c r="G142" i="2"/>
  <c r="G141" i="2"/>
  <c r="G140" i="2"/>
  <c r="G138" i="2"/>
  <c r="G137" i="2"/>
  <c r="G136" i="2"/>
  <c r="G135" i="2"/>
  <c r="G134" i="2"/>
  <c r="G133" i="2"/>
  <c r="G132" i="2"/>
  <c r="G131" i="2"/>
  <c r="G130" i="2"/>
  <c r="G129" i="2"/>
  <c r="G128" i="2"/>
  <c r="G127" i="2"/>
  <c r="G126" i="2"/>
  <c r="G125" i="2"/>
  <c r="G124" i="2"/>
  <c r="G123" i="2"/>
  <c r="G122" i="2"/>
  <c r="G121" i="2"/>
  <c r="G120" i="2"/>
  <c r="G119" i="2"/>
  <c r="G54" i="2"/>
  <c r="G53" i="2"/>
  <c r="G52" i="2"/>
  <c r="G51" i="2"/>
  <c r="G50" i="2"/>
  <c r="G49" i="2"/>
  <c r="G22" i="2"/>
  <c r="G21" i="2"/>
  <c r="G20" i="2"/>
  <c r="G19" i="2"/>
  <c r="G18" i="2"/>
  <c r="G17" i="2"/>
  <c r="G16" i="2"/>
  <c r="G15" i="2"/>
  <c r="G14" i="2"/>
  <c r="G13" i="2"/>
  <c r="G12" i="2"/>
  <c r="G11" i="2"/>
  <c r="G10" i="2"/>
  <c r="G9" i="2"/>
  <c r="G249" i="2"/>
  <c r="G244" i="2"/>
  <c r="G240" i="2"/>
  <c r="G67" i="2"/>
  <c r="Z8" i="5"/>
  <c r="G277" i="2"/>
  <c r="G101" i="2"/>
  <c r="G64" i="2"/>
  <c r="P13" i="5" a="1"/>
  <c r="P13" i="5" s="1"/>
  <c r="E8" i="1" s="1"/>
  <c r="G261" i="2"/>
  <c r="G302" i="2"/>
  <c r="S1" i="17" a="1"/>
  <c r="G284" i="2"/>
  <c r="G253" i="2"/>
  <c r="G48" i="2"/>
  <c r="G288" i="2"/>
  <c r="G65" i="2"/>
  <c r="G145" i="2"/>
  <c r="G280" i="2"/>
  <c r="G283" i="2"/>
  <c r="G286" i="2"/>
  <c r="G282" i="2"/>
  <c r="G60" i="2"/>
  <c r="G299" i="2"/>
  <c r="G103" i="2"/>
  <c r="G272" i="2"/>
  <c r="G252" i="2"/>
  <c r="G291" i="2"/>
  <c r="G294" i="2"/>
  <c r="G45" i="2"/>
  <c r="G292" i="2"/>
  <c r="G259" i="2"/>
  <c r="G297" i="2"/>
  <c r="G301" i="2"/>
  <c r="G104" i="2"/>
  <c r="G95" i="2"/>
  <c r="G46" i="2"/>
  <c r="G47" i="2"/>
  <c r="G44" i="2"/>
  <c r="G139" i="2"/>
  <c r="G295" i="2"/>
  <c r="G55" i="2"/>
  <c r="G96" i="2"/>
  <c r="G38" i="2"/>
  <c r="G7" i="2"/>
  <c r="G6" i="2"/>
  <c r="G276" i="2"/>
  <c r="G275" i="2"/>
  <c r="G274" i="2"/>
  <c r="G266" i="2"/>
  <c r="G265" i="2"/>
  <c r="G99" i="2"/>
  <c r="G98" i="2"/>
  <c r="G97" i="2"/>
  <c r="G39" i="2"/>
  <c r="G42" i="2"/>
  <c r="G33" i="2"/>
  <c r="G34" i="2"/>
  <c r="G35" i="2"/>
  <c r="G36" i="2"/>
  <c r="G43" i="2"/>
  <c r="G37" i="2"/>
  <c r="G23" i="2"/>
  <c r="G26" i="2"/>
  <c r="G28" i="2"/>
  <c r="G30" i="2"/>
  <c r="G32" i="2"/>
  <c r="G24" i="2"/>
  <c r="G27" i="2"/>
  <c r="G29" i="2"/>
  <c r="G31" i="2"/>
  <c r="G40" i="2"/>
  <c r="G41" i="2"/>
  <c r="G8" i="2"/>
  <c r="AQ20" i="5" l="1"/>
  <c r="M12" i="17" a="1"/>
  <c r="M12" i="17" s="1"/>
  <c r="N12" i="17" s="1" a="1"/>
  <c r="N12" i="17" s="1"/>
  <c r="M23" i="17" a="1"/>
  <c r="M23" i="17" s="1"/>
  <c r="N23" i="17" s="1" a="1"/>
  <c r="N23" i="17" s="1"/>
  <c r="M26" i="17" a="1"/>
  <c r="M26" i="17" s="1"/>
  <c r="N26" i="17" s="1" a="1"/>
  <c r="N26" i="17" s="1"/>
  <c r="M27" i="17" a="1"/>
  <c r="M27" i="17" s="1"/>
  <c r="N27" i="17" s="1" a="1"/>
  <c r="N27" i="17" s="1"/>
  <c r="M30" i="17" a="1"/>
  <c r="M30" i="17" s="1"/>
  <c r="N30" i="17" s="1" a="1"/>
  <c r="N30" i="17" s="1"/>
  <c r="Q13" i="17" a="1"/>
  <c r="Q13" i="17" s="1"/>
  <c r="R13" i="17" s="1" a="1"/>
  <c r="R13" i="17" s="1"/>
  <c r="Q14" i="17" a="1"/>
  <c r="Q14" i="17" s="1"/>
  <c r="R14" i="17" s="1" a="1"/>
  <c r="R14" i="17" s="1"/>
  <c r="Q24" i="17" a="1"/>
  <c r="Q24" i="17" s="1"/>
  <c r="R24" i="17" s="1" a="1"/>
  <c r="R24" i="17" s="1"/>
  <c r="Q19" i="17" a="1"/>
  <c r="Q19" i="17" s="1"/>
  <c r="R19" i="17" s="1" a="1"/>
  <c r="R19" i="17" s="1"/>
  <c r="Q28" i="17" a="1"/>
  <c r="Q28" i="17" s="1"/>
  <c r="R28" i="17" s="1" a="1"/>
  <c r="R28" i="17" s="1"/>
  <c r="Q18" i="17" a="1"/>
  <c r="Q18" i="17" s="1"/>
  <c r="R18" i="17" s="1" a="1"/>
  <c r="R18" i="17" s="1"/>
  <c r="M28" i="17" a="1"/>
  <c r="M28" i="17" s="1"/>
  <c r="N28" i="17" s="1" a="1"/>
  <c r="N28" i="17" s="1"/>
  <c r="Q17" i="17" a="1"/>
  <c r="Q17" i="17" s="1"/>
  <c r="R17" i="17" s="1" a="1"/>
  <c r="R17" i="17" s="1"/>
  <c r="M29" i="17" a="1"/>
  <c r="M29" i="17" s="1"/>
  <c r="N29" i="17" s="1" a="1"/>
  <c r="N29" i="17" s="1"/>
  <c r="Q30" i="17" a="1"/>
  <c r="Q30" i="17" s="1"/>
  <c r="R30" i="17" s="1" a="1"/>
  <c r="R30" i="17" s="1"/>
  <c r="M19" i="17" a="1"/>
  <c r="M19" i="17" s="1"/>
  <c r="N19" i="17" s="1" a="1"/>
  <c r="N19" i="17" s="1"/>
  <c r="M13" i="17" a="1"/>
  <c r="M13" i="17" s="1"/>
  <c r="N13" i="17" s="1" a="1"/>
  <c r="N13" i="17" s="1"/>
  <c r="Q27" i="17" a="1"/>
  <c r="Q27" i="17" s="1"/>
  <c r="R27" i="17" s="1" a="1"/>
  <c r="R27" i="17" s="1"/>
  <c r="M20" i="17" a="1"/>
  <c r="M20" i="17" s="1"/>
  <c r="N20" i="17" s="1" a="1"/>
  <c r="N20" i="17" s="1"/>
  <c r="Q26" i="17" a="1"/>
  <c r="Q26" i="17" s="1"/>
  <c r="R26" i="17" s="1" a="1"/>
  <c r="R26" i="17" s="1"/>
  <c r="Q29" i="17" a="1"/>
  <c r="Q29" i="17" s="1"/>
  <c r="R29" i="17" s="1" a="1"/>
  <c r="R29" i="17" s="1"/>
  <c r="M17" i="17" a="1"/>
  <c r="M17" i="17" s="1"/>
  <c r="N17" i="17" s="1" a="1"/>
  <c r="N17" i="17" s="1"/>
  <c r="M24" i="17" a="1"/>
  <c r="M24" i="17" s="1"/>
  <c r="N24" i="17" s="1" a="1"/>
  <c r="N24" i="17" s="1"/>
  <c r="M15" i="17" a="1"/>
  <c r="M15" i="17" s="1"/>
  <c r="N15" i="17" s="1" a="1"/>
  <c r="N15" i="17" s="1"/>
  <c r="M16" i="17" a="1"/>
  <c r="M16" i="17" s="1"/>
  <c r="N16" i="17" s="1" a="1"/>
  <c r="N16" i="17" s="1"/>
  <c r="M21" i="17" a="1"/>
  <c r="M21" i="17" s="1"/>
  <c r="N21" i="17" s="1" a="1"/>
  <c r="N21" i="17" s="1"/>
  <c r="M22" i="17" a="1"/>
  <c r="M22" i="17" s="1"/>
  <c r="N22" i="17" s="1" a="1"/>
  <c r="N22" i="17" s="1"/>
  <c r="Q12" i="17" a="1"/>
  <c r="Q12" i="17" s="1"/>
  <c r="R12" i="17" s="1" a="1"/>
  <c r="R12" i="17" s="1"/>
  <c r="Q25" i="17" a="1"/>
  <c r="Q25" i="17" s="1"/>
  <c r="R25" i="17" s="1" a="1"/>
  <c r="R25" i="17" s="1"/>
  <c r="M18" i="17" a="1"/>
  <c r="M18" i="17" s="1"/>
  <c r="N18" i="17" s="1" a="1"/>
  <c r="N18" i="17" s="1"/>
  <c r="Q16" i="17" a="1"/>
  <c r="Q16" i="17" s="1"/>
  <c r="R16" i="17" s="1" a="1"/>
  <c r="R16" i="17" s="1"/>
  <c r="Q22" i="17" a="1"/>
  <c r="Q22" i="17" s="1"/>
  <c r="R22" i="17" s="1" a="1"/>
  <c r="R22" i="17" s="1"/>
  <c r="Q31" i="17" a="1"/>
  <c r="Q31" i="17" s="1"/>
  <c r="R31" i="17" s="1" a="1"/>
  <c r="R31" i="17" s="1"/>
  <c r="Q21" i="17" a="1"/>
  <c r="Q21" i="17" s="1"/>
  <c r="R21" i="17" s="1" a="1"/>
  <c r="R21" i="17" s="1"/>
  <c r="M25" i="17" a="1"/>
  <c r="M25" i="17" s="1"/>
  <c r="N25" i="17" s="1" a="1"/>
  <c r="N25" i="17" s="1"/>
  <c r="Q23" i="17" a="1"/>
  <c r="Q23" i="17" s="1"/>
  <c r="R23" i="17" s="1" a="1"/>
  <c r="R23" i="17" s="1"/>
  <c r="M31" i="17" a="1"/>
  <c r="M31" i="17" s="1"/>
  <c r="N31" i="17" s="1" a="1"/>
  <c r="N31" i="17" s="1"/>
  <c r="M14" i="17" a="1"/>
  <c r="M14" i="17" s="1"/>
  <c r="N14" i="17" s="1" a="1"/>
  <c r="N14" i="17" s="1"/>
  <c r="Q20" i="17" a="1"/>
  <c r="Q20" i="17" s="1"/>
  <c r="R20" i="17" s="1" a="1"/>
  <c r="R20" i="17" s="1"/>
  <c r="Q15" i="17" a="1"/>
  <c r="Q15" i="17" s="1"/>
  <c r="R15" i="17" s="1" a="1"/>
  <c r="R15" i="17" s="1"/>
  <c r="AT61" i="5"/>
  <c r="AQ61" i="5"/>
  <c r="AT63" i="5"/>
  <c r="AQ62" i="5"/>
  <c r="AT65" i="5"/>
  <c r="AQ63" i="5"/>
  <c r="AT67" i="5"/>
  <c r="AQ64" i="5"/>
  <c r="AQ27" i="5"/>
  <c r="AQ48" i="5"/>
  <c r="AQ18" i="5"/>
  <c r="AR18" i="5"/>
  <c r="AM71" i="5"/>
  <c r="AQ56" i="5"/>
  <c r="AQ17" i="5"/>
  <c r="AR17" i="5"/>
  <c r="AM70" i="5"/>
  <c r="AX8" i="5"/>
  <c r="AW12" i="5"/>
  <c r="AQ58" i="5"/>
  <c r="AV12" i="5"/>
  <c r="AX9" i="5"/>
  <c r="AX10" i="5"/>
  <c r="AX11" i="5"/>
  <c r="AR8" i="5"/>
  <c r="AQ8" i="5"/>
  <c r="AR9" i="5"/>
  <c r="AQ9" i="5"/>
  <c r="AR10" i="5"/>
  <c r="AQ10" i="5"/>
  <c r="AQ11" i="5"/>
  <c r="AR11" i="5"/>
  <c r="AQ12" i="5"/>
  <c r="AR12" i="5"/>
  <c r="AR13" i="5"/>
  <c r="AQ13" i="5"/>
  <c r="AQ14" i="5"/>
  <c r="AR14" i="5"/>
  <c r="AQ15" i="5"/>
  <c r="AR15" i="5"/>
  <c r="AQ16" i="5"/>
  <c r="AR16" i="5"/>
  <c r="S1" i="17"/>
  <c r="AX12"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<sst xmlns="http://schemas.openxmlformats.org/spreadsheetml/2006/main" count="38327" uniqueCount="6127">
  <si>
    <r>
      <rPr>
        <b/>
        <sz val="8"/>
        <rFont val="Malgun Gothic"/>
        <family val="2"/>
      </rPr>
      <t xml:space="preserve">(승 인) </t>
    </r>
    <r>
      <rPr>
        <b/>
        <sz val="9"/>
        <rFont val="Malgun Gothic"/>
        <family val="2"/>
      </rPr>
      <t>협 력 사</t>
    </r>
  </si>
  <si>
    <r>
      <rPr>
        <b/>
        <sz val="9"/>
        <rFont val="Malgun Gothic"/>
        <family val="2"/>
      </rPr>
      <t xml:space="preserve">담 당 </t>
    </r>
  </si>
  <si>
    <r>
      <rPr>
        <b/>
        <sz val="9"/>
        <rFont val="Malgun Gothic"/>
        <family val="2"/>
      </rPr>
      <t xml:space="preserve">차 장 </t>
    </r>
  </si>
  <si>
    <r>
      <rPr>
        <b/>
        <sz val="9"/>
        <rFont val="Malgun Gothic"/>
        <family val="2"/>
      </rPr>
      <t xml:space="preserve">부 장 </t>
    </r>
  </si>
  <si>
    <r>
      <rPr>
        <b/>
        <u/>
        <sz val="28"/>
        <rFont val="Malgun Gothic"/>
        <family val="2"/>
      </rPr>
      <t>작    업    개    요</t>
    </r>
  </si>
  <si>
    <r>
      <rPr>
        <b/>
        <sz val="8"/>
        <rFont val="Malgun Gothic"/>
        <family val="2"/>
      </rPr>
      <t xml:space="preserve">(확인 )
</t>
    </r>
    <r>
      <rPr>
        <b/>
        <sz val="9"/>
        <rFont val="Malgun Gothic"/>
        <family val="2"/>
      </rPr>
      <t xml:space="preserve">남
</t>
    </r>
    <r>
      <rPr>
        <b/>
        <sz val="9"/>
        <rFont val="Malgun Gothic"/>
        <family val="2"/>
      </rPr>
      <t>동</t>
    </r>
  </si>
  <si>
    <r>
      <rPr>
        <b/>
        <sz val="12"/>
        <rFont val="Malgun Gothic"/>
        <family val="2"/>
      </rPr>
      <t>구   분</t>
    </r>
  </si>
  <si>
    <r>
      <rPr>
        <b/>
        <sz val="12"/>
        <rFont val="Malgun Gothic"/>
        <family val="2"/>
      </rPr>
      <t>세  부   내   용</t>
    </r>
  </si>
  <si>
    <r>
      <rPr>
        <b/>
        <sz val="12"/>
        <rFont val="Malgun Gothic"/>
        <family val="2"/>
      </rPr>
      <t>작 업 명</t>
    </r>
  </si>
  <si>
    <r>
      <rPr>
        <b/>
        <sz val="12"/>
        <rFont val="Malgun Gothic"/>
        <family val="2"/>
      </rPr>
      <t>회사(부서)명</t>
    </r>
  </si>
  <si>
    <r>
      <rPr>
        <b/>
        <sz val="12"/>
        <rFont val="Malgun Gothic"/>
        <family val="2"/>
      </rPr>
      <t>작업내용</t>
    </r>
  </si>
  <si>
    <r>
      <rPr>
        <b/>
        <sz val="12"/>
        <rFont val="Malgun Gothic"/>
        <family val="2"/>
      </rPr>
      <t>작성일자</t>
    </r>
  </si>
  <si>
    <r>
      <rPr>
        <b/>
        <sz val="12"/>
        <rFont val="Malgun Gothic"/>
        <family val="2"/>
      </rPr>
      <t>작업 기간(시간)</t>
    </r>
  </si>
  <si>
    <r>
      <rPr>
        <b/>
        <sz val="12"/>
        <rFont val="Malgun Gothic"/>
        <family val="2"/>
      </rPr>
      <t>작성자</t>
    </r>
  </si>
  <si>
    <r>
      <rPr>
        <b/>
        <sz val="12"/>
        <rFont val="Malgun Gothic"/>
        <family val="2"/>
      </rPr>
      <t>작업 장소</t>
    </r>
  </si>
  <si>
    <r>
      <rPr>
        <b/>
        <sz val="12"/>
        <rFont val="Malgun Gothic"/>
        <family val="2"/>
      </rPr>
      <t>평가 참여자</t>
    </r>
  </si>
  <si>
    <r>
      <rPr>
        <b/>
        <sz val="12"/>
        <rFont val="Malgun Gothic"/>
        <family val="2"/>
      </rPr>
      <t>작업 분류</t>
    </r>
  </si>
  <si>
    <r>
      <rPr>
        <b/>
        <sz val="12"/>
        <rFont val="Malgun Gothic"/>
        <family val="2"/>
      </rPr>
      <t>필요한 자료명</t>
    </r>
  </si>
  <si>
    <r>
      <rPr>
        <b/>
        <sz val="12"/>
        <rFont val="Malgun Gothic"/>
        <family val="2"/>
      </rPr>
      <t xml:space="preserve">유사 재해,
</t>
    </r>
    <r>
      <rPr>
        <b/>
        <sz val="12"/>
        <rFont val="Malgun Gothic"/>
        <family val="2"/>
      </rPr>
      <t>아차사고사례</t>
    </r>
  </si>
  <si>
    <r>
      <rPr>
        <b/>
        <sz val="12"/>
        <rFont val="Malgun Gothic"/>
        <family val="2"/>
      </rPr>
      <t>중점관리사항</t>
    </r>
  </si>
  <si>
    <r>
      <rPr>
        <b/>
        <sz val="12"/>
        <rFont val="Malgun Gothic"/>
        <family val="2"/>
      </rPr>
      <t>필요한 보호구명</t>
    </r>
  </si>
  <si>
    <r>
      <rPr>
        <b/>
        <sz val="12"/>
        <rFont val="Malgun Gothic"/>
        <family val="2"/>
      </rPr>
      <t>필요한 공기구명</t>
    </r>
  </si>
  <si>
    <r>
      <rPr>
        <b/>
        <sz val="12"/>
        <rFont val="Malgun Gothic"/>
        <family val="2"/>
      </rPr>
      <t>투입 중장비명</t>
    </r>
  </si>
  <si>
    <r>
      <rPr>
        <b/>
        <sz val="10"/>
        <rFont val="Malgun Gothic"/>
        <family val="2"/>
      </rPr>
      <t>관리 번호</t>
    </r>
  </si>
  <si>
    <r>
      <rPr>
        <b/>
        <sz val="10"/>
        <rFont val="Malgun Gothic"/>
        <family val="2"/>
      </rPr>
      <t>작업(공정)단계</t>
    </r>
  </si>
  <si>
    <r>
      <rPr>
        <b/>
        <sz val="10"/>
        <rFont val="Malgun Gothic"/>
        <family val="2"/>
      </rPr>
      <t xml:space="preserve">중대성
</t>
    </r>
    <r>
      <rPr>
        <b/>
        <sz val="10"/>
        <rFont val="Malgun Gothic"/>
        <family val="2"/>
      </rPr>
      <t>(강도)</t>
    </r>
  </si>
  <si>
    <r>
      <rPr>
        <b/>
        <sz val="10"/>
        <rFont val="Malgun Gothic"/>
        <family val="2"/>
      </rPr>
      <t>위험성</t>
    </r>
  </si>
  <si>
    <r>
      <rPr>
        <b/>
        <u/>
        <sz val="22"/>
        <rFont val="Malgun Gothic"/>
        <family val="2"/>
      </rPr>
      <t>위 험  성 평 가    결  과    확 인</t>
    </r>
  </si>
  <si>
    <r>
      <rPr>
        <sz val="12"/>
        <rFont val="Batang"/>
        <family val="1"/>
      </rPr>
      <t xml:space="preserve">□  </t>
    </r>
    <r>
      <rPr>
        <sz val="12"/>
        <rFont val="Dotum"/>
        <family val="2"/>
      </rPr>
      <t>작업 시작 전 관리감독자로부터 유해</t>
    </r>
    <r>
      <rPr>
        <sz val="12"/>
        <rFont val="Batang"/>
        <family val="1"/>
      </rPr>
      <t>·</t>
    </r>
    <r>
      <rPr>
        <sz val="12"/>
        <rFont val="Dotum"/>
        <family val="2"/>
      </rPr>
      <t>위험요인에 대한 정보를 제공 받고 그 내용을 확인 하였으며</t>
    </r>
    <r>
      <rPr>
        <sz val="12"/>
        <rFont val="Batang"/>
        <family val="1"/>
      </rPr>
      <t xml:space="preserve">, </t>
    </r>
    <r>
      <rPr>
        <sz val="12"/>
        <rFont val="Dotum"/>
        <family val="2"/>
      </rPr>
      <t>유해</t>
    </r>
    <r>
      <rPr>
        <sz val="12"/>
        <rFont val="Batang"/>
        <family val="1"/>
      </rPr>
      <t>·</t>
    </r>
    <r>
      <rPr>
        <sz val="12"/>
        <rFont val="Dotum"/>
        <family val="2"/>
      </rPr>
      <t>위험작업으로부터  보호를  받을  수  있는  보호구를  지급받고  착용  하였습니다</t>
    </r>
    <r>
      <rPr>
        <sz val="12"/>
        <rFont val="Batang"/>
        <family val="1"/>
      </rPr>
      <t xml:space="preserve">.
</t>
    </r>
    <r>
      <rPr>
        <sz val="12"/>
        <rFont val="Batang"/>
        <family val="1"/>
      </rPr>
      <t xml:space="preserve">□  </t>
    </r>
    <r>
      <rPr>
        <sz val="12"/>
        <rFont val="Dotum"/>
        <family val="2"/>
      </rPr>
      <t>해당  작업에  대한  위험성평가  결과를  확인하고  숙지하였습니다</t>
    </r>
    <r>
      <rPr>
        <sz val="12"/>
        <rFont val="Batang"/>
        <family val="1"/>
      </rPr>
      <t xml:space="preserve">.
</t>
    </r>
    <r>
      <rPr>
        <b/>
        <sz val="11"/>
        <rFont val="Malgun Gothic"/>
        <family val="2"/>
      </rPr>
      <t>※ 유해·위험요인 개선 요청은 Safety365 모바일웹 안전제안에서 하실 수 있습니다.( http://koenergy.kr/safety365)</t>
    </r>
  </si>
  <si>
    <r>
      <rPr>
        <sz val="11"/>
        <rFont val="Batang"/>
        <family val="1"/>
      </rPr>
      <t xml:space="preserve">[Safety </t>
    </r>
    <r>
      <rPr>
        <sz val="11"/>
        <rFont val="Dotum"/>
        <family val="2"/>
      </rPr>
      <t>모바일웹</t>
    </r>
    <r>
      <rPr>
        <sz val="11"/>
        <rFont val="Batang"/>
        <family val="1"/>
      </rPr>
      <t>]</t>
    </r>
  </si>
  <si>
    <r>
      <rPr>
        <b/>
        <sz val="11"/>
        <rFont val="Malgun Gothic"/>
        <family val="2"/>
      </rPr>
      <t>순번</t>
    </r>
  </si>
  <si>
    <r>
      <rPr>
        <b/>
        <sz val="11"/>
        <rFont val="Malgun Gothic"/>
        <family val="2"/>
      </rPr>
      <t>소 속</t>
    </r>
  </si>
  <si>
    <r>
      <rPr>
        <b/>
        <sz val="11"/>
        <rFont val="Malgun Gothic"/>
        <family val="2"/>
      </rPr>
      <t>성 명</t>
    </r>
  </si>
  <si>
    <r>
      <rPr>
        <b/>
        <sz val="11"/>
        <rFont val="Malgun Gothic"/>
        <family val="2"/>
      </rPr>
      <t>서 명</t>
    </r>
  </si>
  <si>
    <t>이행확인</t>
    <phoneticPr fontId="22" type="noConversion"/>
  </si>
  <si>
    <t>안전조치사항</t>
  </si>
  <si>
    <t>안전조치사항</t>
    <phoneticPr fontId="22" type="noConversion"/>
  </si>
  <si>
    <t>항목</t>
  </si>
  <si>
    <t>입력란</t>
  </si>
  <si>
    <t>작업명</t>
  </si>
  <si>
    <t>회사(부서)명</t>
  </si>
  <si>
    <t>작업내용</t>
  </si>
  <si>
    <t>작성일자</t>
  </si>
  <si>
    <t>작업기간(시간)</t>
  </si>
  <si>
    <t>작성자</t>
  </si>
  <si>
    <t>작업장소</t>
  </si>
  <si>
    <t>평가 참여자</t>
  </si>
  <si>
    <t>작업분류</t>
  </si>
  <si>
    <t>중점관리사항</t>
  </si>
  <si>
    <t>관리번호</t>
  </si>
  <si>
    <t>작업(공정)단계</t>
  </si>
  <si>
    <t>가능성(빈도)</t>
  </si>
  <si>
    <t>중대성(강도)</t>
  </si>
  <si>
    <t>위험성</t>
  </si>
  <si>
    <t>1-1</t>
  </si>
  <si>
    <t>1-2</t>
  </si>
  <si>
    <t>1-3</t>
  </si>
  <si>
    <t>2-1</t>
  </si>
  <si>
    <t>2-2</t>
  </si>
  <si>
    <t>2-3</t>
  </si>
  <si>
    <t>3-1</t>
  </si>
  <si>
    <t>3-2</t>
  </si>
  <si>
    <t>4-1</t>
  </si>
  <si>
    <t>4-2</t>
  </si>
  <si>
    <t>4-3</t>
  </si>
  <si>
    <t>전기설비 점검 및 정비작업</t>
  </si>
  <si>
    <t>전기실 내 배전반 교체 및 케이블 정비, 접지 점검</t>
  </si>
  <si>
    <t>2025.03.15 09:00 ~ 18:00</t>
  </si>
  <si>
    <t>A동 전기실, B동 전기실</t>
  </si>
  <si>
    <t>■ 일반작업   ■ 정전작업</t>
  </si>
  <si>
    <t>감전위험, 아크플래시, 케이블 노후, 전원차단 미확인</t>
  </si>
  <si>
    <t>절연장갑, 절연장화, 안전모, 보안경</t>
  </si>
  <si>
    <t>절연저항측정기, 접지측정기, 검전기</t>
  </si>
  <si>
    <t>사다리차, 고소작업대</t>
  </si>
  <si>
    <t>한국에너지 전기부</t>
  </si>
  <si>
    <t>2025.03.14</t>
  </si>
  <si>
    <t>김안전</t>
  </si>
  <si>
    <t>RA-2025-0315</t>
  </si>
  <si>
    <t>전원차단</t>
  </si>
  <si>
    <t>차단기 오조작으로 감전</t>
  </si>
  <si>
    <t>LOTO 절차 준수, 검전기 확인</t>
  </si>
  <si>
    <t>아크플래시 발생</t>
  </si>
  <si>
    <t>절연장갑 착용, 안면보호구</t>
  </si>
  <si>
    <t>잔류전압에 의한 감전</t>
  </si>
  <si>
    <t>콘덴서 방전 후 작업 시작</t>
  </si>
  <si>
    <t>배전반 해체</t>
  </si>
  <si>
    <t>절연장갑 및 안전장갑 착용</t>
  </si>
  <si>
    <t>작업반경 정리정돈, 바닥 전선 정리</t>
  </si>
  <si>
    <t>부품 낙하로 인한 부상</t>
  </si>
  <si>
    <t>헬멧 착용, 낙하방지망 설치</t>
  </si>
  <si>
    <t>케이블 정비</t>
  </si>
  <si>
    <t>피복손상으로 감전</t>
  </si>
  <si>
    <t>절연저항 측정 후 작업</t>
  </si>
  <si>
    <t>케이블 단선 처리 시 천공</t>
  </si>
  <si>
    <t>단선 케이블 처리함 사용, 분리 보관</t>
  </si>
  <si>
    <t>3-3</t>
  </si>
  <si>
    <t>케이블 트레이 날카로운 부분에 절상</t>
  </si>
  <si>
    <t>안전장갑 착용, 날카로운 부분 테이핑</t>
  </si>
  <si>
    <t>접지 점검</t>
  </si>
  <si>
    <t>접지저항 미확보로 감전 위험</t>
  </si>
  <si>
    <t>접지측정기로 저항값 확인 후 작업</t>
  </si>
  <si>
    <t>접지선 풀림으로 감전</t>
  </si>
  <si>
    <t>접지선 체결 상태 사전 확인</t>
  </si>
  <si>
    <t>측정기 리드선 접촉 불량</t>
  </si>
  <si>
    <t>측정기 교정 확인, 리드선 상태 점검</t>
  </si>
  <si>
    <t>5-1</t>
  </si>
  <si>
    <t>새 배전반 설치</t>
  </si>
  <si>
    <t>무거운 배전반 운반 중 근골격계 질환</t>
  </si>
  <si>
    <t>운반기구 사용, 2인 1조 작업</t>
  </si>
  <si>
    <t>5-2</t>
  </si>
  <si>
    <t>설치 위치 조정 시 끼임 위험</t>
  </si>
  <si>
    <t>안전간격 확보, 끼임방지 커버 설치</t>
  </si>
  <si>
    <t>5-3</t>
  </si>
  <si>
    <t>배전반 고정 볼트 체결 시 소음</t>
  </si>
  <si>
    <t>귀마개 착용</t>
  </si>
  <si>
    <t>6-1</t>
  </si>
  <si>
    <t>케이블 결선</t>
  </si>
  <si>
    <t>케이블 피복에 의한 감전</t>
  </si>
  <si>
    <t>절연저항 측정 완료 후 결선</t>
  </si>
  <si>
    <t>6-2</t>
  </si>
  <si>
    <t>케이블 과부하로 화재 위험</t>
  </si>
  <si>
    <t>케이블 용량 계산 후 적정 규격 사용</t>
  </si>
  <si>
    <t>6-3</t>
  </si>
  <si>
    <t>결선 단자 조임 불량으로 발열</t>
  </si>
  <si>
    <t>토크 렌치로 규정 체결력 확인</t>
  </si>
  <si>
    <t>7-1</t>
  </si>
  <si>
    <t>시운전 및 점검</t>
  </si>
  <si>
    <t>전원 투입 시 아크플래시</t>
  </si>
  <si>
    <t>안면보호구 착용, 안전거리 확보</t>
  </si>
  <si>
    <t>7-2</t>
  </si>
  <si>
    <t>보호장치 미작동으로 사고</t>
  </si>
  <si>
    <t>보호장치 동작 시험 완료 후 전원 투입</t>
  </si>
  <si>
    <t>필요한 보호구</t>
  </si>
  <si>
    <t>필요한 공기구</t>
  </si>
  <si>
    <t>투입중장비</t>
  </si>
  <si>
    <t>평가참여자 / 유사재해</t>
  </si>
  <si>
    <t>공정번호</t>
  </si>
  <si>
    <t>유해위험요인</t>
  </si>
  <si>
    <t>김안전, 이안전, 박안전, 최안전 / 2024년 전기실 감전사고 사례 반영</t>
  </si>
  <si>
    <t>볼트 풀림 시 날카로운 모서리에 절상</t>
  </si>
  <si>
    <t>배전반 넘어짐으로 충돌</t>
  </si>
  <si>
    <t>① 작업개요 입력  (저장 후 Table 1에 연동)</t>
  </si>
  <si>
    <t>통제번호 (=관리번호)</t>
  </si>
  <si>
    <t>투입 중장비</t>
  </si>
  <si>
    <t>✔ 저장 후 이 보호구명등을 일괄 DB에 기록한다</t>
  </si>
  <si>
    <t>② 위험성평가 데이터 입력  (저장 후 Table 2에 연동) - 행 추가로 공정 확장</t>
  </si>
  <si>
    <t>공정번호</t>
    <phoneticPr fontId="22" type="noConversion"/>
  </si>
  <si>
    <t>작업(공정)단계</t>
    <phoneticPr fontId="22" type="noConversion"/>
  </si>
  <si>
    <t>유해위험요인</t>
    <phoneticPr fontId="22" type="noConversion"/>
  </si>
  <si>
    <t>가능성
(빈도)</t>
    <phoneticPr fontId="22" type="noConversion"/>
  </si>
  <si>
    <t>중대성
(강도)</t>
    <phoneticPr fontId="22" type="noConversion"/>
  </si>
  <si>
    <t>위험성</t>
    <phoneticPr fontId="22" type="noConversion"/>
  </si>
  <si>
    <t>순</t>
    <phoneticPr fontId="37" type="noConversion"/>
  </si>
  <si>
    <t>공종</t>
  </si>
  <si>
    <t>단위작업명</t>
  </si>
  <si>
    <t>KOEN 공정</t>
    <phoneticPr fontId="37" type="noConversion"/>
  </si>
  <si>
    <t>기인물 분류(VlookUp)</t>
    <phoneticPr fontId="37" type="noConversion"/>
  </si>
  <si>
    <t>기인물</t>
  </si>
  <si>
    <t>구분(12대 기인물 선택)</t>
    <phoneticPr fontId="37" type="noConversion"/>
  </si>
  <si>
    <t>위험도 순위 (~12위)</t>
  </si>
  <si>
    <t>3년간 사고비중(19~21년)</t>
  </si>
  <si>
    <t>재해년월 추출(함수)</t>
    <phoneticPr fontId="37" type="noConversion"/>
  </si>
  <si>
    <t>재해년월추출</t>
    <phoneticPr fontId="37" type="noConversion"/>
  </si>
  <si>
    <t>재해월추출</t>
    <phoneticPr fontId="37" type="noConversion"/>
  </si>
  <si>
    <t>혹서기</t>
    <phoneticPr fontId="37" type="noConversion"/>
  </si>
  <si>
    <t>재해형태</t>
    <phoneticPr fontId="37" type="noConversion"/>
  </si>
  <si>
    <r>
      <t xml:space="preserve">재해개요 : </t>
    </r>
    <r>
      <rPr>
        <b/>
        <sz val="11"/>
        <color rgb="FFFF0000"/>
        <rFont val="맑은 고딕"/>
        <family val="3"/>
        <charset val="129"/>
        <scheme val="minor"/>
      </rPr>
      <t>재해시기 추출</t>
    </r>
    <phoneticPr fontId="37" type="noConversion"/>
  </si>
  <si>
    <r>
      <t xml:space="preserve">재해유발요인  </t>
    </r>
    <r>
      <rPr>
        <b/>
        <sz val="11"/>
        <color rgb="FFFF0000"/>
        <rFont val="맑은 고딕"/>
        <family val="3"/>
        <charset val="129"/>
        <scheme val="minor"/>
      </rPr>
      <t>재해형태 추출(떨어짐, 추락 등 &gt;&gt; 맨오른쪽 2글자)</t>
    </r>
    <phoneticPr fontId="37" type="noConversion"/>
  </si>
  <si>
    <t>위험성 감소대책(예시)</t>
  </si>
  <si>
    <t>11. 기타 토목공사</t>
  </si>
  <si>
    <t>11.1 부대 토목 작업</t>
  </si>
  <si>
    <t>11.1.1 부대토목 옹벽시공</t>
  </si>
  <si>
    <t>YES</t>
    <phoneticPr fontId="37" type="noConversion"/>
  </si>
  <si>
    <t>각재(파이프,강관,합판)</t>
  </si>
  <si>
    <t>해당없음</t>
  </si>
  <si>
    <t>2015년 12월</t>
  </si>
  <si>
    <t>혹한기</t>
  </si>
  <si>
    <t>맞음</t>
  </si>
  <si>
    <t>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t>
  </si>
  <si>
    <t>보강토 벽체에 각재를 대어 굴삭기 버켓으로 힘을 가하던 과정에서 각재가 갑자기 이탈되면서 타격함</t>
  </si>
  <si>
    <t>▶ 굴삭기 작업시 토사의 굴착, 절토 등 장비용도에 맞게 사용
▶ 건설기계 제원, 성능, 작업반경 등을 고려하여 작업</t>
  </si>
  <si>
    <t>11.4 맨홀 및 관부설작업</t>
  </si>
  <si>
    <t>11.4.1 맨홀 및 관부설 굴착</t>
  </si>
  <si>
    <t>2020년 6월경</t>
  </si>
  <si>
    <t>혹서기</t>
  </si>
  <si>
    <t>깔림 뒤집힘</t>
  </si>
  <si>
    <t>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t>
  </si>
  <si>
    <t>크레인으로 인양된 강관파이프를 차량에 적재하던 중, 3단으로 불안정하게 적재된 강관파이프가 붕괴되어 강관파이프에 깔림</t>
  </si>
  <si>
    <t>▶ 자재를 야적하는 경우 평탄한 곳에 적재하며 구름방지조치 실시
▶ 경사면에서 흄관을 고정하기 위해 쐐기 등을 이용
▶ 강관파이프를 3단이상 등 과도하게 적재 금지</t>
  </si>
  <si>
    <t>11.4.2 맨홀 및 관 부설</t>
  </si>
  <si>
    <t>2021년 4월경</t>
  </si>
  <si>
    <t>-</t>
  </si>
  <si>
    <t>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t>
  </si>
  <si>
    <t>관로 정비 공사 현장에서 화물차에 적재되어 있는 주철관을 슬링벨트로 묶어 하역하는 준비 작업 중 주철관이 슬링벨트 밖으로 이탈하며 재해자를 덮침</t>
  </si>
  <si>
    <t>▶ 화물적재 작업 시 최대 적재량 및 한쪽으로 치우치지 않은 적재 등의 조치 준수
▶ 로프 풀기 작업 전 적재함 주변에 근로자의 통행을 통제한 뒤 하역작업 실시</t>
  </si>
  <si>
    <t>12. 공통공사</t>
  </si>
  <si>
    <t>12.1 철거, 해체</t>
  </si>
  <si>
    <t>12.1.1 철거 및 해체</t>
  </si>
  <si>
    <t>2017년 2월경</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</si>
  <si>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</si>
  <si>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</si>
  <si>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</si>
  <si>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12.2 안전가시설 작업</t>
  </si>
  <si>
    <t>12.2.3 안전가시설(비계)</t>
  </si>
  <si>
    <t>떨어짐</t>
  </si>
  <si>
    <t>2017년 2월경 근린생활시설 신축공사 현장에서 재해자가 2층 외벽 비계 발판 4단위에서 강관 파이프를 상부 발판으로 이동 중 실족 지상 7m 아래 바닥으로 떨어져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</si>
  <si>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</si>
  <si>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</si>
  <si>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2018년 1월경</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</si>
  <si>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</si>
  <si>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</si>
  <si>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 추락 위험이 있는 작업 시, 안전방망, 안전난간, 안전대 부착설비 등 안전방호조치 실시
▶ 작업 전 안전대 지급 및 착용, 체결상태 관리감독자 확인 철저</t>
  </si>
  <si>
    <t>2018년 8월경</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</si>
  <si>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</si>
  <si>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2019년 1월경</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</si>
  <si>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</si>
  <si>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</si>
  <si>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</si>
  <si>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2020년 8월경</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</si>
  <si>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</si>
  <si>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재해자가 카고트럭</t>
  </si>
  <si>
    <t>X</t>
    <phoneticPr fontId="37" type="noConversion"/>
  </si>
  <si>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</si>
  <si>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</si>
  <si>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</si>
  <si>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12.5 양중기 작업</t>
  </si>
  <si>
    <t>12.5.4 양중기(윈치)</t>
  </si>
  <si>
    <t>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t>
  </si>
  <si>
    <t>전동윈치에 ㄷ형강을 걸어 인양하여 벽체에 세우던 중, 전동윈치 걸이용 앵커볼트가 휘어지며 전동윈치가 탈락하여 ㄷ형강이 넘어져 근로자 두부 강타</t>
  </si>
  <si>
    <t xml:space="preserve">▶ 내진보강을 위한 ㄷ형강 설치 등 중량물 취급작업 시 제원파악이 가능한 출처분명의 앵커볼트를 사용
▶ 천장부위 해체 시 ㄷ형강의 길이고려 등을 통해 양중 중 발생할 수 있는 낙하 및 전도 방지 </t>
  </si>
  <si>
    <t>12.7 기타(작업환경, 청소 등)</t>
  </si>
  <si>
    <t>12.7.1 기타(작업환경, 청소 등)</t>
  </si>
  <si>
    <t>2016년 6월경</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</si>
  <si>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</si>
  <si>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</si>
  <si>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</si>
  <si>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2019년 6월경</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</si>
  <si>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</si>
  <si>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</si>
  <si>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</si>
  <si>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 철근콘크리트공사</t>
  </si>
  <si>
    <t>2.1 거푸집 작업</t>
  </si>
  <si>
    <t>2.1.1 거푸집 자재반입, 가공, 운반</t>
  </si>
  <si>
    <t>2016년 4월경</t>
  </si>
  <si>
    <t>맞음(낙하물체)</t>
  </si>
  <si>
    <t>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t>
  </si>
  <si>
    <t>타워크레인으로 거푸집 제작용 목재 등을 인양하던 중 미고정된 인양물의 인양물 낙하</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</si>
  <si>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</si>
  <si>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2017년 12월</t>
  </si>
  <si>
    <t>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t>
  </si>
  <si>
    <t>작업발판 미설치한 상태에서 외부비계 최상단과 건물사이에 각재(산승각)을 거치하고, 그 위에 거푸집자재를 적재하던 중 하부에 거치된 각재가 부러지며 상부 적재된 자재 위에 서있던 근로자 추락</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</si>
  <si>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</si>
  <si>
    <t>2.1.3 거푸집 동바리 해체</t>
  </si>
  <si>
    <t>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t>
  </si>
  <si>
    <t>낙하물 위험구간 출입금지 미실시한 상태에서 띠장 버팀보 하부에서 거푸집 정리작업을 하던 중 해체 준비 중이던 사각강관 버팀보가 떨어지면서 머리에 맞음</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</si>
  <si>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</si>
  <si>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2.1.4 거푸집 동바리 인양</t>
  </si>
  <si>
    <t>2016년 7월경</t>
  </si>
  <si>
    <t>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t>
  </si>
  <si>
    <t>추락 방지조치 미실시한 상태에서 지하층 저수조 시스템동바리 상부 합판 위에서 해체된 거푸집동바리를 작업용 로프에 묶어 하부 바닥으로 내리던 중 합판 주변 산재된 자재에 걸려 넘어지면서 근로자 추락</t>
  </si>
  <si>
    <t xml:space="preserve">▶ 추락위험이 있는 구간에는 추락방호망, 안전난간 설치 또는 및 안전대 착용후 작업
▶ 낙하 및 전도 등의 위험구간에서 자재 인양 및 운반시 근로자 출입 통제 </t>
  </si>
  <si>
    <t>2.3 철근 작업</t>
  </si>
  <si>
    <t>2.3.2 철근 가공 및 운반</t>
  </si>
  <si>
    <t>2016년 3월경</t>
  </si>
  <si>
    <t>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t>
  </si>
  <si>
    <t>고정되지 않은 작업발판을 밟고 작업 중 작업발판이 뒤집어지며 근로자 추락</t>
  </si>
  <si>
    <t>▶ 외부비계 상에서 작업 시 작업구간 전체에 걸쳐 작업발판 및 안전난간을 밀실하고 견고하게 설치 후 작업 실시
▶ 작업발판 및 안전난간 설치가 곤란한 경우 안전대 걸 수 있는 안전대 부착설비 설치
▶ 추락할 위험이 있는 장소에서 작업 시 개인보호구 착용 철저</t>
  </si>
  <si>
    <t>2016년 8월경</t>
  </si>
  <si>
    <t>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t>
  </si>
  <si>
    <t>철근배근 작업을 위해 자재를 화물용 리프트 구간으로 운반작업 중, 받침판으로 사용한 각재가 파단되어 근로자 추락</t>
  </si>
  <si>
    <t>▶ 철근 등 중량물 적재 시 붕괴의 우려가 없는 받침판 위에 적재 또는 최대 적재하중을 초과하지 않는 선에서의 적재
▶ 추락방지조치를 위한 안전대 부착설비 설치 및 안전대 착용</t>
  </si>
  <si>
    <t>2017년 5월경</t>
  </si>
  <si>
    <t>절단 베임 찔림</t>
  </si>
  <si>
    <t>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t>
  </si>
  <si>
    <t>기둥 띠철근 조립 후, 후속작업을 위해 이동하던 중 바닥에 놓인 각재에 걸려 넘어지면서 돌출된 벽체철근이 근로자 머리에 찔림</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</si>
  <si>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</si>
  <si>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2.4 콘크리트 작업</t>
  </si>
  <si>
    <t>2.4.2 콘크리트 타설 및 다짐</t>
  </si>
  <si>
    <t>2019년 3월경</t>
  </si>
  <si>
    <t>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t>
  </si>
  <si>
    <t xml:space="preserve">콘크리트 타설 장소로 이동하던 중 이동통로가 확보되지 않은 상태에서 슬래브에 기대어 세운 목재각재를 밟고 올라가던 중 목재각재가 부러지며 근로자 복부를 강타 </t>
  </si>
  <si>
    <t>▶ 작업장으로 통하는 장소 또는 작업장내에 통로의 주요 부분에 통로표시로 안전한 통행 보장
▶ 작업여건에 의해 후속작업이 영향을 받은 경우 무리한 작업진행 지양</t>
  </si>
  <si>
    <t>2.4.3 콘크리트 양생</t>
  </si>
  <si>
    <t>2017년 12월 OO(주) 아파트 신축공사 현장에서, ㈜OO 소속 재해자가 지하주차장 지하1층 슬래브 거푸집 위에서 콘크리트 양생 보양천막 틀 설치작업 중, 몸의 중심을 잃고 지하 1층 바닥으로 떨어져(H≒4m) 사망</t>
  </si>
  <si>
    <t>슬래브 거푸집 위에서 콘크리트 양생 보양천막 특 설치 작업 중 근로자가 몸의 중심을 잃고 안전난간이 설치되어 있지 않은 단부로 추락</t>
  </si>
  <si>
    <t>▶ 추락위험이 있는 개구부 주변에서 작업 시 단부에 안전난간 및 추락방호망 설치
▶ 높이 2m 이상의 추락위험 장소에서 작업 시 안전대 부착설비 설치 및 안전대 착용
▶ 개인보호구 지급 및 착용</t>
  </si>
  <si>
    <t>3. 철골공사</t>
  </si>
  <si>
    <t>3.1 철골 작업</t>
  </si>
  <si>
    <t>3.1.2 철골 부재 인양, 조립</t>
  </si>
  <si>
    <t>2017년 3월경</t>
  </si>
  <si>
    <t>2017년 3월경 OO(주)에서 시공중인 OO 증축공사(지상5층) 현장에서 재해자(철골조립공) 등 2명이 옥상층에서 각파이프(100*50*9000) 설치작업중 재해자가 몸의 중심을 잃고 지상3층 콘크리트 바닥(높이 약 8.9m)으로 떨어져 사망</t>
  </si>
  <si>
    <t>각파이프를 이동식크레인으로 운반 작업 중 거더에 설치된 안전대부착설비에 걸려 파이프를 빼기 위해 근로자가 힘을 주는 순간 안전대를 고정하지 않은 재해자가 몸의 균형을 잃고 추락</t>
  </si>
  <si>
    <t>▶ 철골조립 완료 즉시 해당 층에 추락방지망 설치 하고 후속공정 진행
▶ 추락위험이 있는 장소에서 작업 시 안전대 부착설비 설치 및 안전대 착용</t>
  </si>
  <si>
    <t>2018년 10월</t>
  </si>
  <si>
    <t>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t>
  </si>
  <si>
    <t>철골 구조물 위에서 합판 재단 보조작업 후 이동 중 지지되어 있지 않은 합판 모서리 부분을 밟아 합판이 위로 들리며 합판과 함께 근로자 추락</t>
  </si>
  <si>
    <t xml:space="preserve">▶ 추락위험이 있는 개구부에는 덮개 등 방호조치 설치
▶ 추락위험이 있는 장소에서 작업 시 안전대 부착설비 설치 및 안전대 착용
▶ 개인보호구 지급 및 착용 </t>
  </si>
  <si>
    <t>2021년 8월경</t>
  </si>
  <si>
    <t>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t>
  </si>
  <si>
    <t>벽체 하지철물 용접작업을 위해 재해자 2명이 하지철물(수평부재) 위에서 상부 하지철물 용접작업 중 지지하고 있던 하지철물이 순간적으로 탈락 되어 동시에 추락</t>
  </si>
  <si>
    <t>▶ 안전대 걸이 시설을 설치하는 경우 처지거나 탈락하지 않도록 견고히 설치
▶ 작업 시작 전 안전대 및 부속설비의 이상 유무 확인</t>
  </si>
  <si>
    <t>3.1.3 철골 데크 플레이트 설치</t>
  </si>
  <si>
    <t>2018년 7월경</t>
  </si>
  <si>
    <t>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t>
  </si>
  <si>
    <t xml:space="preserve">지상에서 하역자재 받는 작업 중 지상 3층 철골 작업용 테크플레이트 묶음의 상부 고정용 철물이 떨어지면서 근로자에게 낙하 </t>
  </si>
  <si>
    <t xml:space="preserve">▶ 테크플레이트 설치작업 시 낙하물에 의한 위험방지조치 철저
▶ 관리감독자의 유해ㆍ위험방지 업무 철저 </t>
  </si>
  <si>
    <t>4. 마감공사</t>
  </si>
  <si>
    <t>4.1 조적, 미장 및 견출작업</t>
  </si>
  <si>
    <t>4.1.3 미장 및 견출 시공</t>
  </si>
  <si>
    <t>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t>
  </si>
  <si>
    <t xml:space="preserve">철물공사에 사용할 자재가 담긴 용기를 양중장치를 이용해 들어올리는 과정에서 기 설치된 안전난간에 용기가 충돌하여 근로자에게 낙하 </t>
  </si>
  <si>
    <t xml:space="preserve">▶ 자재인양 작업 시 낙하위험 지역에 대해 근로자 출입 통제
▶ 개인보호구 착용 및 관리 철저 </t>
  </si>
  <si>
    <t>4.2 방수 작업</t>
  </si>
  <si>
    <t>4.2.1 방수면처리, 방수 및 보호몰탈 등 시공</t>
  </si>
  <si>
    <t xml:space="preserve">2019년 8월 </t>
  </si>
  <si>
    <t>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t>
  </si>
  <si>
    <t>환기용 배기구 방수턱 방수 작업상태 확인 또는 잔손보기 작업 중 낙하물 위험방지조치 없는 상태에서 환기용 배기구 상부에서 사각파이프 등의 낙하로 근로자 머리 가격</t>
  </si>
  <si>
    <t>▶ 근로자가 작업으로 인해 물체가 떨어지거나 날아올 위험이 있는 장소에서 작업 시 낙하물방지망, 수직보호망 또는 봉호선반의 설치 등 위험을 방지하기 위해 필요한 조치 실시
▶ 물체가 떨어지거나 날아올 위험이 있는 장소에는 관계자 외 아닌 사람 출입 금지 조치 실시</t>
  </si>
  <si>
    <t>4.5 금속 및 잡철물 작업</t>
  </si>
  <si>
    <t>4.5.1 금속 및 잡철물 자재반입, 가공</t>
  </si>
  <si>
    <t>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t>
  </si>
  <si>
    <t>이동식크레인에 양중물을 매달은 상태로 양중물 하단의 접합부(용접부)를 절단하는 순간 반발력으로 튕겨오른 양중물에 맞음</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</si>
  <si>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</si>
  <si>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4.5.2 금속 및 잡철물 시공</t>
  </si>
  <si>
    <t>2020년 2월경</t>
  </si>
  <si>
    <t>2020년 2월경 OO오피스텔 신축공사 현장에서 재해자가 현장출입문 상부 입간판 해체를 위하여 약 5.5M 높이의 지주 각파이프 위에서 작업 중 몸의 중심을 잃고 추락하여 사망</t>
  </si>
  <si>
    <t>현장 출입문 지주 위 각파이프(디딤폭 10cm) 상부에서 입간판을 해체 하던 중 발을 헛디뎌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</si>
  <si>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</si>
  <si>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2020년 3월경</t>
  </si>
  <si>
    <t>넘어짐</t>
  </si>
  <si>
    <t>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t>
  </si>
  <si>
    <t>강관부재 해체작업 중 기존 구조물에서 분리되지 않은 부재를 흔들다가 부재가 탈락, 전도되면서 재해자가 함께 넘어짐</t>
  </si>
  <si>
    <t>▶ 양중작업 시 작업반경 내 출입통제 조치
▶ 중량물 취급작업 시 작업방법 및 상태를 고려하여 작업계획서 작성 및 근로자 주지
▶ 개인보호구(안전모) 착용관리 철저</t>
  </si>
  <si>
    <t>4.7 수장 작업</t>
  </si>
  <si>
    <t>4.7.1 수장 자배반입, 운반</t>
  </si>
  <si>
    <t>2016년 9월경</t>
  </si>
  <si>
    <t>2016년 9월경 OO교회 신축공사 현장에서 인테리어 공사 협력업체 소속 재해자가 합판 운반 작업 중 2~3층 계단참에 적재한 합판이 전도되면서 계단을 내려가는 재해자를 덮쳐 바닥으로 넘어짐</t>
  </si>
  <si>
    <t>계단참에 기울여 세워둔 자재(합판)가 작업충격 등에 의해 전도되면서 계단을 내려가던 재해자가 맞음</t>
  </si>
  <si>
    <t>▶ 자재 적재 시 낙하 위험이 없는 구간에 눕혀서 적재하도록 하고, 만약 세워서 적재할 경우 길이가 긴 변을 바닥으로 적재한 후 자재 하단에 전도 방지를 위한 받침 등의 안전 조치
▶ 작업자의 개인보호구 착용상태 점검 및 관리감독</t>
  </si>
  <si>
    <t>4.8 판넬 등 외부마감 작업</t>
  </si>
  <si>
    <t>4.8.2 판넬 등 외부마감 시공</t>
  </si>
  <si>
    <t>2021년 2월경</t>
  </si>
  <si>
    <t>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t>
  </si>
  <si>
    <t>지붕에서 이동하던 중 순간 돌풍에 의해 솟구치는 마감재에 부딪힌 후 바닥으로 추락</t>
  </si>
  <si>
    <t>▶ 지붕 등 추락 위험 구간의 이동 및 작업 전 안전대 부착설비를 설치하고 근로자 이동 및 작업 시 안전대 체결여부 점검 및 관리감독
▶ 지붕 단부 구간에는 작업발판 및 안전난간 등을 설치하여 추락 방지 조치
▶ 작업자의 개인보호구 착용상태 점검 및 관리감독</t>
  </si>
  <si>
    <t>2021년 9월경</t>
  </si>
  <si>
    <t>2021년 9월경 OO소재 식당 건물 뒤편의 비가림막 용도 캐노피 설치공사 현장에서 재해자(보통인부)가 캐노피 상부에서 발판으로 사용하기 위한 합판을 옮기던 중 약 3.3미터 높이에서 떨어져 사망</t>
  </si>
  <si>
    <t>캐노피 상부에서 자재를 운반하던 중 발을 헛디뎌 바닥으로 추락</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</si>
  <si>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</si>
  <si>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5. 전기, 기계설비공사</t>
  </si>
  <si>
    <t>5.1 전기 설비 작업</t>
  </si>
  <si>
    <t>5.1.4 전기특고압선로, 활선 및 전주시공</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</si>
  <si>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</si>
  <si>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</si>
  <si>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</si>
  <si>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5.2 기계설비 작업</t>
  </si>
  <si>
    <t>5.2.1 기계설비 자재반입, 가공, 운반</t>
  </si>
  <si>
    <t>2021년 9월경 OO 이전공사(설비) 공사현장에서 재해자가 해당 빌딩 지상 2층 외측 발코니에서 설비자재를 반입하던 중, 밟고 있던 발코니 하부 합판이 파손되면서 높이 약 4.5m 아래 지상1층 바닥으로 추락</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</si>
  <si>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</si>
  <si>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</si>
  <si>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5.2.2 기계설비 설치</t>
  </si>
  <si>
    <t>2018년 12월</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</si>
  <si>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</si>
  <si>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</si>
  <si>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</si>
  <si>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6. 조경공사</t>
  </si>
  <si>
    <t>6.1 조경작업</t>
  </si>
  <si>
    <t>6.1.1 조경 부지정리</t>
  </si>
  <si>
    <t>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t>
  </si>
  <si>
    <t>잔디 이식작업 중 주변 강한 바람으로 합판이 날아와 근로자와 충돌</t>
  </si>
  <si>
    <t>▶ 바람 등 기상상태 불안정으로 인하여 근로자가 위험해질 우려가 있는 경우 작업 중지</t>
  </si>
  <si>
    <t>8. 교량공사</t>
  </si>
  <si>
    <t>8.4 특수교량 작업</t>
  </si>
  <si>
    <t>8.4.1 특수교량(ILM 공법)</t>
  </si>
  <si>
    <t>NO</t>
    <phoneticPr fontId="37" type="noConversion"/>
  </si>
  <si>
    <t xml:space="preserve">2017년 1월 </t>
  </si>
  <si>
    <t>2017년 1월 고속국도 건설공사에서 재해자가 교량 제작장 몰드커버 해체작업 중 거치되어 있던 몰드커버가 전도되면서 끼여 사망</t>
  </si>
  <si>
    <t>레일기초와 교량거푸집 상부에 경사지게 거치된 몰드커버가 전도되며 기둥강관더미와 바닥 경사면 사이에 깔림</t>
  </si>
  <si>
    <t>▶ 몰드커버 해체작업 시, 사전에 적절한 작업순서를 수립
▶ 크레인으로 인양작업 시, 작업반경 내 작업자 접근 금지조치</t>
  </si>
  <si>
    <t>1. 토공사</t>
  </si>
  <si>
    <t>1.1 굴착 작업</t>
    <phoneticPr fontId="37" type="noConversion"/>
  </si>
  <si>
    <t>1.1.1 굴착 장비반입</t>
  </si>
  <si>
    <t>개구부</t>
  </si>
  <si>
    <t>개구부(기타개구부)</t>
  </si>
  <si>
    <t>12대 기인물</t>
  </si>
  <si>
    <t>2019년 3월경 OO공사에서 재해재가 장비 진입로를 위해 방호시설(나무합판, 석자재, 고체연료통)을 이동시키던 중 개구부에 빠져 약 4.7m 아래인 지하층 바닥으로 추락하여 사망</t>
  </si>
  <si>
    <t>장비 진입을 위한 현장 정리 중 개구부를 인식하지 못하고 실족하여 추락</t>
  </si>
  <si>
    <t>▶ 추락 위험 구간 접근금지 표지 설치
▶ 개구부 덮개 설치 및 위험표지 부착</t>
  </si>
  <si>
    <t>1.1 굴착 작업</t>
  </si>
  <si>
    <t>1.1.2 굴착</t>
  </si>
  <si>
    <t>개구부(바닥개구부)</t>
  </si>
  <si>
    <t>2016년 1월경</t>
  </si>
  <si>
    <t>2016년 1월경 OO공사에서 재해자가 하천 유입수가 고인 기초 굴착부 주변으로 설치해둔 로프에 위험표지를 부착하던 중 몸의 중심을 잃고 굴착부로 빠져 익사로 사망</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</si>
  <si>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</si>
  <si>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</si>
  <si>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1.3 기초파일 작업</t>
  </si>
  <si>
    <t>1.3.2 기초파일 천공</t>
  </si>
  <si>
    <t>2019년 10월</t>
  </si>
  <si>
    <t>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t>
  </si>
  <si>
    <t>콘크리트 말뚝 타설 후 물청소용으로 사용할 물 호스를 이동 중 측량을 위해 덮개를 열어놓은 개구부[PRD 천공 컷팅홀]에 추락</t>
  </si>
  <si>
    <t>▶ 추락 위험이 있는 장소에 방호조치를 가진 안전울(안전난간), 추락방망 등을 설치 및 개구부 표시 조치
▶ 측량을 위해 개구부 덮개를 제거할 시 측량작업에 영향이 없는 안전울(안전난간)을 제작 및 설치</t>
  </si>
  <si>
    <t>2016년 12월</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</si>
  <si>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</si>
  <si>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</si>
  <si>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</si>
  <si>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2018년 5월경</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</si>
  <si>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</si>
  <si>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</si>
  <si>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 개구부 등 추락단부 안전난간대 설치 등 추락방호조치 실시
▶ 근로자의 개인보호구, 안전대 체결여부 점검 및 관리감독</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</si>
  <si>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</si>
  <si>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</si>
  <si>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2019년 4월경</t>
  </si>
  <si>
    <t>2019년 4월경 OO철거 및 벽체 도장 공사를 위해 재해자가 동료작업자 2명과 함께 샌드위치 판넬 철거 작업 중에 의식을 잃고 바닥에 쓰러져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</si>
  <si>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</si>
  <si>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</si>
  <si>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2020년 5월경</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</si>
  <si>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</si>
  <si>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12.2.1 안전가시설(개구부)</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</si>
  <si>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</si>
  <si>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</si>
  <si>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</si>
  <si>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</si>
  <si>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자재 운반 및 작업 중 안전난간이 미설치된 창호 개구부 등을 통해 근로자 추락</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</si>
  <si>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</si>
  <si>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2019년 8월경</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</si>
  <si>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</si>
  <si>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</si>
  <si>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</si>
  <si>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</si>
  <si>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</si>
  <si>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2020년 10월</t>
  </si>
  <si>
    <t>2020년 10월경 OO 공동주택 신축공사 현장에서 재해자가 옥상 비상용 엘리베이터 자재반입구로 들어가 피트 개구부로 실족하여 지하2층 피트바닥으로 떨어져(높이 약47.4m) 사망</t>
  </si>
  <si>
    <t>안전난간이 미설치된 엘리베이터 피트 개구부로 실족하여 피트 바닥으로 추락함</t>
  </si>
  <si>
    <t>▶ 추락 위험이 있는 곳에 근로자 출입 통제
▶ 엘리베이터 피트에 난간 설치 및 추락방호망 설치</t>
  </si>
  <si>
    <t>12.2.2 안전가시설(작업발판)</t>
  </si>
  <si>
    <t>2017년 11월</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</si>
  <si>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</si>
  <si>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</si>
  <si>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</si>
  <si>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</si>
  <si>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</si>
  <si>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</si>
  <si>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2019년 7월경</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</si>
  <si>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</si>
  <si>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</si>
  <si>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12.2.8 안전가시설(낙하물방지망)</t>
  </si>
  <si>
    <t>2018년 5월경 재해자가 OO공사 현장의 구조물 2층 외부비계에서 낙하물방지망(1단)을 설치하던 중 지하1층 바닥으로 추락(H≒10m)하여  사망</t>
  </si>
  <si>
    <t>외부비계에서 낙하물방지망을 설치하던 중 몸의 중심을 잃고 안전난간이 미설치된 건물 외벽방향으로 실족하여 추락</t>
  </si>
  <si>
    <t>▶ 추락 위험이 있는 작업 시, 낙하물방지망, 쌍줄비계의 작업발판, 안전난간 등 안전방호조치 실시
▶ 작업 전 안전대 지급 및 착용, 체결상태 관리</t>
  </si>
  <si>
    <t xml:space="preserve"> 2021년 1월</t>
  </si>
  <si>
    <t xml:space="preserve"> 2021년 1월경 OO조성사업 현장에서 재해자가 낙하물 방지망 설치 후 휴식을 취하기 위해 이동 중 절벽 아래로 떨어져(H≒30m) 사망</t>
  </si>
  <si>
    <t>잔도설치 작업을 위해 벼량에서 낙하물 방지망 설치 후 휴식을 취하기 위해 이동 중 실족하여 벼량 아래로 떨어짐</t>
  </si>
  <si>
    <t>▶ 단부 등 추락 가능성이 있는 장소에 대해 조립식 안전난간 설치
▶ 임시로 난간 등을 해체하여야 하는 경우 해당 구간에 추락방호망 설치
▶ 추락방호망 설치가 곤란한 경우 안전대 착용 등 추락 방지 조치 수행</t>
  </si>
  <si>
    <t>12.5.1 양중기(타워크레인)</t>
  </si>
  <si>
    <t>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t>
  </si>
  <si>
    <t>타워크레인 인상작업중 Wall Bracing을 설치하던 작업자를 지원하기 위하여 갱폼 작업발판으로 이동(작업)중 갱폼 바닥 개구부를 통해 아래 리프트 방호선반으로 떨어짐</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</si>
  <si>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</si>
  <si>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</si>
  <si>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</si>
  <si>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</si>
  <si>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2016년 11월</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</si>
  <si>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</si>
  <si>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</si>
  <si>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</si>
  <si>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2017년 6월경</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</si>
  <si>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</si>
  <si>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환기용 개구부 주변 자재 정리하다 개구부 또는 개구부 덮개가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</si>
  <si>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</si>
  <si>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</si>
  <si>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</si>
  <si>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</si>
  <si>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</si>
  <si>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</si>
  <si>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2018년 3월경</t>
  </si>
  <si>
    <t>2018년 3월경 OO건설이 시공하는 OO주상복합신축공사 현장에서 재해자가 구조물 지하1층 청소작업 중 바닥개구부(70㎝X50㎝, 지하층 콘크리트타설 압송관용 개구부)로 떨어져(H=7.2m) 사망</t>
  </si>
  <si>
    <t>2018년 4월경</t>
  </si>
  <si>
    <t>2018년 4월경 OO복합시설 신축공사 현장에서 재해자가 드라이 에어리어 인근에서 자재 반출을 위한 정리 작업 중 약 22.0m 아래 지하 6층 바닥으로 추락하여 사망</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</si>
  <si>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</si>
  <si>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</si>
  <si>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2019년 11월</t>
  </si>
  <si>
    <t>2019년 11월경 OO신축공사 현장에서 재해자가 단독으로 지상 4층 드라이 에어리어(Dry Area)에서 콘크리트 잔재물 정리 작업 중 약 35.5미터 아래 지하 7층 바닥으로 추락하여 사망</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</si>
  <si>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</si>
  <si>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현장 자재 정리 중 밟고 있던 임시발판이 무너지면서 바닥으로 추락</t>
  </si>
  <si>
    <t>2021년 1월경</t>
  </si>
  <si>
    <t>2021년 1월경 OO건설(주) OO오피스텔 신축공사 현장 환기구(D/A) 지하 1층 바닥에서 지하 4층 바닥으로 추락하여 사망</t>
  </si>
  <si>
    <t>2016년 2월경</t>
  </si>
  <si>
    <t>2016년 2월경 OO건설 공동주택 신축공사 현장에서, 재해자가 벽체 거푸집 조립 중, 작업장 내 설치된 지하층의 자재를 인양하기 위하여 만들어 놓은 개구부를 통하여 지하1층 바닥으로 추락(5M)하여 사망</t>
  </si>
  <si>
    <t>개구부 등의 추락위험 방호조치 미실시한 상태에서 거푸집 동바리 자재 운반 중 지하 물탱크실 상부에 위치한 개구부로 추락</t>
  </si>
  <si>
    <t>▶ 추락 위험이 있는 작업발판, 통로 끝 및 개구부에는 안전난간 또는 덮개 등 설치
▶ 개구부 덮개 설치 시 개구부임을 표기하여 추락 위험 방지</t>
  </si>
  <si>
    <t>2016년 5월경</t>
  </si>
  <si>
    <t>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t>
  </si>
  <si>
    <t>개구부 등의 방호조치 미실시한 상태에서 거푸집 설치 준비 중 시야미확보 또는 거푸집 편심으로 몸의 중심을 잃고 개구부로 넘어지면서 근로자 추락</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</si>
  <si>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</si>
  <si>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t>
  </si>
  <si>
    <t>개구부 등의 방호조치 미실시한 상태에서 바닥 개구부 덮개 위에 서서 기 해체된 거푸집을 상부층 바닥 개구부를 통해 상부로 전달 중 바닥 개구부 덮개가 슬래브 가고정부에서 탈락되면서 근로자 추락</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</si>
  <si>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</si>
  <si>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2017년 7월경</t>
  </si>
  <si>
    <t>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t>
  </si>
  <si>
    <t>추락방지조치 미실한 상태에서 비계 작업발판 위에서 하부층 바닥에서 전달되는 유로폼을 받기 위해 돌아서는 중 왼쪽 발 헛디딤으로 근로자 추락</t>
  </si>
  <si>
    <t>▶ 작업발판 위에서 거푸집 조립 작업 시 충분한 강도의 안전난간 설치
▶ 안전난간의 설치가 곤란할 경우 안전대 부착설비 설치 및 안전대 착용</t>
  </si>
  <si>
    <t>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t>
  </si>
  <si>
    <t>2018년 11월</t>
  </si>
  <si>
    <t>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t>
  </si>
  <si>
    <t xml:space="preserve">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t>
  </si>
  <si>
    <t>2020년 4월경</t>
  </si>
  <si>
    <t>2020년 4월경 OO개발(주)이 시공하는 OO주상복합 신축공사 현장에서 재해자가 지상 1층 바닥에 유로폼 등 자재 적재를 위해 개구부를 덮어 놓았던 팔레트를 치우는 작업 중 개구부(90㎝X65㎝)로 떨어져(H=3.9m) 사망</t>
  </si>
  <si>
    <t>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</si>
  <si>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타워크레인을 사용하여 지게차를 올려놓은 후 바퀴에 끼인 슬링벨트를 풀기 위해 지게차를 운전하던 순간 자재인양구 덮개가 붕괴되며 추락</t>
  </si>
  <si>
    <t>▶ 구조물이 부가되는 하중 등으로 붕괴 위험이 있을 경우 사전에 안전성 평가 진행
▶ 공정상 불가피하게 자재인양구로 지게차를 양중하여 반입 시 구조적 안정성이 확보된 자재반입대 설치</t>
  </si>
  <si>
    <t>2.1.2 거푸집 동바리 조립</t>
  </si>
  <si>
    <t>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t>
  </si>
  <si>
    <t>추락방지조치 미실시한 상태에서 지하층 바닥슬래브 거푸집 설치 작업 중 슬래브 개구부로 근로자 추락</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</si>
  <si>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t>
  </si>
  <si>
    <t>2018년 7월경 OO다가구주택 신축공사 현장에서 재해자가 비계 상부에서 3층 벽체 외부 거푸집 조립작업 중 비계와 건물 벽체 사이를 통해 약 6m 아래 지면으로 떨어져 사망</t>
  </si>
  <si>
    <t>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t>
  </si>
  <si>
    <t>개구부 등의 방호조치 미실시한 상태에서 지상층 보 측면 거푸집에 천공작업 후 계단실 개구부 주변을 하부에서 상부층으로 이동 중 중심을 잃고 개구부로 추락</t>
  </si>
  <si>
    <t>▶ 추락위험이 있는 구간에는 추락방호망, 안전난간 설치 또는 및 안전대 착용후 작업
▶ 개구부 등으로 인해 추락위험이 있을 경우 개구부 덮개 실시</t>
  </si>
  <si>
    <t>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t>
  </si>
  <si>
    <t xml:space="preserve"> 2019년 9월</t>
  </si>
  <si>
    <t xml:space="preserve">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</si>
  <si>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2019년 12월</t>
  </si>
  <si>
    <t>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t>
  </si>
  <si>
    <t>2021년 3월경</t>
  </si>
  <si>
    <t>2021년 3월경 OO개발(주)에서 시공 중인 OO신축공사 현장에서, 재해자가 지하 1층 개구부에서 13m아래의 지하4층 바닥(발전기실)으로 추락하여 사망</t>
  </si>
  <si>
    <t>2021년 4월경 OO신축공사 현장에서 재해자가 기계식주차장 개구부(5.8m×3.0m)에 설치된 시스템동바리의 멍에 교체를 위해 이동 중, 지하 3층 바닥(H≒10.0m)으로 떨어져 사망</t>
  </si>
  <si>
    <t>추락방지조치 미실시한 상태에서 벽체 거푸집 위에서 보 거푸집 하단으로 내려가던 중 실족하여 중심을 잃고 바닥으로 근로자 추락</t>
  </si>
  <si>
    <t>2018년 11월경 OO건설(주) OO신축공사 현장 지하6층에서 협력업체 소속 재해자가 벽/기둥 형틀 해체 구간의 떨어진 콘크리트 잔재물을 슬리브덮개를 밟고 청소작업 중 지하 7층 바닥(높이 약 6.3m)으로 추락하여 사망</t>
  </si>
  <si>
    <t>개구부 방호조치 미흡한 상태에서 벽/기둥 형틀 해체 구간의 떨어진 콘크리트 잔재물을 슬리브덮개를 밟고 청소작업 중, 근로자 추락</t>
  </si>
  <si>
    <t xml:space="preserve">▶ 견고한 개구부 덮개 설치 및 개구부 위험표지 부착
▶ 이동식 조명 사용을 통한 적정 조도 확보
▶ 작업방법/안전 교육 실시 및 관리감독 철저 </t>
  </si>
  <si>
    <t>도시시설물공사 현</t>
  </si>
  <si>
    <t>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t>
  </si>
  <si>
    <t>적재된 자재가 넘어지며 작업발판이 탈락되어 주변 근로자 추락</t>
  </si>
  <si>
    <t>2.3.3 철근 조립</t>
  </si>
  <si>
    <t>2016년 7월경 OO(주) OO프라자 신축공사 현장에서 재해자가 지상4층 보 철근 조립 중에 주변 바닥 개구부(자재 반입구)로 떨어져(H≒16.2m) 사망</t>
  </si>
  <si>
    <t>보 철근 조립 중, 안전난간 미설치된 주변 바닥 개구부를 통해 중심을 잃고 근로자 추락</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</si>
  <si>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</si>
  <si>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2.4.1 콘크리트 반입, 운반</t>
  </si>
  <si>
    <t>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t>
  </si>
  <si>
    <t>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t>
  </si>
  <si>
    <t>▶ 개구부 등 낙하 위험이 있는 장소에는 방책 등 설치하여 출입 금지 및 표지판 설치
▶ 카리프트 등 양중기 사용 시 레미콘차량 등이 완전히 빠져나갈 때 까지 모니터 주시</t>
  </si>
  <si>
    <t>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</si>
  <si>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무근콘크리트 타설을 위해 도구(갈고리)를 사용하여 콘크리트 타설용 주름관을 이동시키는 작업 중 갈고리가 주름관에서 빠지는 순간 몸의 중심을 잃고 뒤로 넘어지면서 떨어짐</t>
  </si>
  <si>
    <t xml:space="preserve">▶ 추락 및 낙하 방지 조치 철저 
▶ 작업장 사전점검 등 관리 감독 철저 
▶ 안전모 등 개인보호구 착용에 대한 관리 철저 </t>
  </si>
  <si>
    <t>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</si>
  <si>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콘크리트 전동기의 전원 연결을 위해 쌍줄비계에서 리드선을 연결하던 중 안전난간, 추락방호망 등의 안전시설물이 설치되어 있지 않은 상태에서 외벽과 비계 사이의 개구부에서 근로자 추락</t>
  </si>
  <si>
    <t xml:space="preserve">▶ 작업발판에서 작업시 개구부의 추락위험 방지조치 실시
▶ 추락 위험장소에서 개인보호구 착용 및 관리감독 철저  </t>
  </si>
  <si>
    <t>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</si>
  <si>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</si>
  <si>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</si>
  <si>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t>
  </si>
  <si>
    <t>가설통로가 미설치된 외부비계 작업발판과 건축물 내부 사이를 이동 중 비계 작업발판과 외벽 사이 개구부에서 추락</t>
  </si>
  <si>
    <t>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t>
  </si>
  <si>
    <t>동절기 단열용 보양천막을 설치하던 중 미고정된 상태의 강관파이프 위에 올려진 합판을 밟고 합판이 뒤집어지면서개구부로 근로자 추락</t>
  </si>
  <si>
    <t>▶ 환기구 개구부 등 추락위험 장소에서 작업 시 안전난간, 울타리, 수직형 추락방망 또는 덮개 등 방호조치 실시
▶ 개구부 덮개 설치 시 전도방지를 위해 구조물 등 견고히 체결
▶ 추락위험이 있는 장소에서 작업 시 안전대 부착설비 설치 및 안전대 착용</t>
  </si>
  <si>
    <t>2021년 5월경</t>
  </si>
  <si>
    <t>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t>
  </si>
  <si>
    <t>콘크리트 타설작업 중 안전난간이 설치되어 있지 않은 슬래브 단부로 근로자 추락</t>
  </si>
  <si>
    <t>▶ 추락위험이 있는 슬래브 단부에는 안전난간 설치
▶ 안전난간의 설치가 곤란할 경우 추락방망 설치
▶ 높이 2m 이상에서의 고소작업 시 안전대 부착설비 설치 및 안전대 착용</t>
  </si>
  <si>
    <t>3.1.1 철골 부재반입 및 운반</t>
  </si>
  <si>
    <t>2018년 6월경</t>
  </si>
  <si>
    <t>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t>
  </si>
  <si>
    <t>공장동 케이블트레이 설치를 위한 사전작업 준비를 위한 철골 상부 크레인점검로 이동 중 점검로 상의 개구부를 발견하지 못하고 개구부 아래 바닥으로 추락</t>
  </si>
  <si>
    <t>▶ 개구부 등 추락위험구간에 철제 덮개, 안전난간, 안전망 등 추락방지조치 준수
▶ 철제 점검로를 이용 시 별도의 안전대 부착설비 설치 및 안전대 체결을 통한 안전방호조치 실시</t>
  </si>
  <si>
    <t>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</si>
  <si>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t>
  </si>
  <si>
    <t>▶ 개구부의 경우 우선적으로 안전난간을 설치하며 작업 특성상 임시로 해체 시 추락방호망 설치
▶ 추락방호망의 설치가 곤란할 경우 안전대 부착설비 설치 및 안전대 착용
▶ 개인보호구 지급 및 착용</t>
  </si>
  <si>
    <t>2017년 2월경 슬라브 단부에서 재해자가 설치 중인 계단 답단의 치수를 줄자로 측정 하던 중 몸의 중심을 잃고 1층 바닥으로 추락하여 사망(높이 5.84m).</t>
  </si>
  <si>
    <t>철골 조립 작업 중 안전대를 미착용한 상태에서 몸의 균형을 잃고 넘어지며 추락</t>
  </si>
  <si>
    <t>▶ 추락위험이 있는 장소에서 작업 시 안전대 부착설비 설치 및 안전대 착용</t>
  </si>
  <si>
    <t>2019년 8월경 OO교회 신축공사 현장에서 재해자가 예배당 복층 슬래브 상부에서 철골 도장작업 후 휴식을 위해 이동 중, 슬래브 개구부(계단실 용도, 0.9m×2.4m)로 실족하여 1층 콘크리트 바닥면으로 추락(H≒3.3m)하여 사망</t>
  </si>
  <si>
    <t>철골 도장 작업 후 휴식을 위해 이동 중 근로자가 덮개가 미설치 된 슬래브 개구부로 실족하여 추락</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</si>
  <si>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</si>
  <si>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2020년 4월경 OO(주) OO현장에서 지상1층의 용접작업(데크플레이트) 화재감시자인 재해자(보통인부)가 휴식장소로 이동하던 중 데크플레이트가 미설치된 개구부(2600×570)에서 약 6.1m 아래 지하1층 바닥으로 추락하여 사망</t>
  </si>
  <si>
    <t>휴식장소로 이동 하던 중 데크플레이트가 미설치된 개구부에서 근로자 추락</t>
  </si>
  <si>
    <t xml:space="preserve">▶ 데크플레이트가 설치되어 있지 않은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</si>
  <si>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2020년 6월경 OO(주)에서 시공하는 OO 현장에서 재해자(기계공)가 OO항 갑문 위에서 윈치를 이용하여 H-beam(100×100×6×8, L≒ 2.5m, W≒ 42.5kg)을 내리던 중 윈치 프레임이 전도되면서 바닥(H≒18m)으로 떨어져 사망</t>
  </si>
  <si>
    <t>안전난간이 미설치된 구간인 맨홀 부근에서 재해자가 윈치를 이용하여 H-beam을 내리던 중 윈치 프레임이 전도되면서 근로자 추락</t>
  </si>
  <si>
    <t>▶ 갑문 단부에서 중량물 인양 작업 시 전도방지를 위해 윈치가 아닌 크레인 사용
▶ 갑문 단부 등 개구부에서 작업 시 추락방망 설치 및 안전대 부착설비 설치
▶ 개인보호구 지급 및 착용</t>
  </si>
  <si>
    <t>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t>
  </si>
  <si>
    <t>데크플레이트를 가용접 한 후 지상으로 내려가기 위해 개구부로 이동하던 중 안전대를 미착용한 근로자가 몸의 균형을 잃고 추락</t>
  </si>
  <si>
    <t>▶ 추락위험 장소에서 데크플레이트 설치 시 철골 하부에 추락방호망 설치
▶ 상부에는 안전대 부착설비를 설치하고 안전대 체결 실시</t>
  </si>
  <si>
    <t>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t>
  </si>
  <si>
    <t>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t>
  </si>
  <si>
    <t>▶ 지붕재 판넬 철거 작업 시, 단독 작업을 금지하며 판넬 해체로 발생된 개구부에 유의하여 작업 실시
▶ 지붕재 판넬 철거 작업 시, 추락방호망, 안전대 부착설비 설치, 근로자의 안전대 체결 등 안전방호조치 실시
▶ 작업자의 개인보호구, 안전대 체결여부 점검 및 관리감독</t>
  </si>
  <si>
    <t>2015년 12월경 OO 근린생활시설 신축공사 현장에서 철골구조물 2층 바닥에 데크플레이트 설치작업 중 인접 개구부(데크플레이트 미설치 부위)를 통해 3.2M 아래 바닥으로 추락하여 사망</t>
  </si>
  <si>
    <t>안전대 부착설비가 설치되지 않은 상태로 데크 플레이트 설치 작업 중 근로자가 몸의 중심을 잃고 데크플레이트 단부, 개구부로 추락</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</si>
  <si>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</si>
  <si>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2017년 1월경</t>
  </si>
  <si>
    <t>2017년 1월경 OO건설(주) OO 공장 신축공사 현장에서 재해자(철골공)가 지상2층 바닥 데크플레이트 설치작업 중 지상1층 콘크리트 바닥으로 떨어져(높이 6m) 사망</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</si>
  <si>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</si>
  <si>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2017년 2월경 OO공장 신축공사 현장에서 데크 플레이트판개 작업을 진행하던 재해자가 몸의 중심을 잃고 4.06m 아래 콘크리트 바닥으로 떨어져 사망</t>
  </si>
  <si>
    <t>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t>
  </si>
  <si>
    <t>4.1.1 조적, 미장 및 견출 자재반입, 운반</t>
  </si>
  <si>
    <t>2016년 8월경 OO리모델링 공사에서 조적벽돌 묶음을 건물내부로 운반하기 위해 준비작업 중 개구부에서 약 4m 아래 콘크리트 바닥으로 추락하여 사망</t>
  </si>
  <si>
    <t>조적자재 운반작업 중 덮개가 설치되지 않은 바닥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</si>
  <si>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</si>
  <si>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2018년 1월경 OO신축공사에서 조적작업을 위하여 벽돌을 운반하던 중 환기개구부에서 추락하여(H〓3.5m) 사망</t>
  </si>
  <si>
    <t>덮개가 설치되지 않은 환기용 개구부 단부에서 화단조성용 조적자재를 운반하던 중 몸의 균형을 잃고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</si>
  <si>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</si>
  <si>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</si>
  <si>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2018년 8월경 OO리모델링 공사에서 지상1층 벽체 조적작업을 위해 시멘트벽돌 운반 후 이동 중 바닥개구부에 빠져 7m 아래 지하1층 콘크리트 바닥으로 추락하여 사망</t>
  </si>
  <si>
    <t>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</si>
  <si>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안전대를 체결하지 않은 상태에서 엘리베이터 피트에 설치한 윈치를 이용하여 미장자재를 인양하던 중 몸의 중심을 잃고 추락</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</si>
  <si>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</si>
  <si>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4.1.2 조적시공</t>
  </si>
  <si>
    <t>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t>
  </si>
  <si>
    <t>미장 또는 견출작업 중 덮개가 설치되지 않은 바닥 개구부로 추락</t>
  </si>
  <si>
    <t>2016년 1월경 OO인테리어 공사에서 작업장 내를 이동하는 중  바닥개구부(1,100mm×1,100mm)를 통해 지상 1층 바닥으로 추락하여(H≒9.5m) 사망</t>
  </si>
  <si>
    <t>재해자가 작업장 내를 이동하는 중  바닥개구부를 통해 지상 1층 바닥으로 떨어짐</t>
  </si>
  <si>
    <t>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t>
  </si>
  <si>
    <t>갱폼 작업발판에서 미장·견출작업 또는 작업장소를 이동하던 중 덮개가 설치되지 않은 작업발판 내 개구부로 추락</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</si>
  <si>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</si>
  <si>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t>
  </si>
  <si>
    <t>2017년 1월경 OO신축공사에서 9층 세대 현관 앞 바닥 개구부 (800mm*800mm) 주변에서 콘크리트 벽에 노출된 폼 타이(form-tie)를 제거하던 중 몸의 중심을 잃고 높이 5.6M 개구부 아래로 추락하여 사망</t>
  </si>
  <si>
    <t>2016년 6월경 OO건설 사옥 신축공사 현장 지하에서 재해자가 정화조 내부 방수공사를 진행하던 중 밖으로 나와 지하 4층 정화조관리실에서 이동하다가 인접한 정화조 바닥 개구부(1m×1m)로 떨어져(H≒3.3m) 사망</t>
  </si>
  <si>
    <t>안전난간이 미설치된 바닥 개구부 인근에서 이동 중 근로자가 몸의 중심을 잃고 바닥 개구부로 추락</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</si>
  <si>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</si>
  <si>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t>
  </si>
  <si>
    <t>추락방지조치 미실한 상태에서 폐자재 정리 작업 중 바닥개구부를 덮어 놓은 합판을 치우던 순간 몸의 중심을 잃고 떨어짐</t>
  </si>
  <si>
    <t>2017년 5월경 ㈜OO에서 시공하는 OO 신축공사 현장에서, 협력업체 소속 재해자(방수공)가 지하 2층에 있는 덕트 개구부에서 방수작업 준비 중 바닥 개구부로 몸의 중심을 잃고 지하 3층 기계실 바닥으로 추락(H≒6.3m) 사망</t>
  </si>
  <si>
    <t>추락방지조치 미실한 상태에서 바닥 개구부 인근 방수작업 준비중 근로자가 몸의 중심을 잃고 바닥 개구부로 추락</t>
  </si>
  <si>
    <t xml:space="preserve">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t>
  </si>
  <si>
    <t>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t>
  </si>
  <si>
    <t>▶ 철골조 방음터널 곡면 지붕 작업 중 추락방지를 위해 안전대 지급 및 안전대 부착설비 설치
▶ 추락방호망 설치 후 작업</t>
  </si>
  <si>
    <t>4.4 도장작업</t>
  </si>
  <si>
    <t>4.4.2 실내 도장</t>
  </si>
  <si>
    <t>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t>
  </si>
  <si>
    <t>견고하지 않은 바닥 개구부 덮개를 밟아 개구부 덮개가 탈락하며 추락</t>
  </si>
  <si>
    <t>2017년 6월경 OO증축공사 현장에서 재해자가 건물 내부 2층에서 페인트를 운반하던 중 바닥 개구부(1.8m×1.5m)를 통해 1층 바닥으로 추락하여(H≒4m) 사망</t>
  </si>
  <si>
    <t>도장자재를 운반하던 중 바닥 개구부를 인지하지 못하고 추락</t>
  </si>
  <si>
    <t>4.4.3 실외 도장</t>
  </si>
  <si>
    <t>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t>
  </si>
  <si>
    <t>2021년 7월경</t>
  </si>
  <si>
    <t>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t>
  </si>
  <si>
    <t>차량탑재형 고소작업대에 탑승하여 철골 용접부 도장작업 중 몸의 중심을 잃고 안전난간이 설치되지 않은 작업대 단부로 추락</t>
  </si>
  <si>
    <t>▶ 고소작업대의 모든 면에 안전난간 설치
▶ 고소작업대 작업 시 작업대의 안전난간이 아닌 별도의 안전대 부착설비 설치 및 안전대 체결 후 작업</t>
  </si>
  <si>
    <t>2016년 4월경 OOOO 신축공사 현장에서 협력업체 소속 재해자가 개구부(D/A)에서 스틸 그레이팅을 설치하다 약 5m 아래 콘크리트 바닥으로 추락하여 사망</t>
  </si>
  <si>
    <t xml:space="preserve">환기구 벽체 상부(폭 10cm)에서 몸을 굽혀 개구부 방향으로 자재를 잡아당기던 중 무게중심이 쏠려 개구부 아래로 추락   </t>
  </si>
  <si>
    <t>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t>
  </si>
  <si>
    <t>개구부 주변에서 자재 운반 중 발을 헛디뎌 개구부로 추락</t>
  </si>
  <si>
    <t>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t>
  </si>
  <si>
    <t>차양 구조물 상부에서 차양막 덮개를 설치하던 중 발을 헛디뎌 차양 구조물간 개구부로 추락</t>
  </si>
  <si>
    <t>▶ 개구부 등 추락위험이 있는 장소에서 작업하는 경우 작업높이에 맞는 견고한 작업발판(비계 등)을 설치
▶ 작업발판을 설치하기 곤란한 경우 안전방망을 설치하고 안전대걸이설비에 안전대를 체결한 후 작업</t>
  </si>
  <si>
    <t>2020년 7월경</t>
  </si>
  <si>
    <t>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t>
  </si>
  <si>
    <t xml:space="preserve">철골 구조물의 그레이팅 발판 설치를 위해 손가락에 그레이팅을 끼워 들어올린 상태로 실측하던 중 그레이팅이 개구부로 낙하하면서 무게중심이 쏠려 함께 추락    </t>
  </si>
  <si>
    <t>2020년 9월경</t>
  </si>
  <si>
    <t>2020년 9월경 OOOOO 신축공사 현장에서, 협력업체 소속 재해자가 지상 1층 환기구에서 개구부 덮개 받침용 철물을 용접 후 이동 중, 환기구 내부 바닥으로 추락(H≒4.7m)하여 사망</t>
  </si>
  <si>
    <t xml:space="preserve">환기구 내벽의 돌출부(폭 20cm 이내) 위에서 작업하던 중 발을 헛디뎌 환기구 아래로 추락 </t>
  </si>
  <si>
    <t>4.6 창호 및 유리 작업</t>
  </si>
  <si>
    <t>4.6.2 창호 및 유리 설치</t>
  </si>
  <si>
    <t>2016년 10월</t>
  </si>
  <si>
    <t>2016년 10월경 개인이 시공하는 다세대주택 신축공사 현장에서 재해자가 지상 5층 창 가림막 설치작업을 진행하던 중 몸의 중심을 잃고 창 가림막과 함께 약 12.8m아래 지상 바닥으로 추락</t>
  </si>
  <si>
    <t>창틀 위에 앉은 자세로 몸을 구조물 외측으로 내밀어 창 가림막 지지대를 고정하던 중 몸을 기대고 있던 지지대가 파단되면서 바닥으로 추락</t>
  </si>
  <si>
    <t>2016년 11월경 OO신축공사 현장에서 재해자가 2층 상가 폴딩도어의 외부 실리콘을 보수하기 위해 상가 내부에서 유리창 외부로 작업하려던 중 갑자기 몸의 중심을 잃고 유리창 외부 바닥으로 추락(H≒4m)</t>
  </si>
  <si>
    <t>안전대를 착용하지 않고 외벽창호 작업 중 몸의 중심을 잃고 추락</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</si>
  <si>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</si>
  <si>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t>
  </si>
  <si>
    <t xml:space="preserve">캐노피 구조물 상부에서 이동하던 중 유리가 미설치된 개구부를 인지하지 못하고 발을 헛디뎌 추락 </t>
  </si>
  <si>
    <t>2017년 11월경 인테리어공사 현장에서 재해자가 건물 내부 2층 바닥에 강화유리를 설치하기 위해 이동 중 바닥 개구부(900mm×800mm)를 미처 발견하지 못하고 추락(H≒3m)</t>
  </si>
  <si>
    <t xml:space="preserve">건물 내부 바닥에 강화유리를 설치하기 위해 이동하는 중 바닥 개구부를 인지하지 못하고 추락 </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</si>
  <si>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</si>
  <si>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2017년 12월경 OO아파트 신축공사 현장에서 금속창호공사 협력업체 소속의 재해자가 중공구간의 천창 금속 프레임 용접작업중, 시스템비계와 강관비계 작업발판 사이의 개구부로 추락(H≒40m)</t>
  </si>
  <si>
    <t>시스템비계에서 작업 중 발을 헛디뎌 안전난간이 설치되지 않은 작업발판 단부로 추락</t>
  </si>
  <si>
    <t>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t>
  </si>
  <si>
    <t>기 설치된 창호를 해체하여 양손으로 들어 옮기는 과정에서 창호가 개구부 외측으로 무게중심이 쏠리면서 창호와 함께 개구부로 추락</t>
  </si>
  <si>
    <t>2020년 8월경 OO역사 신축 공사 현장에서 협력업체 소속 재해자가 보행캐노피 상부에서 유리를 설치하던 중 보행캐노피 구조물에서 발을 헛디뎌 약 4.6m 아래로 추락</t>
  </si>
  <si>
    <t xml:space="preserve">캐노피 구조물 상부에서 유리 설치 작업 중 발을 헛디뎌 추락 </t>
  </si>
  <si>
    <t>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t>
  </si>
  <si>
    <t>달비계 작업 중 작업위치가 닿지 않아 작업대에서 벗어나 실외기 난간을 밟고 작업하던 중 발을 헛디뎌 추락</t>
  </si>
  <si>
    <t>2021년 11월</t>
  </si>
  <si>
    <t>2021년 11월경 다중주택시설 내부 리모델링 공사현장 내 3층 거실 창틀에서 2인 1조로 창호 설치작업을 하던 중 동료작업자가 창호 고정공구(타정총)를 가져오기 위해 이동한 사이에 재해자가 창호와 함께 추락(h≒8.5m)</t>
  </si>
  <si>
    <t>창호 설치 작업 중 창틀에 기대어 세워둔 창호가 구조물 외측으로 전도되면서 창호를 붙잡으려던 재해자가 함께 추락</t>
  </si>
  <si>
    <t>4.7.2 수장시공(석고보드, 도배 등)</t>
  </si>
  <si>
    <t>2016년 7월경 개인상가주택 신축현장 2층 거실에서 재해자(목수)가 삼나무판재를 잡고 움직이던 중 2층 거실 유리창 창문틀에 발이 걸리면서 건물 밖으로 떨어져(H=4.8m) 사망(추정)</t>
  </si>
  <si>
    <t>슬래브 단부에서 이동하던 중 창틀에 발이 걸려 창호 개구부로 추락</t>
  </si>
  <si>
    <t>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</si>
  <si>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슬래브 단부에서 작업하던 중 발을 헛디뎌 안전난간이 설치되지 않은 창호 개구부로 추락</t>
  </si>
  <si>
    <t>2018년 9월경</t>
  </si>
  <si>
    <t>2018년 9월경 OO신축공사 현장에서 재해자가 합판 자재정리를 위하여 그리스트랩 설치용 개구부를 덮어놓은 합판을 옮기던 중 합판 아래 개구부를 알지 못하고 이동하다 2층 콘크리트 바닥으로 추락</t>
  </si>
  <si>
    <t>개구부 덮개가 고정되지 않은 바닥의 개구부를 통해 근로자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</si>
  <si>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</si>
  <si>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t>
  </si>
  <si>
    <t>2020년 1월경</t>
  </si>
  <si>
    <t>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t>
  </si>
  <si>
    <t>자재 운반 중 바닥의 개구부를 인지하지 못하고 발을 헛디뎌 추락</t>
  </si>
  <si>
    <t>▶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</si>
  <si>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4.8.1 판넬 등 외부마감 자재반입</t>
  </si>
  <si>
    <t>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t>
  </si>
  <si>
    <t>옥상 슬래브 단부에서 자재 운반작업 중 발을 헛디뎌 안전난간이 설치되지 않은 단부로 추락</t>
  </si>
  <si>
    <t>▶ 추락 위험장소(슬래브 단부 등)에 근로자 이동 또는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 관리
▶ 건물 외측의 작업이 필요한 경우 내측에서 몸을 내밀어 작업하는 방식을 지양하고, 고소작업대 또는 달비계 등을 이용하여 작업하도록 관리감독
▶ 마감재 해체 작업 시, 패널 등 마감재를 해체한 후 지지대를 해체하는 순서로 작업을 계획하여 불시의 마감재 낙하 등의 사고를 예방</t>
  </si>
  <si>
    <t>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t>
  </si>
  <si>
    <t>▶ 추락의 위험이 있는 개구부 근처에서 작업할 경우, 안전난간대, 안전대 부착설비, 추락방지망 설치 등의 안전 방호 조치
▶ 안전난간 설치 시 지름 2.7cm 이상의 금속제 파이프나 그 이상 강도의 재료 사용하며 구조적으로 가장 취약한 지점에서 가장 취약한 방향으로 작용하는 100kg 이상의 하중에 견딜 수 있는 구조로 설치
▶ 작업자의 개인보호구, 안전대 체결여부 점검 및 관리감독</t>
  </si>
  <si>
    <t>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</si>
  <si>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지붕에서 자재운반 중 밟고 있던 마감재가 파손되면서 바닥으로 추락</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</si>
  <si>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</si>
  <si>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2015년 12월경 ㈜OO 신축공사 현장에서 재해자가 외벽마감재(드라이비트) 설치작업 중 다락층 실내로 진입하여 계단 설치 예정인 바닥 개구부에서 지상 1층 콘크리트 바닥으로 추락(H≒6.9)하여 사망</t>
  </si>
  <si>
    <t>작업장소 이동 중 바닥 개구부를 인지하지 못하고 발을 헛디뎌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</si>
  <si>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</si>
  <si>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t>
  </si>
  <si>
    <t>지붕에서 작업 중 개구부를 인지하지 못하고 발을 헛디뎌 바닥으로 추락</t>
  </si>
  <si>
    <t>2016년 11월경 개인이 시공하는 직영공사 현장에서 협력업체 소속 재해자(용접공)가 철골지붕 위에서 샌드위치 패널 설치작업 중 패널과 패널 사이 개구부(약 5m×0.4m)를 통해 바닥으로 떨어져(H:3.4m) 사망</t>
  </si>
  <si>
    <t xml:space="preserve"> 2018년 1월</t>
  </si>
  <si>
    <t xml:space="preserve"> 2018년 1월경 OO(주) OO 증축공사 현장에서 재해자가 냉동창고 천정 판넬 위에서 코킹작업 완료 후 이동 중 천막으로 덮여있는 개구부(판넬 미설치 구간)로 떨어져(H≒6.8m) 사망</t>
  </si>
  <si>
    <t>지붕에서 이동 중 개구부를 인지하지 못하고 발을 헛디뎌 바닥으로 추락</t>
  </si>
  <si>
    <t>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</si>
  <si>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</si>
  <si>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 xml:space="preserve"> 2019년 11</t>
  </si>
  <si>
    <t xml:space="preserve"> 2019년 11월경 OO에서 시공하는 OO개·보수공사 현장에서 재해자가 칼라강판을 설치하기 위해 퇴비사 지붕위에 올라가 이동하던 중, 채광용 선라이트(sunlight) 설치를 위해 비워놓은 공간(개구부)으로 떨어져(약 6.5m) 사망</t>
  </si>
  <si>
    <t>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t>
  </si>
  <si>
    <t xml:space="preserve">비계 내부에서 수평재 및 클램프를 밟고 이동하던 중 발을 헛디뎌 바닥으로 추락 </t>
  </si>
  <si>
    <t>▶ 추락 위험이 있는 장소에서의 이동 및 작업 시 작업발판 설치 및 작업발판 단부에 안전난간 설치
▶ 안전난간 설치가 곤란한 구간이 있을 경우, 안전대 부착설비를 설치하고 근로자 안전대 체결여부 점검 및 관리감독</t>
  </si>
  <si>
    <t>2021년 10월</t>
  </si>
  <si>
    <t>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t>
  </si>
  <si>
    <t>5.1.1 전기설비 자재반입, 가공, 운반</t>
  </si>
  <si>
    <t>2020년 6월경 OO공사에서 재해자가 지상 2층에서 전기 자재반입 등 현장 사전조사를 위하여 이동하던 중 바닥 개구부(1.5m×1.5m)를 통해 지상 1층 콘크리트 바닥으로 추락하여(H≒4.0m) 사망</t>
  </si>
  <si>
    <t>5.1.2 전기설비 배선</t>
  </si>
  <si>
    <t>2016년 3월경 OO공사에서 재해자가 공장 천장 내부에서 전기 배선작업을 하던 중 골판지로 덮은 개구부(1.0×1.0m)를 통과하다 골판지가 파손되면서 높이 3.4m 아래 공장 바닥으로 추락하여 사망</t>
  </si>
  <si>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</si>
  <si>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</si>
  <si>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</si>
  <si>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</si>
  <si>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 개구부 덮개를 열고 자재를 전달 및 반입시 근로자는 안전대를 체결후 작업 실시
▶ 옹벽 단부에서 작업시, 단부에는 안전난간대를 설치</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</si>
  <si>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</si>
  <si>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</si>
  <si>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5.1.3 전기설비 설치</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</si>
  <si>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</si>
  <si>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</si>
  <si>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</si>
  <si>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옹벽 위에 설치되어 기존 건물로 연결되는 고압 케이블 덕트 덮개 해체 후 지상에 있는 동료작업자에게 전달하는 과정에서 몸의 균형을 잃고 바닥으로 추락</t>
  </si>
  <si>
    <t>2020년 12월</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</si>
  <si>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</si>
  <si>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</si>
  <si>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</si>
  <si>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</si>
  <si>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</si>
  <si>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</si>
  <si>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</si>
  <si>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덕트 입상(또는 보온) 작업 중 개구부로 추락</t>
  </si>
  <si>
    <t>▶ 개구부 등 추락위험 구간에 덮개, 안전난간 등 추락방지조치 준수
▶ 작업발판, 안전대 부착설비 설치를 통한 추락방지조치 준수
▶ 위험 노출 최소화 작업순서 이행</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</si>
  <si>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</si>
  <si>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</si>
  <si>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2017년 8월경</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</si>
  <si>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</si>
  <si>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</si>
  <si>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</si>
  <si>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</si>
  <si>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</si>
  <si>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</si>
  <si>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</si>
  <si>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</si>
  <si>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</si>
  <si>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2019년 9월경</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</si>
  <si>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</si>
  <si>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</si>
  <si>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</si>
  <si>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</si>
  <si>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</si>
  <si>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 xml:space="preserve">2020년3월경 </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</si>
  <si>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</si>
  <si>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</si>
  <si>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5.3 엘리베이터 설치 작업</t>
  </si>
  <si>
    <t>5.3.1 엘리베이터 기계 설치</t>
  </si>
  <si>
    <t>2020년 9월경 OO시 OOO구 소재 OOOO(주) OOOO현장 승강기 제작·판매·설치공사에서 재해자가 각 층의 엘리베이터 설치현황을 확인하던 중 8층 계단참 창호 개구부에서 추락H=23m), 병원으로 후송되었으나 사망한 재해임</t>
  </si>
  <si>
    <t>각 층의 엘리베이터 설치현황 확인을 위해 계단으로 이동중 계단참 창호 개구부에서 추락</t>
  </si>
  <si>
    <t>▶ 개구부 등 추락위험 구간에 안전난간 설치 등 추락 방지 조치
▶ 추락 위험 장소는 안전시설물 설치 전 근로자 출입통제 조치 실시</t>
  </si>
  <si>
    <t>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t>
  </si>
  <si>
    <t>승강기 출입문 설치작업 준비를 위해 운반구에 실려있는 금속절단기, 자재 등을 승강장으로 꺼내는 과정에서 실족하여 운반구와 승강장 사이의 개구부로 추락</t>
  </si>
  <si>
    <t>5.3.2 엘리베이터 가이드레일 설치</t>
  </si>
  <si>
    <t>2017년 4월경</t>
  </si>
  <si>
    <t>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t>
  </si>
  <si>
    <t>승강기 레일 설치 작업장에서 승강기실 내부의 레일 설치 작업용 임시 카 1단 작업발판 사이를 이동하던 중 작업발판 사이 개구부(폭 약 1m)로 떨어짐</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</si>
  <si>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</si>
  <si>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t>
  </si>
  <si>
    <t>슬래브 단부에서 윈치로 인양된 H형강을 슬래브 위로 옮기기 위해 끌어당기던 중 H형강을 지지하던 로프가 갑자기 풀리면서 H형강과 함께 약 15.0m아래 엘리베이터 피트 바닥으로 추락</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</si>
  <si>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</si>
  <si>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7. 도로 및 포장공사</t>
  </si>
  <si>
    <t>7.1 포장 작업</t>
  </si>
  <si>
    <t>7.1.2 포장 시공</t>
  </si>
  <si>
    <t>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t>
  </si>
  <si>
    <t>아스팔트 포장 작업을 하던 중 후진하는 덤프트럭을 피하려고 뒷걸음치다가 장비반입용 바닥개구부로 추락</t>
  </si>
  <si>
    <t>▶ 후속시공이 연속하여 이어지지 않는 경우, 발생한 개구부(집수정 등)는 개구부 덮개 등을 이용하여 막음조치
▶ 개구부 부근에서 작업 시 안전난간 설치 등 추락방지조치 실시
▶ 차량계 하역운반기계 유도자 배치</t>
  </si>
  <si>
    <t>8.1 슬립폼(슬라이딩폼) 작업</t>
  </si>
  <si>
    <t>8.1.2 슬립폼(슬라이딩폼) 해체</t>
  </si>
  <si>
    <t>2021년 3월경 고속도로 건설공사에서 재해자가 교각 기둥 거푸집 해체 중 마지막 수평볼트를 해체하는 순간 교각 기둥과 거푸집 사이가 벌어지면서 발생한 개구부로 추락하여 사망</t>
  </si>
  <si>
    <t>고속도로 건설공사 현장에서 교각 기둥 거푸집 해체 중 거푸집을 결속하고 있는 마지막 수평볼트를 해체하는 순간 교각 기둥과 거푸집 사이가 벌어지며 발생한 개구부로 빠져 추락</t>
  </si>
  <si>
    <t>▶ 교각 기둥 또는 개구부 등 추락 가능성이 있는 장소에 대해 안전난간, 수직형 추락방망 등 설치
▶ 임시로 난간 등을 해체하여야 하는 경우 추락방호망 설치
▶ 추락방호망 설치가 곤란한 경우 안전대(안전고리 2개 모두 체결) 착용 등 추락 방지 조치 수행</t>
  </si>
  <si>
    <t>8.2 강교 설치 작업</t>
  </si>
  <si>
    <t>8.2.1 강교 부재 조립</t>
  </si>
  <si>
    <t xml:space="preserve">2019년 4월 </t>
  </si>
  <si>
    <t>2019년 4월 중 국도개선공사현장에서 재해자가 교량 교대 벽체 거푸집을 설치하던 중 교대 기초 슬라브에서 1.3m 버림콘크리트 바닥으로 떨어져 사망</t>
  </si>
  <si>
    <t>근로자가 교량교대 벽체 거푸집을 설치하던 중 교대 기초 슬라브 개구부에서 실족하여 버림콘크리트 바닥으로 떨어짐</t>
  </si>
  <si>
    <t>▶ 근로자가 추락할 위험이 있는 장소에는 충분한 강도를 가진 구조의 (작업발판형) 덮개 또는 안전난간 등의 방호조치 실시
▶ 낙하위험이 있는 고소 작업 시 안전대(안전고리 2개 모두 체결) 착용 등 추락 방지 조치 수행</t>
  </si>
  <si>
    <t>거푸집</t>
  </si>
  <si>
    <t>끼임</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</si>
  <si>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</si>
  <si>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</si>
  <si>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</si>
  <si>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</si>
  <si>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</si>
  <si>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</si>
  <si>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2016년 4월경 OO증축공사 현장에서 이동식 크레인으로 수벽거푸집 인양 및 거치작업중 설치된 보거푸집이 전도되며 1층에서 크레인 장비유도를 하던 재해자가 피하지 못하고 거푸집에 깔려 사망</t>
  </si>
  <si>
    <t>대형거푸집 조립도 미작성 및 전도방지조치 미실시한 상태에서 크레인으로 수벽 보 거푸집을 양중 및 거치 상황에서 장비유도 중 편심으로 수벽 보 거푸집이 전도되어 근로자 깔림</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</si>
  <si>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</si>
  <si>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t>
  </si>
  <si>
    <t>추락방지조치 미실시한 상태에서 경사지붕 슬래브 위에 적재된 슬래브용  거푸집(FRP)과을 인양 중 균형을 잃어 거푸집(FRP)과 함께 추락</t>
  </si>
  <si>
    <t>▶ 중량물(5kg 이상)을 인양하는 경우 무게중심 표시 및 2줄걸이 하여 균형상실 방지
▶ 추락 및 넘어질 위험이 있는 장소에 작업발판 및 안전난간 설치</t>
  </si>
  <si>
    <t>2017년 3월경 OO종합건설(주)에서 시공 중인 OO주상복합 신축공사 현장에서 재해자가 4층 바닥에서 형틀 보 상부로 이동 중 유로폼과 함께 12m 아래 1층 콘크리트 바닥으로 떨어져 사망</t>
  </si>
  <si>
    <t>추락방지조치 미실한 상태에서 하부 바닥에서 유로폼을 들고 형틀 보 상부로 이동 중 몸의 중심을 잃고 유로폼과 함께 콘크리트 바닥으로 추락</t>
  </si>
  <si>
    <t>▶ 거푸집 조립 작업을 위한 강관비계, 이동식비계 등의 작업발판 설치
▶ 추락 방지를 위해 안전대 부착설비 설치 및 안전대 착용 등 추락방지조치 실시</t>
  </si>
  <si>
    <t>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t>
  </si>
  <si>
    <t>거푸집동바리 조립도 미준수 및 추락방지조치 미실시한 상태에서 거푸집 보 설치를 위해 보 상부에서 거푸집 보 고정 중 합판 고정부위 파단으로 근로자 추락</t>
  </si>
  <si>
    <t>▶ 거푸집동바리 조립 시 조립도에 적합한 동바리 설치 및 거푸집 보 고정완료 상태에서 크레인 슬링벨트 해체
▶ 2m 이상 고소작업이 빈번한 작업자에 대해 안전대 지급 및 안전대 부착설비  설치</t>
  </si>
  <si>
    <t>2017년 10월</t>
  </si>
  <si>
    <t>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t>
  </si>
  <si>
    <t>추락 방지조치를 미실시한 상태에서 슬래브 콘크리트 타설을 위해 설치한 시스템동바리 상부에서 작업발판 운반 작업을 위해 동바리 수평재 위를 이동 중 중심을 잃고 근로자 추락</t>
  </si>
  <si>
    <t>▶ 동바리 상부 등 추락위험이 있는 장소에는 비계 등의 설치를 통한 작업발판 및 안전난간 설치
▶ 동바리 상부에서 작업발판 설치 시 추락 위험 방지를 위해 추락방지망 등 설치
▶ 추락위험이 있는 장소에서 작업 시 안전대 부착설비 설치 및 안전대 착용</t>
  </si>
  <si>
    <t>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t>
  </si>
  <si>
    <t>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t>
  </si>
  <si>
    <t>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t>
  </si>
  <si>
    <t>추락방지조치 미실한 상태에서 보 하부 거푸집에서 합판 연결부을 못으로 고정하는 작업 중 중심을 잃고 근로자다 추락하여 바닥 돌출된 수직 철근에 가슴부위가 찔림</t>
  </si>
  <si>
    <t>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t>
  </si>
  <si>
    <t>2019년 3월경 ㈜OO건설 다세대주택 신축공사 현장에서 재해자(형틀공)가 지상1층 보 거푸집 설치를 위해 보밑판(합판)을 하부 근로자에게 받아 설치작업을 하던 중 약 2.5미터 아래 콘크리트 바닥 슬라브로 떨어져 사망</t>
  </si>
  <si>
    <t>2020년 11월</t>
  </si>
  <si>
    <t>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</si>
  <si>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t>
  </si>
  <si>
    <t>▶ 추락 방지를 위해 안전대 부착설비 설치 및 안전대 착용 등 추락방지조치 실시
▶ 타워크레인 작업 시 타워크레인마다 작업자와 신호교육을 이수한 신호업무 담당자 각각 배치</t>
  </si>
  <si>
    <t xml:space="preserve">철근콘크리트공사 </t>
  </si>
  <si>
    <t>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t>
  </si>
  <si>
    <t>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t>
  </si>
  <si>
    <t>거푸집 조립시 구조검토에 의한 조립도 미작성, 거푸집 전도방지조치 미실시한 상태로 콘크리트 옹벽 벽체거푸집 조립 작업 중 옹벽벽체 외벽 거푸집이 근로자의 전면으로 넘어져 깔림</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</si>
  <si>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</si>
  <si>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2016년 10월경 복합주거시설 신축공사 현장에서 지하 1층 기둥 형틀(거푸집)에 매달려 플랫타이 및 핀 고정작업을 하던 재해자가 바닥으로 떨어져 사망</t>
  </si>
  <si>
    <t>추락방지조치 미실시한 상태에서 지하층 기둥 거푸집에 매달려 플랫타이 및 핀 고정작업 중 바닥으로 근로자 추락</t>
  </si>
  <si>
    <t>2017년 3월경 OO건설(주) OO신축공사현장에서 협력업체 소속 재해자가 지하1층 형틀작업 과정에서 임시로 세워놓은 기둥거푸집의 버팀대가 이탈되어 넘어지는 기둥거푸집 상단부가 재해자의 뒷목을 타격하여 사망</t>
  </si>
  <si>
    <t>인양장비에 매달지 않고 버팀대를 견고하게 설치하지 않은 상태에서 지하층 형틀작업 중 임시로 세워놓은 기둥거푸집이 버팀대의 이탈로 넘어져 근로자 뒷목 타격</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</si>
  <si>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</si>
  <si>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2017년 5월경 OO토건(주)이 시공하는 야구장 건립현장에서 재해자 2명이 외부비계에서 백스크린 벽체거푸집(14m×8m) 조립작업 중 거푸집이 전도되어 전도되는 거푸집에 깔림</t>
  </si>
  <si>
    <t>2018년 3월경 OO단독주택 신축공사 현장에서 재해자 2명이 좌측면 벽체 거푸집 설치작업 중 벽체 거푸집(높이 2.4m, 중량 약 114kg)이 넘어져 재해자를 덮침</t>
  </si>
  <si>
    <t>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t>
  </si>
  <si>
    <t>2019년 3월경 위험지구 정비사업 현장에서 재해자가 BOX교량 안쪽 벽체 거푸집 설치작업 중 벽체거푸집(높이 2.3M, 폭 10M, 무게 약 845㎏)이 넘어지면서 가슴 등을 부딪혀 사망</t>
  </si>
  <si>
    <t>2019. 3월경</t>
  </si>
  <si>
    <t>2019. 3월경 OO건설(주)이 시공중인 OO신축공사 현장에서 협력업체  소속 재해자가 지상1층 보(0.5m×0.8m)상부에 서서 측면 거푸집(0.3m×1.2m) 조립 작업 중, 몸의 중심을 잃고, 지하1층 바닥(H≒3.6m)으로 떨어져 사망</t>
  </si>
  <si>
    <t>추락방지조치 미실시한 상태에서 지상층 내부 철골 내화페인트 뿜칠작업 중 중심을 잃고 이동식비계 작업발판 위에서 근로자 추락</t>
  </si>
  <si>
    <t>2019년 5월경</t>
  </si>
  <si>
    <t>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</si>
  <si>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t>
  </si>
  <si>
    <t>▶ 추락위험이 있는 장소에서의 작업 시 안전대 부착설비 설치 및 안전대 지급 및 착용
▶ 크레인 작업 시 작업자와 신호교육을 이수한 신호업무 담당자 각각 배치</t>
  </si>
  <si>
    <t>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</si>
  <si>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t>
  </si>
  <si>
    <t>▶ 거푸집 위치 수정작업 시 보거푸집을 인양장비에 매달아 하중 지지 후 작업 또는 버팀대 설치
▶ 추락 위험이 있는 장소에서의 작업 시 작업발판 설치 또는 고소작업대 투입</t>
  </si>
  <si>
    <t>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t>
  </si>
  <si>
    <t>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t>
  </si>
  <si>
    <t>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t>
  </si>
  <si>
    <t>2020년 3월경 위험개선지구 정비사업 현장에서 OO건설(주) 소속 작업자 2명이 교량 차수벽 거푸집 사이에서 거푸집 조립(B≒4.8m, H≒1.2m,) 중, 거푸집(584kg)이 전도되면서 2명이 거푸집에 깔림</t>
  </si>
  <si>
    <t>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t>
  </si>
  <si>
    <t>달기구의 안전계수를 미준수한 상태에서 지상 7층 윈치가 부착된 삼각인양대를 이용하여 대형거푸집 인상작업 중 윈치와 거푸집의 연결부 파손으로 건물 외부비계 위에 있던 근로자 추락</t>
  </si>
  <si>
    <t>▶ 사전조립식 대형거푸집을 지지하는 달기구의 경우 안전계수 5 이상 확보된 인증제품 사용
▶ 조립된 대형거푸집 전체의 중량이 고르게 분포될 수 있도록 줄걸이 방법 결정 및 실행</t>
  </si>
  <si>
    <t>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t>
  </si>
  <si>
    <t>2020년  5월</t>
  </si>
  <si>
    <t>2020년  5월경 OO건설(주) OO신축공사 현장에서, 하도급업체 소속 재해자가 지하 1층 바닥슬래브 거푸집 설치 작업 중 슬래브 설치 예정 개구부에서 떨어진(H≒3.5m) 후 병원에 후송되어 치료 중 사망한 재해임.</t>
  </si>
  <si>
    <t>2020년 9월경 OO건설(주) OO아파트 건설공사 현장에서 OO동 후면 지하주차장 상부 슬래브 거푸집의 하부 강관 동바리 보강작업 중, 기 설치된 슬래브 거푸집이 넘어지면서 하부 작업자 3명이 깔림</t>
  </si>
  <si>
    <t>2020년 10월경 시설물연간유지보수공사 현장의 OO고속도로 내에서 재해자가 비탈면 계단식 옹벽 7단 상부에서 8단 거푸집을 설치하던 중 거푸집과 함께 옹벽 하단부(H:10.5m)로 추락하여 사망</t>
  </si>
  <si>
    <t>거푸집 조립시 구조검토에 의한 조립도 미작성, 거푸집 전도방지조치 미실시한 상태로 비탈면 계단식 옹벽 상부에서 거푸집을 설치하던 중 거푸집이 탈락하여 옹벽 하단부로 추락</t>
  </si>
  <si>
    <t>2020년 11월경 OO건설㈜ 공장 신축공사 현장에서 재해자 2명이 2층에서 데크플레이트 설치 작업 중 1층 바닥(H≒3.8m)으로 떨어져 각각 부상</t>
  </si>
  <si>
    <t>2020년 12월경 OO건설(주) OO오피스텔신축공사 현장에서 협력업체  소속 재해자가 지상2층 바닥 보 거푸집 설치작업 중 높이 약 3.2m아래 콘크리트바닥으로 떨어져 사망</t>
  </si>
  <si>
    <t>2021년 5월경 (주)OO건설에서 시공 중인 OO신축공사 현장에서, 재해자가 지상 2층 보 거푸집 설치작업 중 3.5m 아래로 추락하여 사망</t>
  </si>
  <si>
    <t>2021년 9월경 OO주상복합 신축공사 현장에서 협력업체 소속 재해자가 지상4층 주차장 우수조 기계실 벽체거푸집(H≒7.2m) 조립 후 긴결재(Flat Tie) 설치 작업 중 바닥(H≒5.5m)으로 떨어져 사망</t>
  </si>
  <si>
    <t>2021년 11월경 OO건설㈜ OO빌딩신축공사 현장에서 재해자가 지상2층 바닥 보 거푸집 상부에서 측면거푸집 수정(해체)작업 중 지상1층 바닥(H≒3.6m)으로 떨어져 사망</t>
  </si>
  <si>
    <t>2016년 4월경 OO건설(주)에서 시공하는 도로공사 현장에서 재해자가 교각 1번 코핑 거푸집 해체작업 중 코핑 거푸집이 구조물과 분리되어 재해자가 코핑 거푸집과 함께 바닥으로 떨어져(H≒30m) 사망</t>
  </si>
  <si>
    <t>갱폼 작업시 안전조치사항을 미준수한 상태에서 옥탑층 갱폼 해체작업 중 갱폼이 외벽으로부터 탈락되어 근로자 추락</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</si>
  <si>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</si>
  <si>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2016년 7월경 OOOO(주) / OO사면보강공사 현장에서 재해자가 계단식 옹벽 상부에서 거푸집 해체 작업 중  몸의 중심을 잃고 약 7.0m 아래 지상 바닥으로 떨어져 사망</t>
  </si>
  <si>
    <t>추락방지조치 미실시한 상태에서 거푸집 일부 해체작업 중 중심을 잃고 근로자 추락</t>
  </si>
  <si>
    <t>▶ 경사진 바위나 이끼 등 평탄치 않은 곳에서의 작업 시 비계 조립등의 방법으로 작업발판 설치
▶ 추락위험이 있는 구간에는 추락방호망, 안전난간 설치 또는 및 안전대 착용후 작업</t>
  </si>
  <si>
    <t>2016년 8월경 OO건설(주) OO현장에서 재해자가 TETRANEO(방파제 보호블럭) 제작장에서 철제 거푸집 해체작업을 하던 중 해체중이던 거푸집에 깔려 사망</t>
  </si>
  <si>
    <t>낙하 , 붕괴 등 위험조치 미실시한 상태에서 거푸집 해체 작업에서 장선재를 받치고 있던 파이프 서포트의 방향을 조절하던 중 상부 해체 자재가 낙하하여 근로자 가격</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</si>
  <si>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</si>
  <si>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2016년 10월경 OO다가구주택 신축공사 현장에서 재해자가 건물 5층 파라펫 내측 거푸집 해체작업 도중 몸의 균형을 잃고 떨어져 사망</t>
  </si>
  <si>
    <t>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</si>
  <si>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t>
  </si>
  <si>
    <t xml:space="preserve">▶ 거푸집동바리 조립하거나 해체하는 작업 시 붕괴등의 재해를 방지하기 위해 순차적으로 파이프 써포트를 제거하면서 부분적으로 해체 
▶ 버팀목을 설치하여 낙하물에 의한 사고 예방 조치 실시 </t>
  </si>
  <si>
    <t>2017년 7월경 OO공동주택 신축공사 현장에서 재해자가 옥탑층 갱폼 해체작업 중 갱폼이 외벽으로부터 탈락되어 재해자가 갱폼과 함께 약 67m 아래 지상 콘크리트 바닥으로 떨어져 사망</t>
  </si>
  <si>
    <t>2017년 7월경 (주)OO에서 시공하는 OO공사 현장에서(주)OO소속 재해자가 통합제어실 보 거푸집 해체 작업 중 각재 상부에 올려놓은 거푸집을 밟는 순간 거푸집이 뒤집어지면서 높이 약 4.6m 아래 바닥으로 추락하여 사망</t>
  </si>
  <si>
    <t>작업발판 설치 상태 미흡한 상태에서 보 거푸집 해체 작업 중 각재 상부에 올려놓은 거푸집을 밟는 순간 거푸집이 뒤집어짐에 따라 근로자 추락</t>
  </si>
  <si>
    <t>▶ 추락위험이 있는 구간에는 추락방호망, 안전난간 설치 또는 및 안전대 착용후 작업
▶ 작업발판 설치시 작업발판이 뒤집어지거나 떨어지지 않도록 견고히 고정</t>
  </si>
  <si>
    <t>2018년 3월경 (주)OO건설 OO공원 조성사업 현장에서 재해자가 도교 기초(가로 4.5m × 세로 3.6m × 높이 5m) 측면에서 거푸집(유로폼) 해체 작업 중 바다(수심≒3m)로 추락하여 익사</t>
  </si>
  <si>
    <t>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</si>
  <si>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작업발판 미설치한 상태에서 화장실 벽체 거푸집을 해체하기 위해 거푸집 면판 보강재를 밟고 올라가 거푸집 연결핀을 제거하던 중 중심을 잃고 근로자 추락</t>
  </si>
  <si>
    <t>▶ 거푸집 해체작업 시 안전한 작업을 위해 말비계 등 기준에 적합한 작업발판 설치
▶ 추락위험이 있는 구간에는 추락방호망, 안전난간 설치 또는 및 안전대 착용후 작업</t>
  </si>
  <si>
    <t>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t>
  </si>
  <si>
    <t>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t>
  </si>
  <si>
    <t>낙하 , 붕괴 등 위험조치 미실시한 상태에서 지하층 정화조 관리실 슬래브 거푸집 해체 작업에서 장선재를 받치고 있던 파이프 서포트의 방향을 조절하던 중 상부 해체 자재가 낙하하여 근로자 가격</t>
  </si>
  <si>
    <t>2019년 6월경 (주)OO이 시공중인 OO단독주택 현장에서 협력업체 소속 재해자가 지상2층 보 거푸집(0.86m×5.3m, 약 82kg) 해체 작업 중, 떨어지는 보 거푸집에 머리와 상체 등을 맞아 사망</t>
  </si>
  <si>
    <t>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t>
  </si>
  <si>
    <t>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</si>
  <si>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t>
  </si>
  <si>
    <t>2020년 3월경 OO건설(주) OO방파제공사 현장에서 방파제(호안도로) 옹벽 측면 계단 거푸집 일부를 재해자가 해체작업을 하던 중 몸의 중심을 잃고 실족 익사하여 사망</t>
  </si>
  <si>
    <t>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t>
  </si>
  <si>
    <t>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t>
  </si>
  <si>
    <t>2020년 9월경 OO공사 현장에서 협력업체 소속 재해자가 방호벽 거푸집 해체 작업 중 약 17m 아래 바닥으로 추락하여 사망</t>
  </si>
  <si>
    <t>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t>
  </si>
  <si>
    <t>중량물의 취급 작업방법 불량한 상태에서 지상층 외벽 대형 거푸집을 상부층으로 인양하던 중 전도되는 대형 거푸집에 깔리며 상부층 바닥에 돌출되어 있던 수직철근에 머리부위 찔림</t>
  </si>
  <si>
    <t>▶ 중량물 양중작업 시 안전성 확보를 위한 줄걸이 종류별 안전계수(율) 확보 및 줄걸이 방법, 줄걸이 안전성 검토
▶ 대형 거푸집 패널 조립 시 불량 재료 사용 금지</t>
  </si>
  <si>
    <t>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t>
  </si>
  <si>
    <t>낙하물 방지조치 미실시한 상태에서 이동식크레인으로 거푸집공사용 유로폼 다발 운반 중 유로폼 낙하로 근로자 가격</t>
  </si>
  <si>
    <t>▶ 자재 인양 시 화물경로에 대해 사전에 모든 근로자의 작업 및 출입 통제
▶ 인양화물 이탈 및 분리 방지를 위해 달포 등을 사용하여 견고히 고정
▶ 자재인양함 사용</t>
  </si>
  <si>
    <t>2017년 6월경, OO건설(주)가 시공하는 OO현장에서 재해자가 강재거푸집을 인양·하역 작업 중 인양용 섬유로프가 파단되면서 낙하하는 강재거푸집에 깔려 사망</t>
  </si>
  <si>
    <t>인양용 자재 관리 불량한 상태에서 강재거푸집을 인양 및 하역 작업 중 인양용 섬유로프가 파단됨에따라 강재거푸집 낙하 연이어 근로자 깔림</t>
  </si>
  <si>
    <t>▶ 작업 전 인양용 섬유로프 점검 및 인양허용하중 이내 사용
▶ 차량용 건설기계인 굴삭기는 주 용도 외에 사용 금지</t>
  </si>
  <si>
    <t>2019년 9월경 OO신축공사 현장에서 재해자가 지상1층 보 거푸집을 설치하기 위하여 보 하부거푸집 상부에 서서 보 측판거푸집 인양작업을 보조하던 중 몸의 중심을 잃고, 지상1층 바닥(H≒2.85m)으로 떨어져 사망</t>
  </si>
  <si>
    <t>추락 방지조치 미실시한 상태에서 지상층 보 거푸집을 설치하기 위해 보 하부거푸집 상부에 서서 보 측판거푸집 인양작업 보조 중 중심을 잃고 근로자 추락</t>
  </si>
  <si>
    <t>▶ 추락 위험 장소에서의 작업 시 작업발판 설치 및 추락방호망 설치
▶ 추락방호망 설치가 곤란한 경우 안전대 부착설비 설치 및 안전대 착용</t>
  </si>
  <si>
    <t>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t>
  </si>
  <si>
    <t xml:space="preserve">지하층 보 거푸집 설치를 위해 타워크레인으로 양중한 보 거푸집 위에서 양중 로프를 해제하던 중 로프가 덜 풀어진 상태에서 상승하면서 매달린 보 거푸집이 기울어져 중심을 잃고 근로자 추락 </t>
  </si>
  <si>
    <t>2.2 갱폼 작업</t>
  </si>
  <si>
    <t>2.2.3 갱폼 인양, 설치</t>
  </si>
  <si>
    <t>2017년 3월경 (주)OOO OO아파트 현장에서 재해자가 갱폼작업발판 최하단(5단)에서 견출작업 중 작업발판하부 철재 지지물의 용접부가 탈락되면서 발판이 개방되어 4층(H=12.6m) 높이에서 지반으로 떨어져 사망</t>
  </si>
  <si>
    <t xml:space="preserve">작업발판 등 철재 지지물의 변형ㆍ손상 등 확인이 불량한 상태에서 갱폼작업발판 최하단에서 견출작업 중, 작업발판하부 철재 지지물의 용접부가 탈락되면서 발판이 개방되어 근로자 추락 </t>
  </si>
  <si>
    <t>▶ 추락 위험 장소에서의 작업 시 작업발판 설치 및 추락방호망 설치
▶ 추락방호망 설치가 곤란한 경우 안전대 부착설비 설치 및 안전대 착용
▶ 작업 전 철재 지지물의 변형ㆍ손상 등 확인 후 이상유무 점검 실시</t>
  </si>
  <si>
    <t>2017년 5월경 아파트 신축공사에서 재해자가 지상 4층에서 타워크레인으로 인양 운반되어온 부재를 받기 위해 유도로프를 잡고서 당기던 중 순간 라운드 슬링이 파단되며 부재가 낙하하여 머리, 어깨 등 맞아 사망</t>
  </si>
  <si>
    <t>타워크레인으로 인양 운반된 R.C.S폼 레일 부재를 받아 내리기 위해 유도로프를 잡아당기는 작업 중 라운드 슬링 파단으로 레일 부재 낙하 후 근로자 타격</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</si>
  <si>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</si>
  <si>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t>
  </si>
  <si>
    <t xml:space="preserve">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t>
  </si>
  <si>
    <t xml:space="preserve">▶ G.C.S폼에 설치된 작업발판 끝 등 근로자가 추락할 위험이 있는 장소에는 안전난간을 설치하고, 작업의 필요상 임시로 난간 등을 해체해야 하는 경우 안전방망 설치 실시
▶ 높은 장소에서 작업 시 근로자에게 안전대를 착용시킨 경우 안전대를 안전하게 걸어 사용할 수 있는 안전대 부착설비 등 설치 실시 </t>
  </si>
  <si>
    <t>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t>
  </si>
  <si>
    <t>중량물취급 작업계획서 미작성한 상태에서 갱폼 인양작업 중 돌풍으로 고정되지 않은 갱폼이 아파트 골조면 외측으로 벗어남에 따라 갱폼 고정용 로프에 근로자의 신체 일부가 걸려서 따라 나가면서 추락</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</si>
  <si>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</si>
  <si>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t>
  </si>
  <si>
    <t>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</si>
  <si>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t>
  </si>
  <si>
    <t>▶ 갱폼 인양 작업 전 연결부 용접상태 및 턴버클의 정상 작동상태 점검
▶ 갱폼 인양 시 인전 갱폼 등과의 간섭 최소화와 같은 작업 지시 및 실시</t>
  </si>
  <si>
    <t>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t>
  </si>
  <si>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</si>
  <si>
    <t>▶ 컨베이어 정비·검사 작업 시 운전 정지 실시
▶ 장력 유지장치 방호덮개 임의 해체 금지</t>
  </si>
  <si>
    <t>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t>
  </si>
  <si>
    <t>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t>
  </si>
  <si>
    <t>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t>
  </si>
  <si>
    <t>갱폼인양시 추락 방지조치 미실시한 상태에서 지상층 주차타워 내벽 갱폼 인상작업 중 인접 갱폼이 주차타워 내벽에서 탈락하여 해당 갱폼 작업발판에서 작업대기 중이던 근로자 추락</t>
  </si>
  <si>
    <t>▶ 앵커볼트를 일부만 고정할 경우 자중과 작업ㆍ충격 및 풍하중 등에 의해 갱폼의 안전성이 저하되지 않도록 전도방지용 와이어로프를 설치 준수 
▶ 갱폼의 조립ㆍ해체 시 지지 또는 고정볼트의 이상유무를 수시로 점검하고 이상이 발견될 경우 즉시 교체 실시
▶ 갱폼 조립ㆍ해체 시 앵커볼트를 견고하게 설치 및 체결 후 작업 실시</t>
  </si>
  <si>
    <t>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t>
  </si>
  <si>
    <t>파라펫 거푸집에 콘크리트를 타설하고 근로자가 외부비계에서 상부를 면고르기 하던 중 파라펫이 건물외부로 전락하여 근로자 추락</t>
  </si>
  <si>
    <t xml:space="preserve">▶ 설계도면에 적합한 거푸집을 조립하고 안전성 평가 실시 
▶ 외부비계 고정 벽이음 철물 설치
▶ 거푸집 변형ㆍ변위 확인 등 관리감독 철저 </t>
  </si>
  <si>
    <t>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t>
  </si>
  <si>
    <t>벽체 거푸집 보강 작업을 위해 슬라브 단부에서 거푸집지지 횡재로 올라서는 중 몸의 중심을 잃고 근로자 추락</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</si>
  <si>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</si>
  <si>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2017년 10월 OO교회 신축 현장에서 1층 벽체(길이 6m, 높이 3.8m, 두께 20cm) 콘크리트 타설 중 벽체 거푸집이 무너지면서 벽체 외부 쌍줄비계 작업발판에서 작업 중이던 재해자가 무너지는 거푸집에 깔려 사망(추정)</t>
  </si>
  <si>
    <t>편 하중에 따라 무너질 위험 및 무너짐 방지조치가 미흡한 상태에서 벽체 콘크리트 타설 중 벽체 거푸집이 무너지면서 작업발판에서 작업 중이던 근로자가 깔림</t>
  </si>
  <si>
    <t xml:space="preserve">▶ 타설시 편하중 미 검토 등 거푸집 무너짐 방지조치 실시 
▶ 거푸집 지지재의 재료 결함 여부 점검 
▶ 버팀대 및 버팀줄을 구조적으로 안전하게 설치 </t>
  </si>
  <si>
    <t xml:space="preserve">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t>
  </si>
  <si>
    <t>근로자가 잠제블록 AI 거푸집 상부 작업발판 위에서 콘크리트 타설작업 중 콘크리트가 유출되면서 거푸집이 순간 기울면서 전도되는 괒어에서 지상으로 추락</t>
  </si>
  <si>
    <t>▶ 거푸집은 외력에 견디거나 넘어지지 않게 버팀대, 긴결재 설치
▶ 콘크리트 타설작업 시 감시자를 배치하여 거푸집의 변형, 침하, 콘크리트 유출 등 이상이 있을 시 작업 중지 및 근로자 대피</t>
  </si>
  <si>
    <t>무너짐</t>
  </si>
  <si>
    <t>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t>
  </si>
  <si>
    <t>구조검토가 되지 않은 자재를 사용하여 조립도를 임의로 작성한 상태에서 지하주차장 진입구간 램프벽체 콘크리트 타설 작업 중 거푸집이 붕괴</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</si>
  <si>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</si>
  <si>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2021년 1월경 OO신축공사에서 외벽 미장작업을 위해 15층 갱폼에서 이동 중 작업발판이 해체된 개구부에 빠져 3층 낙하물방지망으로 추락하여(H ≒ 29m) 사망</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</si>
  <si>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</si>
  <si>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</si>
  <si>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</si>
  <si>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8.1.1 슬립폼(슬라이딩폼) 제작</t>
  </si>
  <si>
    <t>2021년 6월경</t>
  </si>
  <si>
    <t>2021년 6월경 도로 개설공사 현장에서 교각 철제 거푸집에 앵커볼트를 체결하던 도중 철제 거푸집이 전도되어 하부에 깔려 1명 사망, 1명 부상</t>
  </si>
  <si>
    <t>거푸집 설치 작업자가 교각 철제 거푸집에 세트 앵커 볼트를 체결하던 도중 철제 거푸집이 전도되어 철제 거푸집 하부에 깔림</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</si>
  <si>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</si>
  <si>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t>
  </si>
  <si>
    <t>코핑 강재거푸집을 매달지 않은 상태에서 연결철물을 해체하여 외벽에서 탈락되어 하부 피어밴드 작업발판을 덮쳐 근로자가 추락</t>
  </si>
  <si>
    <t>▶ 거푸집을 인양장비에 매달기 전에는 지지 또는 연결철물 해체 금지
▶ 코핑거푸집 등의 중량물을 취급하는 작업에는 작업지휘자를 지정하고 해당 작업 지휘 조치</t>
  </si>
  <si>
    <t>건설기계</t>
  </si>
  <si>
    <t>굴착기</t>
  </si>
  <si>
    <t>2017년 9월경</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</si>
  <si>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37" type="noConversion"/>
  </si>
  <si>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</si>
  <si>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</si>
  <si>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이동식크레인</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</si>
  <si>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</si>
  <si>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</si>
  <si>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</si>
  <si>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</si>
  <si>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</si>
  <si>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</si>
  <si>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2013년 12월</t>
  </si>
  <si>
    <t>2013년 12월경 OO공사에서 재해자가 굴착 중이던 굴착기의 버킷에 충돌하여 약 2m 깊이의 굴착 저면으로 추락하여 사망</t>
  </si>
  <si>
    <t>작업중 붐을 회전하는 굴착기의 버킷에 부딪힌 후 굴착저면으로 추락</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</si>
  <si>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</si>
  <si>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</si>
  <si>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</si>
  <si>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</si>
  <si>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</si>
  <si>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</si>
  <si>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2019년 3월경 OO공사에서 재해자가 도로 청소작업 중 굴착작업을 위해 주행하는 굴착기 바퀴에 깔려 사망</t>
  </si>
  <si>
    <t>작업 중 후진하는 굴착기에 부딪힌 후 뒷바퀴에 깔림</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</si>
  <si>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</si>
  <si>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</si>
  <si>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2021년 4월경 OO공사에서 재해자가 전력케이블 지중화 작업 중 후진하는 굴착기(0.6㎥)에 부딪친 후 우측 뒷바퀴에 깔려 사망</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</si>
  <si>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</si>
  <si>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</si>
  <si>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</si>
  <si>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1.1.3 굴착 토사반출</t>
  </si>
  <si>
    <t>트럭</t>
  </si>
  <si>
    <t>2016년 4월경 OO공사에서 재해자가 작업준비을 위한 이동 중 토사반출을 위해 진입하던 덤프트럭에 깔려 사망</t>
  </si>
  <si>
    <t>작업장소를 이동하던 중 진입하던 덤프트럭에 부딪힌 후 깔림</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</si>
  <si>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</si>
  <si>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</si>
  <si>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</si>
  <si>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 차량계 건설기계 전담 신호수 또는 유도자를 배치하여 작업반경 내에 근로자의 출입을 통제함 
▶ 굴삭기 후사경, 후방카메라, 후방감지장치 등 방호장치 설치</t>
  </si>
  <si>
    <t>기타건설장비</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</si>
  <si>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</si>
  <si>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</si>
  <si>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</si>
  <si>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2017년 3월경 OO공사에서 재해자가 굴착 바닥면에서 집수정 양수기를 점검 후 올라오기 위해 이동하던 중 상부에서 내려오던 토사 양중용 버킷에 깔려 사망</t>
  </si>
  <si>
    <t>작업장소 이동 중 지상에서 하강하는 크램쉘 버켓에 깔림</t>
  </si>
  <si>
    <t>▶ 차량계 건설기계 사용 시 유도자 배치 후 인원 통제 실시
▶ 차량계 건설기계를 사용하는 작업 전 작업장 상태에 관한 사전조사 실시</t>
  </si>
  <si>
    <t>2017년 8월경 OO공사에서 재해자가 지하 6층(GL=-28.0m)에서 숏크리트 압송 배관 정리 작업을 하며 이동하던 중 지상에서 하강하는 크램쉘 버켓(1.68x1.4x1.25m, 1.2ton)에 깔려 사망</t>
  </si>
  <si>
    <t>2017년 10월경 OO공사에서 재해자가 현장 내 제방 진입도로(농로)에서  일반차량 진입을 통제하던 중 후진하는 덤프트럭에 부딪혀 사망</t>
  </si>
  <si>
    <t>작업 중 후진하는 덤프트럭에 부딪힌 후 깔림</t>
  </si>
  <si>
    <t>2017년 11월경 OO공사에서 재해자가 현장 내 가설도로를 이동하던 중 토사반출을 위해 주행하던 덤프트럭(25.5ton)에 부딪혀 사망</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</si>
  <si>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</si>
  <si>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</si>
  <si>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</si>
  <si>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</si>
  <si>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</si>
  <si>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2018년 8월경 OO공사에서 덤프트럭(25.5ton)을 운전하여 토사반출 작업 중 현장 출입구를 나와 인근 외부도로에 정차 후 적재함 위에 올라가 덮개를 점검하다가 도로 바닥으로 추락(약 2.55m)하여 사망</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</si>
  <si>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</si>
  <si>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</si>
  <si>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</si>
  <si>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</si>
  <si>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</si>
  <si>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phoneticPr fontId="37" type="noConversion"/>
  </si>
  <si>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</si>
  <si>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</si>
  <si>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</si>
  <si>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</si>
  <si>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</si>
  <si>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</si>
  <si>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</si>
  <si>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</si>
  <si>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2020년 12월경 OO공사에서 재해자가 토사운반 중이던 굴착기 주변에서 삽으로 토사(뻘) 잔재물을 정리하던 중 후진하던 굴착기에 깔려 사망</t>
  </si>
  <si>
    <t>작업 중 후진하는 굴착기에 깔림</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</si>
  <si>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</si>
  <si>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</si>
  <si>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2021년 4월경 OO공사에서 재해자가 토사 반출차량 유도 및 운반송장 회수 작업 중 후진하는 덤프트럭 우측 후미부에 충돌 후 뒷바퀴에 깔려 사망</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</si>
  <si>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</si>
  <si>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</si>
  <si>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</si>
  <si>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</si>
  <si>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</si>
  <si>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1.2 흙막이 지보공 작업</t>
  </si>
  <si>
    <t>1.2.1 흙막이 지보공 자재반입</t>
  </si>
  <si>
    <t>2016년 1월경 문화집회시설 신축공사에서 재해자가 작업 준비작업을 하던 중 후진하면서 자재 운반중인 굴착기에 치여 사망</t>
  </si>
  <si>
    <t>시야가 미확보된 상태에서 후진하던 차량계 건설기계에 주변 근로자가 깔림</t>
  </si>
  <si>
    <t>▶ 차량계 건설기계 작업계획서를 사전에 작성하고 관리감독자를 배치하여 작업계획서에 맞게 작업
▶ 굴삭기 이용 작업 시 후방경고시스템 설치를 권고하여 사고를 예방함
▶ 차량계 건설기계 접촉을 방지하기 위해 근로자 출입금지 및 신호수(유도자)를 배치함</t>
  </si>
  <si>
    <t>2016년 7월경 배수로 건설현장에서 재해자가 작업을 위해 대기하던 중 자재 이동하던 굴착기의 체인블록의 후크에서 자재가 탈락하여 맞아 사망</t>
  </si>
  <si>
    <t>해지장치가 불량한 체인블록 후크에서 자재가 이탈하여 근로자에게 낙하</t>
  </si>
  <si>
    <t>2020년 1월경 지하차도 건설공사 현장에서 재해자가 이동하던 중 이동식크레인으로 인양하던 PS띠장이 이탈되면서 맞아 사망</t>
  </si>
  <si>
    <t>▶ 흙막이 지보공 해체 등 중량물 취급 작업 시 근로자 출입 통제 및 유도자 배치
▶ 중량물 취급시 작업계획서를 사전에 작성하고 관리감독자를 배치하여 작업계획서에 맞게 작업</t>
  </si>
  <si>
    <t>1.2.2 흙막이 지보공 설치</t>
  </si>
  <si>
    <t>2016년 10월경 배수관 정비공사 현장에서 재해자가 흙막이 가시설 설치 작업 중 굴착기로 인양하던 H형강이 이탈되면서 머리를 가격당해 사망</t>
  </si>
  <si>
    <t>▶ 중량물 인양시 작업순서 및 방법, 사용장비, 인양물 탈락방지 및 근로자 출입금지 관련 작업계획서 작성
▶ 중량물 취급 작업 시 근로자 출입 통제 및 유도자 배치</t>
  </si>
  <si>
    <t>부딪힘 접촉</t>
  </si>
  <si>
    <t>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t>
  </si>
  <si>
    <t>시야가 미확보된 상태에서 회전하는 차량계 건설기계 붐대에 충돌</t>
  </si>
  <si>
    <t>▶ 차량계 건설기계 작업을 하는 경우 작업지휘자 지정 및 안전한 작업 지휘
▶ 차량계 건설기계를 사용하여 작업하는 경우 장비와 근로자가 부딪힐 위험이 있는 장소에는 근로자 출입 통제 및 유도자 배치</t>
  </si>
  <si>
    <t>천공기/항타기</t>
  </si>
  <si>
    <t>2017년 2월경 오피스텔 신축공사 현장에서 재해자가 차수공 천공 주입 중 천공장비 상부 리더에 부착되어 있던 로프걸이용 도르레가 30m 낙하하여 맞아 사망</t>
  </si>
  <si>
    <t>천공장비 상부 리더에 부착되어 있건 로프걸이용 도르레가 파단되어 낙하하여 운전중이던 근로자가 맞음</t>
  </si>
  <si>
    <t>▶ 차량계 건설기계 사용에 따른 작업계획서 작성 및 작업지휘자 지정 
▶ 작업 전 재료∙기구의 결함 유무를 점검하고 불량품 제거 후 작업 실시</t>
  </si>
  <si>
    <t>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t>
  </si>
  <si>
    <t>크레인의 와이어 로프에 매달려있던 바이브로 해머가 운전 조작방법 미숙 등으로 낙하</t>
  </si>
  <si>
    <t>2019년 3월경 도시철도 건설현장에서 재해자가 수직구 굴착바닥으로 이동하던 중 토사 상차를 위해 상부에서 하강하던 크램쉘의 버킷에 충돌하여 사망</t>
  </si>
  <si>
    <t>2020년 7월경 하수처리시설 건설공사 현장에서 재해자가 흙막이 가시설 6단 띠장 용접작업 중 지상에서 면고르기 작업하던 굴착기의 버킷이 탈락으로 낙하되어 맞아 사망</t>
  </si>
  <si>
    <t>굴삭기 버켓과 철재 플레이트의 용접작업 중 버켓이 굴착 사면 하부로 굴러내려가 흙막이가시설 6단 띠장 홈메우기 용접작업 중이던 재해자를 강타</t>
  </si>
  <si>
    <t>▶ 차량계 건설기계의 수리나 부속장치의 장착 및 제거작업을 하는 경우 작업지휘자 지정 및 안전한 작업 지휘
▶ 차량계 건설기계를 사용하여 작업하는 경우 장비와 근로자가 부딪힐 위험이 있는 장소에는 근로자 출입 통제 및 유도자 배치</t>
  </si>
  <si>
    <t>1.2.3 흙막이 지보공 해체</t>
  </si>
  <si>
    <t>2017년 5월경 OO타워 신축공사 현장에서 재해자가 1단 버팀대 위에 서서 3단 띠장 해체 신호를 하는 중 떨어진 중간말뚝에 맞아 몸의 균형을 잃고 기계실 하부(H≒9.0m) 콘크리트 바닥으로 추락하여 사망</t>
  </si>
  <si>
    <t>안전대를 착용하지 않고 버팀보 위를 이동 중 근로자가 균형을 잃고 굴착저면으로 추락</t>
  </si>
  <si>
    <t>▶ 추락위험이 있는 장소에서 작업 시 안전난간이나 추락방호망을 설치
▶ 추락위험이 있는 장소에서 작업 시 안전대를 지급하고 착용한 상태에서 작업 실시</t>
  </si>
  <si>
    <t>2019년 7월경 아파트 신축공사현장에서 재해자가 흙막이지보공 파일을 인발하기 위해 굴삭기 무한궤도에 묻어 있는 흙을 제거한 후 이동 중 후진하는 굴삭기의 무한궤도에 깔려 사망</t>
  </si>
  <si>
    <t>시야가 확보되지 않은 상태로 후진중인 굴삭기에 주변 근로자가 충돌</t>
  </si>
  <si>
    <t>▶ 건설기계와 근로자 접촉방지를 위해 신호수 또는 유도자를 배치한 후 이동, 접촉에 위험이 있는 장소는 인원을 통제
▶ 굴삭기 후방감지센서, 후방카메라, 경보장치 등 설치 및 정상 작동여부 확인
▶ 장비동선과 근로자 안전통로를 구분하여 운영</t>
  </si>
  <si>
    <t>1.3.1 기초파일 자재, 장비반입, 운반, 보관</t>
  </si>
  <si>
    <t>2015년 4월경</t>
  </si>
  <si>
    <t>2015년 4월경 OO정비공사 현장에서 재해자가 굴삭기로 시트파일 적재를 보조하던 중, 고리걸이 훅에 설치된 단기 와이어로프가 이탈되면서 시트파일(약 300kg)에 머리와 복부 등을 맞아 사망</t>
  </si>
  <si>
    <t>기초 파일 자재를 굴삭기를 이용하여 이동시키던 중 와이어로프가 훅으로부터 이탈되면서 철판에 맞음</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</si>
  <si>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</si>
  <si>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</si>
  <si>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기초보강 마이크로파일 설치작업 중 지중에 걸린 파일을 무리하게 인양하여 로더크레인의 턴테이블 파손으로 붐대가 지면으로 낙하</t>
  </si>
  <si>
    <t>▶ 중량물 인양 시 과부하방지장치의 경보가 울리는 경우 인양작업 중단 또는 분할하여 작업 수행 
▶ 지중에 지장물 등으로 작업이 중단될 경우 무리한 단독작업 금지
▶ 중량물 인양 시 크레인을 차량엔진 반대방향으로 설치하여 차량의 엔진부가 카운터웨이트 역할을 하도록 설치</t>
  </si>
  <si>
    <t>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t>
  </si>
  <si>
    <t>굴삭기의 훅에 슬링벨트를 걸어 인양 및 운반 작업 중 안전핀이 설치되지 않은 굴삭기의 버킷이 떨어져 하부에 있던 근로자가 깔림</t>
  </si>
  <si>
    <t>▶ 차량계 건설기계의 주 용도에 맞게 사용하는지 확인
▶ 중량물 인양 작업 시 두 군데 이상 결속하여 부재의 흔들림 및 이탈 방지</t>
  </si>
  <si>
    <t>2016년 4월경 OO건설(주) OO 주상복합 개발사업 중 토목공사 현장에서 협력업체 OO(주) 소속의 재해자가 굴삭기 훅에서 이탈된 천공기 전도방지용 철판(6.25m×2.45m×0.015m, 무게 약 1.8t)에 머리를 맞아 사망</t>
  </si>
  <si>
    <t xml:space="preserve">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t>
  </si>
  <si>
    <t>자재 야적장에서 케이싱을 인양하여 유도작업을 하던 중 회전하던 케이싱 비트에 맞아 아래로 추락</t>
  </si>
  <si>
    <t xml:space="preserve">▶ 작업 시작 전 사용 장비의 안전장치(와이어로프 등) 설치 및 작동상태 확인
▶ 중량물 인양 시 중량물이 작업자의 머리 위로 통과하지 않도록 통제
▶ 중량물 인양 시 인양을 유도하기 위한 보조로프 사용 </t>
  </si>
  <si>
    <t>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t>
  </si>
  <si>
    <t>항타기 이동을 위해 항타기에 부착되어 있는 인양장치를 이용하여 철판을 인양하던 중 후크를 완전히 고정하지 않아 철판이 탈락하여 근로자를 덮쳐 철판과 지면사이에 협착</t>
  </si>
  <si>
    <t>2017년 9월경 ㈜OO건설 OO 신축공사 현장에서 항타기를 사용하여 자재함을 지면에 내려놓는 작업 중 장비신호수인 재해자가 자재함에 깔려 사망</t>
  </si>
  <si>
    <t>항타기 리더에 와이어로프를 부착하여 자재함을 인양하여 지면에 내려놓는 작업 중 장비신호수가 자재함에 깔림</t>
  </si>
  <si>
    <t>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t>
  </si>
  <si>
    <t>바지선에 적재된 강관파일을 굴삭기를 이용하여 하역 중 굴삭기에 의해 끌려오던 강관파일이 측면으로 구르며 부딪힘</t>
  </si>
  <si>
    <t>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t>
  </si>
  <si>
    <t>항타작업 후 보조파일을 항타기로 인양 시 체결한 섬유벨트가 파단되어 넘어져 깔림</t>
  </si>
  <si>
    <t>▶ 줄걸이 자재는 작업중 수시로 상태를 점검하며 예비를 두어 손상 발생 시 즉시 교체함 
▶ 중량물 취급 시 작업계획서를 사전에 작성하고 관리감독자를 배치하여 작업계획서에 맞게 작업</t>
  </si>
  <si>
    <t>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t>
  </si>
  <si>
    <t>항타기 반출을 위해 항타기 리더의 승강용 트랩에 카고크레인의 보조훅을 걸고 운반하던 중 승강용트랩의 용접부위가 파단되면서 리더가 떨어져 맞음</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</si>
  <si>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</si>
  <si>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t>
  </si>
  <si>
    <t>2019년 10월경 ㈜OO에서 시공하는 파일공사 현장에서, 재해자(용접공)가 이동식크레인 운반 및 조립작업을 하던 중 붐이 전도되면서 협착되어 사망</t>
  </si>
  <si>
    <t xml:space="preserve">이동식크레인 조립작업 중 활차뭉치 및 후크블록 중량 등으로 붐이 무게중심을 잃고 전도되며 협착 발생 </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</si>
  <si>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</si>
  <si>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 xml:space="preserve">2020 8월경 </t>
  </si>
  <si>
    <t>2020 8월경 ㈜OO에서 시공하는 공사 현장에서 PHC파일 운반 및 이동식크레인 이동 중 붐이 넘어져 근로자인 재해자(용접공)가 붐에 맞아 사망</t>
  </si>
  <si>
    <t>이동식크레인을 사용하여 PHC 파일을 운반 중 지반이 침하하면서 이동식크레인 붐이 넘어져 맞음</t>
  </si>
  <si>
    <t>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t>
  </si>
  <si>
    <t>천공기의 부속품들을 화물트럭에서 하역하던 중 트럭 적재함에서 낙하하는 스크류에 깔림</t>
  </si>
  <si>
    <t>▶ 차량계 하역운반기계 작업 시 작업지휘자 배치 및 근로자 외 출입금지 실시
▶ 하역작업 시 낙하위험장소 출입금지 조치 및 울타리 설치</t>
  </si>
  <si>
    <t>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t>
  </si>
  <si>
    <t>항타기의 와이어 드럼 점검 중 항타기 리더를 들어올려 와이어로프가 드럼에 감기는 순간 드럼과 와이어로프 사이에 끼임</t>
  </si>
  <si>
    <t>▶ 항타기 점검·정비 작업 시 사용메뉴얼 준수
▶ 작업 순서에 따른 안전조치 실시 후 작업
▶ 항타기 점검·정비 작업 시 작업지휘자 배치 및 경험이 있는 숙련공이 작업 진행</t>
  </si>
  <si>
    <t>2021년 3월경 체육센터 건립현장에서, 재해자가 흙막이 말뚝삽입에 사용한 항타기를 해체·반출하기 위해 연결부(리더) 하부에서 볼트를 풀던 중, 연결부가 꺾이면서 낙하하는 리더에 깔려 사망</t>
  </si>
  <si>
    <t>말뚝삽입에 사용한 항타기를 해체·반출하기 위해 연결부 하부에서 볼트를 풀던 중 연결부가 꺾이면서 낙하하는 리더에 깔림</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</si>
  <si>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</si>
  <si>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t>
  </si>
  <si>
    <t>CIP 케이싱 내 콘크리트 타설 목적으로 굴착 용도의 버킷 방향과는 반대방향으로 안전핀 없이 버킷을 체결한 상태에서 케이싱에 깔대기관을 연결하던 중 버킷이 떨어짐</t>
  </si>
  <si>
    <t>▶ 차량계 건설기계 작업시 근로자 출입 통제 및 유도자 배치
▶ 굴착기 버킷 탈락방지용 안전핀 체결 및 고정 여부 확인
▶ 낙하위험이 있는 작업반경 내에 직접 들어가서 작업 금지</t>
  </si>
  <si>
    <t>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t>
  </si>
  <si>
    <t>천공기의 오거 헤더 교체작업을 하던 중 케이싱 구동모터 부분에 끼어 있던 전석이 낙하하여 근로자 강타</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</si>
  <si>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</si>
  <si>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t>
  </si>
  <si>
    <t>근로자가 CIP 천공작업용 공기압축기를 적재하여 주차해 놓은 트럭과 현장진입로를 확보하려고 후진 중이던 카고크레인 사이에 끼임</t>
  </si>
  <si>
    <t>▶ 작업 내 차량계 건설기계 이동시 신호수 또는 유도자를 배치하여 안전하게 이동시킴
▶ 차량계 건설기계 후진 시 후방감지장치 설치</t>
  </si>
  <si>
    <t>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t>
  </si>
  <si>
    <t>자재야적장에서 천공기 보조작업을 하던 중 인근에서 자재운반중이던 굴삭기에 피재자가 충돌하면서 굴삭기 바퀴에 깔림</t>
  </si>
  <si>
    <t>▶ 차량계 건설기계와 근로자가 부딪칠 위험이 있는 장소에 근로자 출입 통제 및 유도자 배치
▶ 굴삭기를 사용하는 경우 장비의 사용목적에 맞는 용도로 사용</t>
  </si>
  <si>
    <t>2019년 2월경</t>
  </si>
  <si>
    <t>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t>
  </si>
  <si>
    <t>천공기를 이용하여 지반 천공 및 H-Beam 근입 작업을 하던 중 천공기 리더 상부에 부착된 부속철물이 탈락되며 지면으로 낙하하여 근로자의 두부 강타</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</si>
  <si>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</si>
  <si>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t>
  </si>
  <si>
    <t>천공기의 스크류를 해체하여 권상장치(와이어로프)에 매달아 지면에 내려놓던 중 바닥에 닿은 부분을 중심으로 체인에 매달려있던 스크류의 상부가 회전하며 주변에 서 있던 재해자의 복부 강타</t>
  </si>
  <si>
    <t>▶ 중량물의 탈락 및 낙하 방지 예방을 위해 근로자 접근 통제 및 작업지휘자 배치
▶  작업 전 기계의 이상유무를 점검하고 유해, 위험 방지조치 실시</t>
  </si>
  <si>
    <t>2019년 10월경 OO(주) 발전소 건설공사현장에서 파일공사 협력업체 소속 재해자(용접공)이 천공기 케이싱 하단부 보수 용접작업 중 재해자 안전모 위로 큰 자갈이 떨어져 머리에 심한 충격을 받고 사망</t>
  </si>
  <si>
    <t>2020년 6월경 ㈜OO 복합시설 건설현장에서 하청업체 ㈜OO 소속 재해자가 CIP 파일  작업 중 탈락한 항타기 케이싱 모터 케이블에 맞아 사망</t>
  </si>
  <si>
    <t>1.3.3 기초파일 항타</t>
  </si>
  <si>
    <t>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</si>
  <si>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</si>
  <si>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</si>
  <si>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2016년 3월경 ㈜OO에서 시공하는 아파트 신축공사 현장에서 재해자가 항타기 리더(leader) 지상 조립 작업 중 리더 받침대가 넘어지면서 재해자가 리더 받침대와 리더부재에 끼여 사망_x000D_</t>
  </si>
  <si>
    <t>항타기 리더 지상 조립 작업 중 리더 받침대가 넘어지면서 피재자가 리더 받침대와 리더부재에 끼임</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</si>
  <si>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</si>
  <si>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t>
  </si>
  <si>
    <t>강관파일 항타 작업 시 보조해머가 강관파일 상부에 인양 후 결속하던 중 보조해머가 넘어져 근로자가 맞음</t>
  </si>
  <si>
    <t>▶ 항타기 후크에 보조해머의  와이어 로프 줄걸이가 고정되어 있기 때문에 전도방지를 위해 후크해지장치 설치 확인 후 작업 수행
▶ 항타 시 작업과 직접 관련이 없는 근로자가 작업반경 내 출입 금지
▶ 작업반경 내 안전모 지급 및 착용상태 확인</t>
  </si>
  <si>
    <t>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t>
  </si>
  <si>
    <t>항타기 운전석 유리창 청소를 하던 중 공내 폭발로 인한 갑작스런 오거의 상승으로 느슨해진 와이어로우프에 신체일부가 감겼고 이어 오거가 다시 하강하면서 몸의 일부를 절단</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</si>
  <si>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</si>
  <si>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</si>
  <si>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근로자가 항타기의 스크류모터와 스크류 사이에 완충기를 장착하던 중 완충기의 벨트-슬링이 풀리면서 완충기가 떨어져 하부 근로자를 가격함</t>
  </si>
  <si>
    <t>▶ 벨트-슬링이 후크레서 이탈되지 않도록 양 끝단이 고리 등 구비된 것 사용하여 1줄 걸이 또는 2줄 걸이 방법 사용
▶ 물체에 맞을 위험이 있는 작업 시 근로자 출입금지 조치 실시</t>
  </si>
  <si>
    <t>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t>
  </si>
  <si>
    <t>근로자가 눕혀놓은 항타기 리더 상부에 올라가 절단작업 중 리더기 접합부의 볼트가 파단되면서 리더기 상부에서 지상 바닥으로 추락</t>
  </si>
  <si>
    <t>▶ 작업 전 장비에 대한 점검 실시
▶ 추락 위험 장소 작업시 안전한 구조의 작업발판 설치
▶ 추락 방지용 안전난간 및 안전대 부착설비 설치</t>
  </si>
  <si>
    <t>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</si>
  <si>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파일 케이싱 인발 과정에서 오거스크류 권상용 와이어가 장력을 잃고 권상기 드럼 주변 바닥으로 늘어져 있는 것을 정리 하려고 접근하는 순간 바닥에 늘어져 있던 와이어가 갑자기 당겨지며 재해자 목을 가격</t>
  </si>
  <si>
    <t>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t>
  </si>
  <si>
    <t>PHC파일 근입 후 파일 두부에 덮혀 있는 토사를 제거하던 중 항타기 리더 상부에서 드롭해머 인양용 와이어로프가 파단되어 드롭해머가 떨어져 깔림</t>
  </si>
  <si>
    <t>▶ 사용 장비의 정비·정검 수시 실시
▶ 천공기 양중작업 시 와이어로프의 상태 점검
▶ 중량물의 탈락 및 낙하 방지 예방을 위해 근로자 접근 통제</t>
  </si>
  <si>
    <t>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t>
  </si>
  <si>
    <t>PHC 파일 천공 작업의 정확한 위치를 잡기 위해 철판 위에서 항타기를 전후 이동 및 좌우 회전하던 중 항타기가 넘어지려고 하자 운전석에서 뛰어내려 대피했지만 넘어지는 항타기 본체에 맞음</t>
  </si>
  <si>
    <t>▶ 항타기 등 차량계 건설기계를 사용하는 작업 전 작업장소의 지형 및 지반상태에 대한 사전조사 실시
▶ 항타기 등 차량계 건설기계를 사용하는 작업 시 지반의 부동침하 방지조치 실시</t>
  </si>
  <si>
    <t>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t>
  </si>
  <si>
    <t>파일 항타시 토사 비산 방지용 가림막을 해체하기 위하여 용단작업을 하던 중 가림막이 붕괴되며 가림막과 받침용 빔사이에 협착</t>
  </si>
  <si>
    <t>▶ 장비 조립·해체 등 의 작업시 낙하, 추락, 끼임 등의 재해 예방조치 후 작업
▶ 항타 시 작업과 직접 관련이 없는 근로자가 작업반경 내 출입 금지
▶ 작업반경 내 안전모 지급 및 착용상태 확인</t>
  </si>
  <si>
    <t>2018년 8월경 근린생활시설 신축공사에서 PHC 파일공인 재해자(작업반장)가 항타기 후면 발전기 상부에서 장비 점검 중 실족, 항타기 무한궤도로 추락(H≒3.6m) 사망</t>
  </si>
  <si>
    <t>근로자가 항타기 하부모터에 올라가 가이드레일에 그리스(윤활유)를 도포하는 작업을 마무리하고 내려오던 중 바닥 철판으로 떨어짐</t>
  </si>
  <si>
    <t>▶ 추락 위험 장소 작업시 안전한 구조의 작업발판 설치
▶ 추락 방지용 안전난간 및 안전대 부착설비 설치
▶ 장비 점검시 기계의 운전을 중지하여 전원을 차단한 후 검사 실시</t>
  </si>
  <si>
    <t>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t>
  </si>
  <si>
    <t>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t>
  </si>
  <si>
    <t>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t>
  </si>
  <si>
    <t>교각 시공을 위해 쉬트파일 설치작업 중 항타기 보조크레인의 훅을 고정하는 너트의 용접부위 탈락으로 낙하하는 바이브 해머에 맞음</t>
  </si>
  <si>
    <t>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t>
  </si>
  <si>
    <t>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t>
  </si>
  <si>
    <t>이동식크레인을 이용하여 오실레이터 유압호스를 정돈하던 중이동식크레인 붐대에 매달린 권과방지장치의 추 매달기용 와이어로프의 파단으로 추가 지상으로 낙하</t>
  </si>
  <si>
    <t>▶ 사용 장비의 정비·정검 수시 실시
▶ 이동식 크레인 양중작업 시 와이어로프의 상태 점검
▶ 중량물의 탈락 및 낙하 방지 예방을 위해 근로자 접근 통제</t>
  </si>
  <si>
    <t>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</si>
  <si>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PHC 파일 항타 후 파일 지지력 확인을 위해 리바운드량 측정을 하고 드롭해머를 들어 올리던 중 샤클핀이 이탈되면서 샤클과 체결된 베어링슈벨이 낙하하면서 근로자를 강타</t>
  </si>
  <si>
    <t>▶ 파일 항타 시 부속품에 손상, 마모, 변형, 부식이 없는 것을 사용함 
▶ 항타 또는 리바운드량 측정 시 샤클 및 와이어로프 등 비틀림 발생되지 않도록 올바른 방법을 사용</t>
  </si>
  <si>
    <t xml:space="preserve">2021년 2경 </t>
  </si>
  <si>
    <t>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t>
  </si>
  <si>
    <t>항타기를 사용해 CIP 설치용 케이싱 근입작업 중 인발된 케이싱에 채워져 있던 토사와 물이 토출되며 케이싱이 유동하여 재해자의 가슴에 맞음</t>
  </si>
  <si>
    <t>▶ 중량물의 탈락 및 낙하 방지 예방을 위해 근로자 접근 통제
▶ 차량계 건설기계 작업계획서를 사전에 작성하고 관리감독자를 배치하여 작업계획서에 맞게 작업</t>
  </si>
  <si>
    <t>1.4 되메움 작업</t>
  </si>
  <si>
    <t>1.4.1 토사반입 및 되메움 실시</t>
  </si>
  <si>
    <t>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t>
  </si>
  <si>
    <t>덤프트럭이 토사 하역장소로 진입히다가 하역장소 단부 토사가 침하하여 트럭이 전도되며 운전자 또는 주변 작업자가 깔림</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</si>
  <si>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</si>
  <si>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 xml:space="preserve">2017년 10월경 00지역 재해 재난공사 현장에서 보강토 옹벽 뒷채움 골재 포설 작업 중 회전하는 굴삭기 뒷부분과 굴착사면 사이에 재해자가 끼여 사망 </t>
  </si>
  <si>
    <t>시야가 미확보된 상태에서 회전하는 굴착기 붐대에 충돌</t>
  </si>
  <si>
    <t>▶ 차량계 건설기계를 사용하여 작업하는 경우 유도자를 배치 및 작업반경 내 인원 통제 
▶ 운전자가 감지할 수 있는 센서 부착 및 차량 후진시 경보음 설비 설치</t>
  </si>
  <si>
    <t>2017년 12월경 토사 매립장에서 재해자가 25톤 덤프트럭의 화물칸에 실려있는 토사를 땅바닥으로 내리는 작업과정에서 동 차량을 수신호 하던 중 동 차량과 부딪힌 후 동 차량에서 내려지는 토사에 휩쓸려 사망</t>
  </si>
  <si>
    <t>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t>
  </si>
  <si>
    <t>1.4.2 되메움 토사다짐</t>
  </si>
  <si>
    <t>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t>
  </si>
  <si>
    <t>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</si>
  <si>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1.6 그라우팅작업</t>
  </si>
  <si>
    <t>1.6.1 그라우팅 장비 및 자재반입</t>
  </si>
  <si>
    <t>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t>
  </si>
  <si>
    <t>미장보수공사 작업기계 반입 중 동료의 리모콘 오작동으로 인한 리프트 기울어짐으로 적재물(몰탈 믹서기)이 작업자 위로 낙하</t>
  </si>
  <si>
    <t>▶ 화물은 싣거나 내리는 작업 시 작업지휘자 배치 및 절차에 따른 작업 수행
▶ 떨어지는 물체에 대비하여 안전모 지급 및 착용</t>
  </si>
  <si>
    <t>1.6.2 그라우팅 천공 및 시공</t>
  </si>
  <si>
    <t>2021년 10월경 OOO항에서 재해자가 장비를 조립 하던 중 자재가 낙하하여 머리를 맞아 몸의 중심을 잃고 바지선 바닥(H≒10m)으로 추락하여 사망</t>
  </si>
  <si>
    <t>장비를 조립 하던 중, 로드 밴드가 낙하하여 작업자 머리를 타격한 후 몸의 중심을 잃고 바지선 바닥으로 추락</t>
  </si>
  <si>
    <t>▶ DCM장비의 로드 등 부속장비가 낙하 위험이 있는 장소에 직접 신체를 집어넣는 등의 불안정한 행동 지양
▶ 불가피하게 낙하 위험이 있는 곳에 신체를 집어넣을 경우 안전모 등 개인보호구 지급 및 착용</t>
  </si>
  <si>
    <t>10. 하천 및 항만공사</t>
  </si>
  <si>
    <t>10.1 준설매립</t>
  </si>
  <si>
    <t>10.1.1 준설매립 등</t>
  </si>
  <si>
    <t>2019년 8월경 OO준설공사에서 재해자가 작업을 마치고 덤프트럭을 주차 후 차량전면의 라디에이터를 육안점검 하던 중 재해자 차량 앞쪽에 정차 중인 덤프트럭이 뒤로 밀리면서 두 덤프트럭 사이에 끼여 사망</t>
  </si>
  <si>
    <t>작업을 마치고 경사구간 덤프트럭 주차 후 차량 전면구간 육안점검 중 앞쪽에 주차된 차량이 뒤로 밀리면서 트럭 사이에 끼임</t>
  </si>
  <si>
    <t>▶ 차량계 건설기계 안전 운행 매뉴얼 작성 및 준수
▶ 차량계 건설기계를 사용하는 작업 전 작업장소의 지형 및 지반상태에 대한 사전조사 실시</t>
  </si>
  <si>
    <t>10.2 수중, 해상공사</t>
  </si>
  <si>
    <t>10.2.1 수중, 해상공사(잠수, 해상작업 등)</t>
  </si>
  <si>
    <t>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t>
  </si>
  <si>
    <t>구명조끼 미착용한 상태로 사석운반바지선에서 세팅바지선으로 굴착기를 운전하여 이동하던 중 굴착기와 함께 바다로 빠짐</t>
  </si>
  <si>
    <t>▶ 작업 전 해상작업자 구명조끼 지급 준수
▶ 차량계 건설기계 작업계획서 작성</t>
  </si>
  <si>
    <t>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</si>
  <si>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바지선에 설치된 크레인을 이용하여 등부표 해체작업을 하던 중 크레인에 매달려있던 엉킨체인이 풀리면서 침추(sinker)가 낙하하여 아래에 있던 재해자 맞음</t>
  </si>
  <si>
    <t>▶ 인양 작업반경 내 근로자 출입금지 조치</t>
  </si>
  <si>
    <t>2020년 12월경 OO항만 부지조성공사에서 관리업무를 수행하는 재해자가 예인선과 크레인선 선미 사이 인근 해상에 빠져 익사</t>
  </si>
  <si>
    <t>해상블록 거치 작업 중 안전난간이 미설치된 크레인선에서 예인선을 확인하다 추락하여 해상에서 익사</t>
  </si>
  <si>
    <t>▶ 해상작업선 안전난간 설치
▶ 구명장구 이상 유무 확인</t>
  </si>
  <si>
    <t>2016년 6월경 아파트 현장에서 재해자가 산벽 석축쌓기 작업 중 조경석을 인양하기 위해 회전하는 굴착기의 붐대와 충돌하여 사망</t>
  </si>
  <si>
    <t>운전자 시야가 미확보된 상태에서 회전하는 굴삭기 붐대와 주변 근로자가 충돌</t>
  </si>
  <si>
    <t>▶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t>
  </si>
  <si>
    <t>콘크리트펌프카</t>
  </si>
  <si>
    <t>2017년 11월경 도로 개설공사에서 재해자가 옹벽 벽체 콘크리트 타설 중 콘크리트 펌프카 붐대가 파단되면서 등부분을 타격당해 사망</t>
  </si>
  <si>
    <t>옹벽 콘크리트 타설 중 콘크리트 펌프카 붐대가 파단됨에 따라 근로자 가격</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</si>
  <si>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</si>
  <si>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2018년 12월경 도로확포장공사에서 재해자가 작업대차에 탑승한채로 이동식 크레인을 사용하여 작업장소 주변으로 이동하던 중 와이어로프 이탈로 8.5m 아래 바닥으로 추락하여 사망</t>
  </si>
  <si>
    <t>이동식 크레인 후크에 연결된 와이어로프 파단으로 인양중인 작업대차와 함께 추락</t>
  </si>
  <si>
    <t>▶ 중량물을 인양 전 작업계획서를 작성하고 인양하중, 양중기 제원 등을 확인하여 작업계획에 맞게 작업실시
▶ 작업 전 와이어로프의 손상여부를 확인하고, 작업 중 와이어로프 손상 시 즉시교체 후 작업 실시</t>
  </si>
  <si>
    <t>2019년 2월경 공영주차장 조성공사에서 재해자가 주차장 배면부 전석쌓기 작업 중 회전하면서 굴착기 돌집게에서 이탈된 전석에 맞아 사망</t>
  </si>
  <si>
    <t>굴삭기 붐 끝단에 장착 된 돌집게로 전석을 집어 붐대를 회전하던 중 돌집게에서 낙하하는 전석에 맞음</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</si>
  <si>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</si>
  <si>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건설기계</t>
    <phoneticPr fontId="37" type="noConversion"/>
  </si>
  <si>
    <t>로울러</t>
  </si>
  <si>
    <t>2019년 7월경 근린생활시설 신축공사에서 재해자가 방호벽 설치를 위해 수동형 진동롤러를 사용하여 다짐을 진행하던 중 진동롤러와 함께 13m 아래 하천 바닥으로 떨어져 사망</t>
  </si>
  <si>
    <t>근로자가 수동형 진동롤러를 사용하여 기초 터파기가 완료된 바닥면 다짐을 진행하던 중 수동형 진동롤러와 함께 보강토옹벽 배면 상단에서 아래 하천으로 떨어짐</t>
  </si>
  <si>
    <t>▶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t>
  </si>
  <si>
    <t>2019년 7월경 재해자가 OO 도로 개설공사 현장에서 수로박스 상부도로의 장마철 수방용 마대 쌓기 작업을 위해 대기 중 상부 턴테이블을 돌려 운전자가 뒤를 보며 전진하던 굴삭기 앞바퀴에 깔려 사망</t>
  </si>
  <si>
    <t>▶ 작업 전 굴삭기의 후방 경보기 점검을 통한 작동유무 확인
▶ 유도자 배치, 굴삭기 작업구역 설정 및 근로자 출입금지를 통한 접촉방지조치 실시</t>
  </si>
  <si>
    <t>2019년 8월경 택지조성공사에서 재해자가 유로폼을 적재하기 위해 고임목 설치작업을 하던 중 굴착기 훅에 걸린 슬링벨트가 풀리면서 낙하한 유로폼 묶음(703kg)에 깔려 사망</t>
  </si>
  <si>
    <t>굴삭기 훅에 걸린 슬링벨트가 풀리며 유로폼 묶음이 근로자 위로 낙하함</t>
  </si>
  <si>
    <t>2020년 10월경 보강토 옹벽 블록공사 현장에서 재해재가 옹벽 기초부위 블록 정렬작업 중 굴착기 집게에 빠진 블록에 맞아 사망</t>
  </si>
  <si>
    <t>2021년 3월경 옹벽설치공사에서 재해자가 식생축조블럭 자재 하역작업 중 화물자동차 적재함 후미에서 몸의 중심을 잃고 1.5m 아래로 추락하여 사망</t>
  </si>
  <si>
    <t>식생축조블럭 자재 하역작업 중 블럭을 실은 화물자동차 적재함 후미에서 몸의 중심을 잃고 추락</t>
  </si>
  <si>
    <t>▶ 추락할 위험이 있는 장소에서 작업할 경우 이에 맞는 안전 보호구(안전모)착용
▶ 불안정한 상태에서 하역작업(로프 해체, 덮개 제거 등) 금지</t>
  </si>
  <si>
    <t>2021년 5월경 공원 사면안정화공사에서 재해자가 굴착기 옆을 지나가다가 회전하는 굴착기에 부딪혀 사망</t>
  </si>
  <si>
    <t>11.1.2 부대토목 구내포장</t>
  </si>
  <si>
    <t>2016년 12월경 초등학교 신축공사 현장에서 재해자(장비운전원)가 경계석 설치작업 중 굴착기 버킷에 골재를 담아 이동 후 회전하다 무게중심을 잃고 전도되면서 장비에 깔려 사망</t>
  </si>
  <si>
    <t xml:space="preserve"> 굴삭기가 이동 중 붐을 펼치고 회전하는 순간 무게중심을 잃고 전도되어 근로자가 장비에 깔림</t>
  </si>
  <si>
    <t>▶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t>
  </si>
  <si>
    <t>2018년 1월경 대지조성공사에서 골재를 지면에 쏟아 내리던 중 균형을 잃고 넘어지는 덤프트럭에 1명 부상, 골재에 매몰되어 1명 사망</t>
  </si>
  <si>
    <t>덤프트럭이 적재함을 들어올리고 이동중 균형을 잃고 전도됨</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</si>
  <si>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</si>
  <si>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2018년 9월경 산업단지 진입도로 공사에서 재해자가 불도저(20.6Ton)의 작업지휘 업무를 수행하던 중 후진하던 불도저 궤도에 충돌, 협착되어 사망</t>
  </si>
  <si>
    <t>아스팔트 파편 정리작업 중 후진하는 굴삭기 바퀴에 깔림</t>
  </si>
  <si>
    <t>2021년 3월경 배수관로 설치공사에서 재해자가 빗자루를 이용하여 아스팔트 파편 정리작업을 하던 중 버킷을 교체하고 후진하던 굴착기 바퀴에 깔려 사망</t>
  </si>
  <si>
    <t>2021년 9월경 철도 레일중량화 공사현장에서 재해자가 굴착기 후방에서 PC침목 교환 작업 준비 중 선회하는 굴착기 카운트웨이트와 도저블레이드 사이에 두부가 협착되어 사망</t>
  </si>
  <si>
    <t>시야확보가 되지 않은 상태로 선회하는 굴착기 카운터웨이트와 도저블레이드 사이에 근로자가 협착</t>
  </si>
  <si>
    <t>11.2 가설도로 작업</t>
  </si>
  <si>
    <t>11.2.1 가설도로 벌목 및 표토 제거</t>
  </si>
  <si>
    <t>2019년 8월경 철도 건설공사에서 재해자가 폐기물 처리차량(24t)에 상차작업 중 압롤트럭이 비탈면으로 밀리면서 운전원이 차량 밖으로 뛰어내린 후 트럭 운전석 뒷바퀴에 깔려 사망</t>
  </si>
  <si>
    <t>경사로에 주차 중인 차량의 제동장치 이상으로 굴러 내려오는 차량에 충돌</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</si>
  <si>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t>
  </si>
  <si>
    <t>11.2.2 가설도로 시공</t>
  </si>
  <si>
    <t>2017년 7월경 시험실 건설공사 현장에서 재해자가 가설도로 지반다짐 작업을 하던 중 경사면을 따라 하향으로 이동하는 진동 롤러에서 지면으로 떨어져 사망</t>
  </si>
  <si>
    <t>브레이크 등이 파열되어 정상작동이 불가능한 진동 롤러에서 운전원이 추락</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</si>
  <si>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</si>
  <si>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11.3 지장물 조사 및 이설 작업</t>
  </si>
  <si>
    <t>11.3.1 지장물 조사 굴착</t>
  </si>
  <si>
    <t>2019년 OO건</t>
  </si>
  <si>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</si>
  <si>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</si>
  <si>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</si>
  <si>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11.3.2 지장물 이설</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</si>
  <si>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</si>
  <si>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</si>
  <si>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</si>
  <si>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2018년 10월경 통신설비 이설공사 현장에서 재해자가 부재를 정리하던 중 후진하던 굴착기에 충돌하여 사망</t>
  </si>
  <si>
    <t>근로자가 빗자루로 아스콘 부재를 정리하던 중 후진하던 굴삭기에 충돌</t>
  </si>
  <si>
    <t>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t>
  </si>
  <si>
    <t>차량운행을 위해 고임목 제거 후 갑자기 차량이 경사면으로 미끄러져 운전자가 벽과 덤프트럭 사이에 끼임</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</si>
  <si>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</si>
  <si>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t>
  </si>
  <si>
    <t>굴삭기가 도로 측면 터파기 작업장소로 이동 중 근로자 통로가 별도로 구획되어 있지 않아 주행 중 맞은편 근로자와 충돌</t>
  </si>
  <si>
    <t>▶ 작업장 내 건설장비와 근로자의 이동동선이 겹치지 않도록 별도로 구획하며, 부득이한 경우 신호수를 배치하여 장비 및 근로자 이동
▶ 건설장비 사용 전 작업계획서를 작성하여 작업방법, 이동통로 등 계획</t>
  </si>
  <si>
    <t>2020년 9월경 OOO시 OO구 OO동 소재 OOOO(주)가 시공 중인 「OOOO 일원 노후관 교체공사」현장에서 재해자가 굴삭기를 운전하여 화물자동차에서 내리던 중 넘어지는 굴삭기에 깔려 병원으로 이송치료 중 사망한 재해임.</t>
  </si>
  <si>
    <t>굴삭기를 현장으로 반입하기 위해 화물차에서 굴삭기를 내리는 중 전도되는 굴삭기에 깔림</t>
  </si>
  <si>
    <t>▶ 화물자동차에서 발판 등을 사용하여 굴삭기를 내리는 경우 충분한 길이, 폭, 강도를 가진것을 사용
▶ 굴삭기 스스로 화물차에서 하역하는 경우 지반이 평탄한 곳에서 작업하며, 작업계획서에 따른 작업실시</t>
  </si>
  <si>
    <t>11월경, OOO</t>
  </si>
  <si>
    <t>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t>
  </si>
  <si>
    <t>2016년 2월경 OO시 OO구 OO읍 소재, ㈜OOOO이 시공 중인 아파트 신축공사 현장에서 배관공인 재해자가 관로 부설 작업 중 굴삭기에 부딪쳐 사망한 재해임</t>
  </si>
  <si>
    <t>장비유도자 없이 관로 부설 작업 중 굴삭기와 근로자가 충돌</t>
  </si>
  <si>
    <t>▶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</si>
  <si>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t>
  </si>
  <si>
    <t>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t>
  </si>
  <si>
    <t>관로작업 중 굴삭기 버켓과 흙막이 지보재 사이에 협착</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</si>
  <si>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</si>
  <si>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t>
  </si>
  <si>
    <t>차량 하부를 점검 시 유니버셜 조인트가 탈락되면서 차량이 아래로 굴러 근로자가 깔림</t>
  </si>
  <si>
    <t>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t>
  </si>
  <si>
    <t>관로작업 중 굴삭기에서 갑자기 버킷이 탈락하여 근로자에게 낙하</t>
  </si>
  <si>
    <t>2017년 7월경 OO시 OO군 소재 OOOO 배수로정비공사 현장에서 재해자가 배수로 수로관 안에 쌓인 모래를 정리하는 작업 중 인근에서 작업중이던 굴삭기에 충돌 후 바퀴에 깔려 사망한 재해임.</t>
  </si>
  <si>
    <t xml:space="preserve">2018년 1월경 OO도 OO시 OO구 소재 ㈜OOOO, OOOO하수관로 정비공사 현장에서 재해자가 하수관로 맨홀을 운반하기 위해 차량(덤프트럭)으로 이동중 뒤 따라오던 굴삭기에 깔려 현장에서 사망한 재해임 </t>
  </si>
  <si>
    <t>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t>
  </si>
  <si>
    <t>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t>
  </si>
  <si>
    <t>관로매설작업 중 유도업무를 하는 작업자가 후진하는 덤프트럭에 접촉되며 뒷바퀴에 깔림</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</si>
  <si>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</si>
  <si>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2018년 9월경, OOO시 OO구 OO동 소재 ㈜OOO에서 시공하는 OOOO 배전간선 설치공사 현장에서 재해자가 합성수지 파형관로 이음관 운반 중 인접하여 작업 중이던 굴삭기(0.6m3)의 후방 타이어에 부딪히며 깔려 사망한 재해임.</t>
  </si>
  <si>
    <t>2019년 4월경, OOO도 OO시 소재 OOOO파쇄공사 현장에서, 재해자가 폐기물 상차용 덤프트럭을 후방에서 신호하던 중, 정차된 집게차 측면부와 덤프트럭 후미 사이에 협착</t>
  </si>
  <si>
    <t>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t>
  </si>
  <si>
    <t>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t>
  </si>
  <si>
    <t>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t>
  </si>
  <si>
    <t>굴삭기를 사용하여 맨홀 인양 및 운반 중 균형을 잃고 전도되어 근로자 깔림</t>
  </si>
  <si>
    <t>▶ 중량물 인양 시 굴삭기의 정격하중을 준수하여 무리한 중량물 인양 금지
▶ 차량계 건설기계 사용시 작업 장소 내에 근로자의 출입 통제
▶ 유도자를 배치하여 차량계 건설기계 유도</t>
  </si>
  <si>
    <t>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t>
  </si>
  <si>
    <t>굴착기가 계단(경사로) 이동중 전도되어 굴삭기운전원(또는 근로자) 깔림</t>
  </si>
  <si>
    <t>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t>
  </si>
  <si>
    <t>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t>
  </si>
  <si>
    <t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t>
  </si>
  <si>
    <t>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t>
  </si>
  <si>
    <t>관로 하역작업 중 트럭 적재함에서 균형을 잃고 추락</t>
  </si>
  <si>
    <t>▶ 추락할 위험이 있는 장소에서 작업할 경우 이에 맞는 안전 보호구(안전모)착용
▶ 하역작업 등으로 트럭 적재함을 오를 경우 승강 사다리를 이용
▶ 불안정한 상태에서 하역작업(로프 해체, 덮개 제거 등) 금지</t>
  </si>
  <si>
    <t>교통수단</t>
  </si>
  <si>
    <t>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t>
  </si>
  <si>
    <t>배수로 설치(굴착 및 벤치플룸관 매설)를 위해 선로 상에 올라간 굴착기가, 해당 작업지점을 통과하던 화물열차와 충돌</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</si>
  <si>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</si>
  <si>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t>
  </si>
  <si>
    <t>비산먼지 방지를 위한 부직포 씌우기 작업 중 전진하던 덤프트럭에 깔림</t>
  </si>
  <si>
    <t>2021년 2월경 OO시 OO면 소재 「OOOO 토목공사」현장에서 도수관 매설작업 후 되메우기 작업 중 청소를 하던 재해자가 후진하던 굴착기에 부딪혀 사망함</t>
  </si>
  <si>
    <t>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t>
  </si>
  <si>
    <t>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</si>
  <si>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</si>
  <si>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</si>
  <si>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</si>
  <si>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</si>
  <si>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</si>
  <si>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</si>
  <si>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</si>
  <si>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</si>
  <si>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</si>
  <si>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</si>
  <si>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</si>
  <si>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</si>
  <si>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</si>
  <si>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2017년 11월경 모델하우스 해체공사 현장에서 이동식 크레인으로 선회·운반 중 미끄러진 철골부재(9.7m, 700kg)가 하부에서 절단작업을 하던 재해자의 상반신(등에서부터 머리)을 강타하여 사망</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</si>
  <si>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</si>
  <si>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</si>
  <si>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</si>
  <si>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</si>
  <si>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 작업 전 반복 하중에 의해 균열 등이 육안검사로 확인 즉시 작업 중단
▶ 안전대ㆍ안전모 지급, 착용 철저</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</si>
  <si>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</si>
  <si>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고정식크레인</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</si>
  <si>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</si>
  <si>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</si>
  <si>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</si>
  <si>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</si>
  <si>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</si>
  <si>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</si>
  <si>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</si>
  <si>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</si>
  <si>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</si>
  <si>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</si>
  <si>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OO증설공사 현장</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</si>
  <si>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</si>
  <si>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</si>
  <si>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</si>
  <si>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</si>
  <si>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지게차</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</si>
  <si>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</si>
  <si>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</si>
  <si>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</si>
  <si>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</si>
  <si>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</si>
  <si>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</si>
  <si>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</si>
  <si>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2020년 11월경 OO건설 도시형생활주택 신축공사에서 재해자가 지상1층에서 시스템비계 자재의 양중작업 과정 떨어진(H≒20m) 자재에 맞아 사망</t>
  </si>
  <si>
    <t>12.2.4 안전가시설(이동식비계)</t>
  </si>
  <si>
    <t>2016년 8월경 은행 신축공사 현장에서 협력업체 소속 재해자가 이동식틀비계 부재(수직틀)를 운반 하던 중 후진하던 타이어롤러와 충돌, 협착하여 사망한 재해임.</t>
  </si>
  <si>
    <t>12.3 가설전기 작업</t>
  </si>
  <si>
    <t>12.3.1 가설전기(분전반)</t>
  </si>
  <si>
    <t>고속도로 건설공사</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</si>
  <si>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</si>
  <si>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</si>
  <si>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</si>
  <si>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12.4 가설플랜트 작업</t>
  </si>
  <si>
    <t>12.4.1 가설플랜트(크라샤 Plant)</t>
  </si>
  <si>
    <t>2020년 8월경 부지조성공사 현장에서 재해자가 크라샤 콘베이어 상부 모터에 천막을 덮기 위해 로더 버킷을 타고 올라가던 중 콘베이어 작업발판 단부와 로더 버킷사이에 협착되어 사망</t>
  </si>
  <si>
    <t>근로자가 크라샤 콘베이어 상부에 위치한 구동 모터를 폐고무벨트로 덮기 위해 로더 버킷을 타고 올라가던 중 실족하여 콘베이어 작업발판 단부와 로더 버킷 사이에 근로자 협착</t>
  </si>
  <si>
    <t>▶ 크라샤 컨베이어 구동 모터 등 수시로 정비 작업이 이루어지는 구간에 근로자가 상부 작업발판으로 이동 가능한 통로 설치
▶ 차량계건설기계(로더)의 (버킷 탑승 등)목적외 사용 금지</t>
  </si>
  <si>
    <t>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t>
  </si>
  <si>
    <t>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t>
  </si>
  <si>
    <t>타워크레인 설치를 위해 지브 작업대에서 작업 중 작업대의 이탈로 인한 추락</t>
  </si>
  <si>
    <t>▶ 타워크레인 설치를 위해 지브 끝에서 작업하는 경우, 지브 작업대의 고정볼트 체결 유무 파악
▶ 추락 위험이 높은 타워크레인 설치 작업의 경우 2중 안전고리 체결을 권장</t>
  </si>
  <si>
    <t>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t>
  </si>
  <si>
    <t>타워크레인 텔레스코핑 작업을 위해 케이지 발판 위로 이동중 몸의 중심을 잃고 추락</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</si>
  <si>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</si>
  <si>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t>
  </si>
  <si>
    <t>타워크레인 해체 작업 시 클라이밍 슈 이탈로 텔레스코픽 케이지의 하강으로 인한 추락</t>
  </si>
  <si>
    <t>▶ 타워크레인 해체를 위한 텔레스코픽 하강작업 시, 클라이밍 슈와 마스트 훅의 장착상태 점검 철저
▶ 타워크레인 설치, 해체 작업 시, 유자격자에 의한 작업 여부 파악</t>
  </si>
  <si>
    <t>2016년 9월경 아파트 건설현장에서 재해자가 타워크레인의 텔레스코핑 케이지 발판 설치하기 위해 이동 중 몸의 중심을 잃고, 약12M 아래 콘크리트 바닥으로 떨어져 사망</t>
  </si>
  <si>
    <t>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t>
  </si>
  <si>
    <t>타워크레인의 카운터 지브 해체 중 지브 앞부분이 들리면서 지브 전면과 사다리 방호울 사이에 협착</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</si>
  <si>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</si>
  <si>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2016년 10월경 ㈜OO에서 시공 중인 OO대 기숙사 신축공사 현장에서 재해자가 현장 옆에 설치한 현장사무실(컨테이너)에 있던 중 태풍으로 인해 타워크레인이 전도, 전도된 타워크레인 마스트에 깔려 사망</t>
  </si>
  <si>
    <t>현장 사무실 대기 중 타워크레인 전도로 인한 깔림</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</si>
  <si>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</si>
  <si>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t>
  </si>
  <si>
    <t xml:space="preserve">타워크레인 브레이싱 해체 작업을 위해 건물 내부에서 안전난간대를 넘어서 섬유로프에 윈치를 거는 작업 중 추락 </t>
  </si>
  <si>
    <t>▶ 타워크레인의 브레이싱 해체작업 시, 브레이싱 해체 구간을 기준으로 하부층에 추락방지망을 설치하여 작업자의 추락, 낙하물의 낙하를 방지
▶ 건물 내 실외기실 단부 등 추락할 위험이 있는 곳에서 작업할 시, 안전대를 체결한 상태로 작업하도록 조치</t>
  </si>
  <si>
    <t>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t>
  </si>
  <si>
    <t>타워크레인 텔레스코핑 작업 중  마스트 내부에 설치된 사다리의 탈락으로 인해 지상 바닥으로 추락</t>
  </si>
  <si>
    <t>▶ 마스트와 내부 사다리(안전대 부착설비)의 연결부 연결철물 상태 점검 및 설치도면 검토
▶ 마스트 내부 사다리를 안전대 부착 설비로 사용하는 행위 금지조치하며 별도의 안전대 부착설비 설치</t>
  </si>
  <si>
    <t>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t>
  </si>
  <si>
    <t>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t>
  </si>
  <si>
    <t>타워크레인의 카운터 지브 해체 중 카운터 지브가 수직으로 기울어 단부방향으로 이동 중이던 작업자가 바닥으로 추락</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</si>
  <si>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</si>
  <si>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2017년 5월경 공동주택 신축공사 현장의 타워크레인에서 재해자 5명이 타워크레인 텔레스코핑 작업 중, 타워크레인 마스트가 전도되면서 재해자가 떨어져(H≒50m) 3명 사망, 2명 부상</t>
  </si>
  <si>
    <t>타워크레인 텔레스코핑 작업 중 마스트 전도로 인한 추락</t>
  </si>
  <si>
    <t>▶ 보조 포올 등 타워크레인의 주요 부품 제작 및 교체 시, 원제조사와 동등 이상의 치수, 형상, 성능 확보 여부를 검토
▶ 추락 위험이 높은 타워크레인 설치 작업의 경우 2중 안전고리 체결을 권장</t>
  </si>
  <si>
    <t>2017년 10월경 ㈜OO에서 시공하는 아파트 건설공사 현장에서 타워크레인 해체작업 중 타워크레인 상부구조물이 붕괴되면서 재해자가 떨어져(H≒64m) 3명 사망, 2명 부상</t>
  </si>
  <si>
    <t>타워크레인의 텔레스코픽 케이지 해체 작업 중 상부 구조물의 균형 상실 및 메인 슈 이탈로 인한 타워크레인 붕괴</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</si>
  <si>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</si>
  <si>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t>
  </si>
  <si>
    <t>타워크레인 텔레스코핑 작업 중 지브가 중심을 잃어 마스트 상부 구조물의 전도 인한 추락</t>
  </si>
  <si>
    <t>▶ 타워크레인의 제원에 따른 설치, 조립 방법 등의 매뉴얼 준수 및 관련 교육 실시
▶ 타워크레인 텔레스코핑 작업 시, 슬라이더 크로스 잠금장치 체결 철저</t>
  </si>
  <si>
    <t>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t>
  </si>
  <si>
    <t>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t>
  </si>
  <si>
    <t>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t>
  </si>
  <si>
    <t>마스트 내 사다리 위치에서 타워크레인 텔레스코핑 위해 리모컨을 조작하던 중 슈 서포트가 이탈하며 재해자를 강타</t>
  </si>
  <si>
    <t>▶ 타워크레인 텔레스코핑 작업 시, 균형유지의 방법으로 육안조정법 보다는 제조사의 방법을 우선적으로 적용
▶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</si>
  <si>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t>
  </si>
  <si>
    <t>타워크레인 해체작업 중 턴테이블 상부 구조물 붕괴로 인한 추락</t>
  </si>
  <si>
    <t>▶타워크레인 해체작업 시, 카운터웨이트 선 해체 후, 메인지브 해체 작업 실시
▶타워크레인 해체작업 시, 부재 간 연결부의 견고한 볼트 체결상태 점검</t>
  </si>
  <si>
    <t>2020년 6월경 국민임대주택 건설공사 현장에서 재해자가 타워크레인 텔레스코핑 케이지 작업발판을 설치하던 중 작업발판이 뒤집어지면서 약 22m 아래로 추락하여 사망</t>
  </si>
  <si>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</si>
  <si>
    <t>▶ 자재 인양 시, 인양물의 재료, 형상에 맞는 적절한 줄걸이 방법 사용
▶ 추락의 위험이 있는 작업 시, 추락방지망, 작업발판 등의 추락방지조치 실시
▶ 작업자와 운전수 간의 적절한 신호체계 수립</t>
  </si>
  <si>
    <t>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t>
  </si>
  <si>
    <t>타워크레인 7번째 마스트 인상작업 중 타워크레인 상부구조물(운전석, 메인지브, 카운터지브 등)이 붕괴되며 운전석에 타고 있던 운전원이 함께 추락</t>
  </si>
  <si>
    <t>▶ 타워크레인 텔레스코핑 작업 시, 서포트 슈와 러그의 고정상태 및 안전핀 체결 여부 파악
▶ 작업자에게 현장 내 사용중인 타워크레인의 제원에 따른 설치, 조립 방법 등의 교육 및 숙지 여부 파악
▶ 작업자의 안전대 착용 및 안전대 결합 유무 파악 등 추락에 의한 위험방지조치 실치</t>
  </si>
  <si>
    <t>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t>
  </si>
  <si>
    <t>2021년 6월경 OO건설에서 시공 중인 오피스텔 신축공사 현장에서 재해자가 타워크레인(러핑형) 월 브레이싱(Wall Bracing) 해체 작업 중 지상1층(H≒20m) 바닥으로 떨어져 사망</t>
  </si>
  <si>
    <t>타워크레인 해체업체인 재해자가 타워크레인(러핑형) 월 브레이싱(Wall Bracing) 해체 작업 중 지상1층 바닥으로 떨어짐</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</si>
  <si>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</si>
  <si>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t>
  </si>
  <si>
    <t>타워크레인 캣헤드 설치 후 이동식 크레인 줄걸이를 해체하고 승강 사다리로 내려오던 중 사다리 끝단에서 실족하여 추락</t>
  </si>
  <si>
    <t>▶ 추락 위험이 높은 타워크레인 설치 작업의 경우 2중 안전고리 체결을 권장
▶ 타워크레인 설치, 해체 작업 시, 유자격자에 의한 작업 여부 파악</t>
  </si>
  <si>
    <t>12.5.3 양중기(이동식 크레인)</t>
  </si>
  <si>
    <t>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t>
  </si>
  <si>
    <t xml:space="preserve"> 보조붐 확장 중 연결핀 미체결 상태에서의 측면 연결핀 해제로 인한 보조붐 낙하</t>
  </si>
  <si>
    <t>▶ 보조붐 확장 시 메인붐 끝단과 보조붐 연결핀 체결철저
▶ 작업 전 특별안전보건교육 실시 및 관리감독자 배치 후 작업 실시 준수</t>
  </si>
  <si>
    <t>2017년 9월경 OO건설 열병합발전소 건설공사 현장에서 탈황설비 자재 하역작업 중 이동식크레인의 턴테이블 볼트가 파단되어 전도되는 붐대에 깔려 재해자1 사망, 재해자2(운전원) 부상</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</si>
  <si>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</si>
  <si>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</si>
  <si>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t>
  </si>
  <si>
    <t>이동식 크레인 출고 전 검사를 위한 조립작업 중 러그 파단으로 인한 지브 낙하와 그로 인한 근로자 추락</t>
  </si>
  <si>
    <t>▶ 추락할 위험이 있는 작업 시, 추락방호망, 안전난간대, 안전대 부착설비 설치 등의 안전방호조치 실시
▶ 이동식 크레인 조립작업시 조립매뉴얼에 맞게 작업</t>
  </si>
  <si>
    <t>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t>
  </si>
  <si>
    <t xml:space="preserve">이동식타워크레인으로 자재양중작업을 하던 중, 크레인을 지지하고 있던 아웃트리거 하부지반 침하로 장비 전도 </t>
  </si>
  <si>
    <t>▶ 이동식크레인을 설치하는 경우 장비 주의사항에 따라 작업장소의 지반상태를 작업 시작 전 점검ㆍ확인하고 작업토록 함
▶ 지반상태가 불량한 경우 받침목, 철판 등을 설치하여 충분한 지지력 확보 후 작업실시</t>
  </si>
  <si>
    <t>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t>
  </si>
  <si>
    <t>크롤러크레인 운전실 후방에 설치되어 있는 카운터 웨이트를 분리(해체)하던 중 미끄러져 낙하하는 카운터 웨이트에 맞음</t>
  </si>
  <si>
    <t>▶ 중량물을 인양하는 등의 작업 시 중량물 취급작업계획서를 작성하고 작업계획에 따라 작업진행
▶ 중량물을 해체하는 경우 낙하 위험장소의 근로자 출입금지구역 설치</t>
  </si>
  <si>
    <t>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t>
  </si>
  <si>
    <t>보조붐대에 설치된 권과방지장치의 전선을 해체하던 중 주붐대에 고정된 로프를 해체 후 보조붐 지지대가 전도되며 피재자의 머리를 강타</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</si>
  <si>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</si>
  <si>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2020년 7월경 방파제 보수보강을 위한 T.T.P 제작 현장에서 재해자가 와이어로프 줄걸이 작업을 하고 대피 중 크레인으로 인양되는 T.T.P와 지상에 놓여진 T.T.P 사이에 협착되어 사망</t>
  </si>
  <si>
    <t>근로자가 와이어로프 줄걸이 작업을 완료하고 다른 공간으로 움직이는 중 크레인 운전수가 근로자를 보지못하고 인양 중인 T.T.P(테트라포드)와 기 놓여진 T.T.P(테트라포드) 사이에 근로자 협착</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</si>
  <si>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</si>
  <si>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2020년 7월경 스포츠복합시설 신축공사 현장에서 재해자가 카고 크레인 아웃트리거를 밟고 적재함에 오르려하다, 아웃트리거가 인입되면서 재해자의 좌측다리가 아웃트리거와 적재함 사이에 끼여 사망</t>
  </si>
  <si>
    <t>근로자가 카고 크레인 아웃트리거를 밟고 적재함에 오르려하다 아웃트리거가 인입되면서 근로자의 좌측다리가 아웃트리거와 적재함 사이에 끼임</t>
  </si>
  <si>
    <t>▶ 하역작업 등으로 적재함을 오를 경우 승강 사다리를 이용
▶ 운전 중인 장비, 작동부 근처 접근 금지</t>
  </si>
  <si>
    <t>12.6 위험기계기구 작업(장비수리, 이동 등)</t>
  </si>
  <si>
    <t>12.6.1 건설기계 장비수리, 개량, 이동 등</t>
  </si>
  <si>
    <t>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t>
  </si>
  <si>
    <t xml:space="preserve">지게차를 이용하여 자재운반 중 시야확보가 되지 않아 자재와 지게차 사이에 끼임 </t>
  </si>
  <si>
    <t>▶ 유도자를 배치하여 차량계 건설기계 유도
▶ 후방카메라 설치 등 장비에 의한 접촉방지조치 실행
▶ 지게차 포크 화물 적재 시 전방 시야 확보</t>
  </si>
  <si>
    <t>2016년 7월경 OO건설㈜ OO신축공사 현장에서 재해자가 사고지점 인근에서 지게차 견인작업을 지켜보다가 전도되는 지게차에 부딪혀 사망</t>
  </si>
  <si>
    <t>콘크리트 펌프카를 이용하여 지게차 견인작업을 하던 중 견인작업을 지켜보던 재해자가 전도되는 지게차에 충돌</t>
  </si>
  <si>
    <t>▶ 주용도 외에 사용제한(전용 견인차를 불러 지게차를 견인하도록 조치)
▶ 위험작업 시, 주변의 관리자를 포함한 근로자 모두 작업 반경 내 접근 금지</t>
  </si>
  <si>
    <t>2016년 8월경 OO신축공사 현장에서 재해자가 오후 T.B.M(Tool Box Meeting)을 위하여119동 남측 가설도로(폭:8m)를 횡단하여 이동하던 중 운행 중이던 지게차(8ton) 오른쪽 바퀴에 깔려 사망</t>
  </si>
  <si>
    <t>현장 내 운행중이던 건설기계(굴착기, 지게차)가 이동하던 재해자를 발견하지 못하고 충돌</t>
  </si>
  <si>
    <t>▶ 유도자를 배치하여 차량계 건설기계 유도
▶ 후방카메라 설치 등 장비에 의한 접촉방지조치 실행
▶ 차량계 건설기계 운행경로와 별도로 근로자가 이동할 수 있는 안전 통로 설치</t>
  </si>
  <si>
    <t>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t>
  </si>
  <si>
    <t>덤프트럭 정비를 위해 공기압축기를 이용하여 트럭 뒷바퀴 교체작업 중 공기압축기가 파열되면서 주변에 있던 적재함을 타격하고 적재함에 있던 공구함이 날아가 재해자가 맞음</t>
  </si>
  <si>
    <t>▶ 공기압축기 압력방출장치(안전밸브) 설치
▶ 위험작업 반경내 접근금지</t>
  </si>
  <si>
    <t>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t>
  </si>
  <si>
    <t>지하에서 지상으로 폐기물 운반 중 지하층에서 덕트 보온작업 중이던 재해자를 발견하지 못하고 운전하다 지게차 포크로 재해자 충돌</t>
  </si>
  <si>
    <t>▶ 유도자를 배치하여 차량계 건설기계 유도
▶ 지게차 포크 화물 적재 시 전방 시야 확보</t>
  </si>
  <si>
    <t>2017년 10월경 지방하천 정비사업 현장 내 제방 진입도로(농로)에서 협력업체 소속 재해자가 덤프트럭의 이동경로 상에 일반차량 진입을 통제하던 중 후진하는 덤프트럭에 치어 사망</t>
  </si>
  <si>
    <t>근로자가 덤프트럭의 이동경로 상에 일반차량 진입을 통제하던 중 후진하는 덤프트럭에 치임</t>
  </si>
  <si>
    <t>▶ 차량계 건설기계 사용시 근로자 통제 또는 유도자 배치
▶ 후방카메라 설치 등 장비에 의한 접촉방지조치 실행</t>
  </si>
  <si>
    <t>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t>
  </si>
  <si>
    <t>덤프트럭의 승차석과 외부 적재함에 다수의 근로자가 나눠타고 현장 내 이동하던 중 차량이 급 경사도로에서 이탈하여 경사지로 떨어짐</t>
  </si>
  <si>
    <t>▶ 차량계 건설기계 승차석 외의 탑승금지</t>
  </si>
  <si>
    <t>2017년 10월경 OO조성공사 현장에서 재해자가 굴삭기를 운전하여 준설선 앙카(닻) 이설 작업 후 육지로 복귀하던 중 굴삭기가 기 준설된 구간으로 전복되며 물속에 잠기면서(h≒4m), 익사</t>
  </si>
  <si>
    <t>매립현장 내에서 준설구역인 해상에서 육지로 이동 중이던 굴착기가 전도되며 물속에 잠겨 익사</t>
  </si>
  <si>
    <t>▶ 차량계 하역운반기계 사용시 작업계획서 작성
▶ 유도자 배치하여 세굴 등이 없는 곳으로 이동 조치
▶ 전도위험요인 발생구간은 접근금지 표시 등 전도방지조치 실시</t>
  </si>
  <si>
    <t>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t>
  </si>
  <si>
    <t>크롤러 크레인(320t) 해체 작업 중 해체작업용 크레인(80t)으로 인양 중이던 러핑마스크가 크레인 오조작으로 낙하하여 러핑마스크 사이에 끼임</t>
  </si>
  <si>
    <t xml:space="preserve">▶ 차량계 하역운반기계 사용시 작업계획서 작성
▶ 건설기계장비 운전자 자격여부 확인 </t>
  </si>
  <si>
    <t>2017년 12월경 OO공동주택 건설현장에서 재해자가 지하 주차장 상부 제설작업 중 후진하는 굴삭기 바퀴에 깔려 사망</t>
  </si>
  <si>
    <t>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t>
  </si>
  <si>
    <t>이동식 크레인을 이용하여 트레일러 적재함에 있는 카운터웨이트를 인양하던 중 이동식 크레인이 전도되면서 운전실이 트레일러 적재함 상부에 끼여 운전실 내부에 있던 근로자 협착</t>
  </si>
  <si>
    <t xml:space="preserve">▶ 차량계 하역운반기계 사용시 작업계획서 작성
▶ 이동식 크레인 인양 작업시 허용인양하중 검토 </t>
  </si>
  <si>
    <t>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t>
  </si>
  <si>
    <t>영운기(경운기 트럭)의 적재함을 상승한 상태에서 적재함 하부 점검 중 안전지주가 미설치된 적재함이 불시하강 하면서 차체와 적재함 사이에 근로자 끼임</t>
  </si>
  <si>
    <t>▶ 차량계 하역운반기계 점검 및 수리 작업 시 안전조치 실시
▶ 근로자가 산악지형과 같은 비일상적인 장소에서 작업 시 작업 전 안전점검 실시</t>
  </si>
  <si>
    <t>2019년 7월경 OO건설(주) OO신축공사 현장에서 조경용 옹벽(콘크리트) 내부 바닥에 있는 폐기물을 굴삭기를 사용하여 외부로 반출작업 중 재해자가 굴삭기와 인접 위치한 옹벽에 의식을 잃고 쓰러져 사망</t>
  </si>
  <si>
    <t>굴착기를 이용하여 폐기물을 외부로 반출작업 중 굴착기와 옹벽사이 협착</t>
  </si>
  <si>
    <t>▶ 차량계 건설기계 사용시 작업 장소 내에 근로자의 출입 통제
▶ 유도자를 배치하여 차량계 건설기계 유도
▶ 후방카메라 설치 등 장비에 의한 접촉방지조치 실행</t>
  </si>
  <si>
    <t>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t>
  </si>
  <si>
    <t>지게차 포크 위에서 천장 스크린 고정용 와이어 작업을 하던 중 중심을 잃고 바닥으로 추락</t>
  </si>
  <si>
    <t>▶ 지게차 승차석이 아닌 위치에 근로자 탑승 금지</t>
  </si>
  <si>
    <t>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t>
  </si>
  <si>
    <t>이동식 크레인 설치 작업 중 지브의 끝단이 지면으로 떨어지면서 지브위에서 지브 연장작업 중이던 근로자 맞음</t>
  </si>
  <si>
    <t>▶ 이동식 크레인 일일점검을 통한 장비의 파단여부 등 확인철저
▶ 해당 작업 근로자 외 근로자 출입 통제</t>
  </si>
  <si>
    <t>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t>
  </si>
  <si>
    <t>주차한 차량(1톤 트럭)이 경사진 도로 전방으로 전진하자 멈추기 위해 운전대를 잡다 넘어져 차량에 몸이 깔림</t>
  </si>
  <si>
    <t>▶ 운전위치 이탈 시 브레이크 또는 고임목 설치
▶ 경사진 노면에서 정지 시 확실하게 고정 후 이탈</t>
  </si>
  <si>
    <t>2020년 6월경 OO건설공사 현장에서 재해자가 크롤러크레인(150ton) 붐 길이 조정을 위하여 지면과 수평으로 내려놓은 붐의 하부로 들어가 고정핀을 제거하는 작업을 하던 중 붐이 하강하면서 재해자가 깔려 사망</t>
  </si>
  <si>
    <t>크롤러 크레인 붐 길이 조정을 위해 수평으로 내려놓은 붐의 하부로 들어가 고정볼트를 제거하던 작업 중 붐이 하강하면서 근로자 깔림</t>
  </si>
  <si>
    <t>▶ 크롤라 크레인의 해체작업 시 안전지지대 또는 안전블럭 설치
▶ 크롤라 크레인의 작업 시 신호방법을 정하여 운전자와 근로자에게 신호</t>
  </si>
  <si>
    <t>2020년 7월경 OO신축공사 현장에서 재해자가 경사로에서 지게차를 운전하여 폐기물을 버리기 위해 양중함을 들어 후진, 회전하던 중 지게차가 전도되면서 재해자가 깔려 사망</t>
  </si>
  <si>
    <t>폐기물을 반출하기 위해 양중함을 들어 후진 및 회전하던 중 지게차가 전도되어 재해자가 깔림</t>
  </si>
  <si>
    <t>▶ 중량물 적재 시 하중이 한쪽에 쏠리지 않게 무게중심의 위치를 고려하여 적재함
▶ 차량계 하역운반기계 사용 시 운전자는 좌석안전띠 및 개인보호구 착용</t>
  </si>
  <si>
    <t>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t>
  </si>
  <si>
    <t>경사도로에서 자재 운반하던 운반차(개조차량)가 운전미숙으로 후진을 하게 되어 주변에 있던 재해자가 운반차에 깔림</t>
  </si>
  <si>
    <t>▶ 차량계 건설기계 안전 운행 매뉴얼 작성 및 준수</t>
  </si>
  <si>
    <t>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t>
  </si>
  <si>
    <t>크롤러 크레인 붐 연장을 위해 탑 붐 연결핀 제거작업하던 중 하부 연결핀 1개를 제거하는 순간 연결부가 아래쪽으로 꺾이면서 하강하여 하부에 있던 근로자 깔림</t>
  </si>
  <si>
    <t>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t>
  </si>
  <si>
    <t>도로 방음벽 시공 중 원활한 통행을 위해 교통신호를 하던 중 덤프트럭에 충돌</t>
  </si>
  <si>
    <t>▶ 차량계 하역운반기계 사용시 작업계획서 작성
▶ 교통 신호수 주변에 견고하고 충분한 크기의 방책이나 방호블럭을 설치</t>
  </si>
  <si>
    <t>급경사(경사도 1</t>
  </si>
  <si>
    <t>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t>
  </si>
  <si>
    <t>차량의 기계적 결함(브레이트 오작동)으로 정지하지 못하고 앞서오던 차량과 충돌</t>
  </si>
  <si>
    <t xml:space="preserve">▶ 차량계 건설기계 정기검사 등 체계적인 점검 및 정비 실시 </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</si>
  <si>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</si>
  <si>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</si>
  <si>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</si>
  <si>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</si>
  <si>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</si>
  <si>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</si>
  <si>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</si>
  <si>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</si>
  <si>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</si>
  <si>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</si>
  <si>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</si>
  <si>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</si>
  <si>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2017년 6월경 OO포장도 보수공사 현장에서 재해자가 도로 포장이 완료된 구간에 설치된 임시차선이 탈락되어 교체를 하던 중 통과중이던 일반차량(승용차)에 부딪혀 사망</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</si>
  <si>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</si>
  <si>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</si>
  <si>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</si>
  <si>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</si>
  <si>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</si>
  <si>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</si>
  <si>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</si>
  <si>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</si>
  <si>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</si>
  <si>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2018년 12월경 재해자가 버스정류소 표지판 보강작업을 마치고 인근에 주차된 차량으로 이동 중 OO방면으로 주행 중인 일반차량(승용차)과 충돌하여 사망</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</si>
  <si>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</si>
  <si>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</si>
  <si>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</si>
  <si>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2020년 2월경 OO건설㈜ OO지식산업센터 건설현장에서 하청업체 소속 안전감시 요원이 안전순찰 중 토사반출을 위하여 후진하던 덤프트럭 바퀴에 깔려 사망</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</si>
  <si>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</si>
  <si>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</si>
  <si>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</si>
  <si>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</si>
  <si>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</si>
  <si>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</si>
  <si>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</si>
  <si>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</si>
  <si>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2020년 8월경 선로변 풀베기 상례작업 시 열차운행 감시 업무를 수행하던 재해자가 선로를 건너던 중 장폐단 운행으로 진행 중이던 기관차에 부딪혀 사망</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</si>
  <si>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</si>
  <si>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</si>
  <si>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2021년 4월경 OO물량장 내 ㈜OO물류 작업장에서 재해자가 컨테이너에 화물(코일) 적입작업을 수행하며 작업장 내에서 이동하던 중 진출하는 차량(25톤,트레일러)에 부딪혀 사망</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</si>
  <si>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</si>
  <si>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</si>
  <si>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</si>
  <si>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2021년 9월경 OOO아파트 공사 현장에서 부대토목 협력업체 OO건설(주) 소속 재해자가 단지 내 원형수로관 집수정 청소작업 중 관목 하차를 완료하고 전방으로 이동하던 트럭에 깔려 사망</t>
  </si>
  <si>
    <t>○○레미콘 공장에</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</si>
  <si>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</si>
  <si>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</si>
  <si>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</si>
  <si>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t>
  </si>
  <si>
    <t>근로자 위험지역 출입 미통제한 상태에서 보 형틀 조립을 위해 지게차 포크에 실려 하역 중인 테이블 폼이 기울어져 쓰러지면서 바닥에 먼저 설치된 테이블 폼을 가격되어 쓰러지면서 근로자 깔림</t>
  </si>
  <si>
    <t>▶ 테이블 폼 등의 중량물 인양 시 인양 및 하역장비에 벨트 등을 이용하여 고정 후 작업
▶ 중량물 인양 시 차량계 하약운반기계의 최대 적재능력과 포크 최대 간격을 파악하여 적합한 장비로 작업
▶ 지게차와 같은 건설장비를 이용하여 작업 시 부딪힘 위험장소에 대해 근로자의 출입 통제</t>
  </si>
  <si>
    <t>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t>
  </si>
  <si>
    <t>유로폼 다발을 옥상층 바닥으로 운반 중 지브 절단으로 옥상층 파라펫 거푸집 위로 떨어저 파라펫 거푸집 설치작업 중인 근로자 가격</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</si>
  <si>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</si>
  <si>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t>
  </si>
  <si>
    <t xml:space="preserve"> 타워크레인으로 양중한 보 거푸집 위에서 양중로프를 해체하던 중 타워크레인 조작실수로 중심을 잃고 근로자 추락</t>
  </si>
  <si>
    <t>▶ 양중기를 사용하는 작업 시 작업진행에 맞는 일정한 신호방법 선정 및 상호간 확인
▶ 추락위험이 있는 높이 2m 이상에서의 작업 시 안전대 부착설비 설치 및 안전대 착용</t>
  </si>
  <si>
    <t>2017년 10월경 OO건설㈜ OOO신축현장에서 ㈜OO건설 소속 재해자가 OO동 지상층에서 먹매김 작업 후 건설용리프트를 타고 내려와 리프트탑승구에서 OO동 앞 창고로 이동 중 주행 중인 불도저(bulldozer)에 깔려 사망</t>
  </si>
  <si>
    <t>차량계 건설기계 작업 구간내 근로자 출입방지 조치 미흡한 상태에서 창고로 이동 중 주행중인 불도저에 깔림</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</si>
  <si>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</si>
  <si>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t>
  </si>
  <si>
    <t>사용장비의 사전점검을 미실시한 상태에서 자재 양중 작업하던 이동식크레인 boom 끝단에 부착되어 있던 권과방지장치가 노후 등 원인으로 탈락·비래하여 근로자 머리를 강타</t>
  </si>
  <si>
    <t>▶ 건설기계 작업시 작업 전 주요구조부 체결볼트의 충분한 강도유지 및 이상유무 확인 철저
▶ 자재 양중 구간 양중 경로 하부에 근로자 출입 금지</t>
  </si>
  <si>
    <t>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t>
  </si>
  <si>
    <t>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</si>
  <si>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</si>
  <si>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t>
  </si>
  <si>
    <t>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t>
  </si>
  <si>
    <t>▶ 타워크레인 등 장비 사용 시 메인지브 등 주요구조부에 대해 사용 전 점검 및 관리
▶ 타워크레인을 이용하여 작업 시 양중 경로 하부에 근로자 출입 금지</t>
  </si>
  <si>
    <t>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t>
  </si>
  <si>
    <t>기계 운전자 운전석 이탈시 조치를 미실시한 상태에서 화물 트럭(1ton)에 거푸집 상차 중 경사진 도로에서 화물 트럭(1ton)이 앞으로 밀려 내려가면서 근로자 깔림</t>
  </si>
  <si>
    <t>▶ 차량계 하역운반기계에서 운전자가 운전석을 이탈하는 경우 주차 브레이크의 확실한 체결 및 차량 고임목 설치
▶ 차량계 하역운반기계가 경사로로 밀려 내러가는 경우, 무리하게 인력으로 차량 앞을 막아서는 행위 금지</t>
  </si>
  <si>
    <t>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</si>
  <si>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xml:space="preserve">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t>
  </si>
  <si>
    <t>2.2.1 갱폼 자재반입</t>
  </si>
  <si>
    <t>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t>
  </si>
  <si>
    <t>중량물 취급 방법 불량한 상태에서 크레인을 사용하여 1톤 마대에 담긴 자재 인양 중 샤클에 연결된 마대의 인양걸이가 풀려 추락 후 근로자 타격</t>
  </si>
  <si>
    <t>▶ 철재로 된 볼트 자재 등 중량물 운반 시 철재 제작 인양함 사용 및 과적 금지
▶ 크레인을 이용하여 자재 인양 등 중량물 취급작업 시 사전에 근로자 출입 통제</t>
  </si>
  <si>
    <t>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t>
  </si>
  <si>
    <t>갱폼의 안전조치 미실시한 상태에서 갱폼 인양 중 인근 갱폼에 대기중인 작업자가 갱폼 간의 충돌 및 충격으로 인해 추락</t>
  </si>
  <si>
    <t>▶ 갱폼 인양작업 시 위험범위 내 근로자의 출입금지조치 실시
▶ 근로자의 추락 방지를 위해 갱폼의 모서리, 단부개구부 등에 안전난간대 설치
▶ 근로자에게 안전대 결합 지시 및 이행 여부 확인</t>
  </si>
  <si>
    <t>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</si>
  <si>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추락 방지조치 미실시한 상태에서 옥탑층 엘리베이트 기계실 외벽 갱폼 상승작업을 위해 갱폼케이지 작업발판에서 갱폼과 콘크리트 벽체의 고정철물을 순차적으로 해체 중 갱폼의 외벽 탈락으로 근로자 추락</t>
  </si>
  <si>
    <t>▶ 갱폼 상승작업을 하는 경우 갱폼을 인양장비에 매단 후 갱폼과 콘크리트 벽체 및 슬래브의 고정철물을 해체하는 작업 진행
▶ 인양장비에 매달기 전에는 지지 또는 고정철물을 미리 해체하지 않도록 준수 
▶ 갱폼 등의 중량물을 취급하는 작업에는 작업지휘자를 지정하고, 해당 작업을 지휘하도록 함</t>
  </si>
  <si>
    <t>2.3.1 철근 반입</t>
  </si>
  <si>
    <t>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t>
  </si>
  <si>
    <t>중량물 인양시 지반 조건 및 작업반경을 고려하지 않고 굴삭기로 철근을 상하차 중 굴삭기가 균형을 잃고 넘어지며 근로자를 강타</t>
  </si>
  <si>
    <t xml:space="preserve">▶ 건설기계 제원, 성능, 작업반경, 인양물 무게 등을 고려
▶ 굴삭기를 이용하여 중량물 인양 시 버켓 해체 등 정격 인양 하중표를 준수하여 작업 실시
▶ 굴착법면 상부에서 차량계 건설기계 작업 시 법면 하부에 대해 근로자 출입 통제, 신호수 배치 및 유도로프 사용 </t>
  </si>
  <si>
    <t>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t>
  </si>
  <si>
    <t xml:space="preserve">지게차에 철근을 싣고 경사진 가설도로에서 주행 중, 지게자가 중심을 잃고 넘어지면서 철근이 근로자에게 낙하 </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</si>
  <si>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</si>
  <si>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t>
  </si>
  <si>
    <t>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</si>
  <si>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굴삭기로 트럭에 실려있는 철근을 하역하던 중 철근을 잡고 있던 근로자가 철근에 걸려 추락</t>
  </si>
  <si>
    <t>▶철근 등 분할 가능한 중량물일경우 하역작업시 소단위로 분할하여 작업
▶작업반경을 확보하여 작업자의 안전성 확인 후 작업 실시 및 작업반경내 근로자 접근 통제, 유도자 배치</t>
  </si>
  <si>
    <t>2019년 7월경 (주)OO건설이 시공하는 OO주택재건축정비사업 현장에서 재해자가 25톤 화물차에서 지게차로 철근을 하역하는 곳을 지나는 도중 화물차에서 철근이 낙하하여 재해자의 두부와 하체를 강타하여 사망</t>
  </si>
  <si>
    <t xml:space="preserve">화물차에서 지게차로 철근을 하역하는 도중, 화물차에서 철근이 낙하하여 지나가는 근로자의 두부와 하체를 강타 </t>
  </si>
  <si>
    <t>▶ 중량물 인양을 위한 차량계 건설기계 사용 시 작업 전 작업자와 신호수간의 신호 조정 및 준수
▶ 지게차를 사용하여 화물의 하역작업 시 관계 근로자 이외의 근로자 출입 통제</t>
  </si>
  <si>
    <t>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t>
  </si>
  <si>
    <t>보조훅의 와이어로프 변형유무를 점검하지 않고 이동식크레인으로 철근 인양중, 와이어로프가 파단되며 근로자가 철근 다발에 맞음</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</si>
  <si>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</si>
  <si>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t>
  </si>
  <si>
    <t>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t>
  </si>
  <si>
    <t xml:space="preserve">근로자 출입통제를 하지 않고 타워크레이을 사용하여 철근다발을 인양하던 중 러핑로프 및 보조로프가 파단되면서 철근 다발이 근로자에게 낙하 </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</si>
  <si>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</si>
  <si>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t>
  </si>
  <si>
    <t xml:space="preserve">이동식크레인으로 철근 다발을 옮기기 위해 철근 줄걸이 작업중, 정격하중을 초과한 이동식크레인이 하중을 견디지 못하고 전도되면서 철근 다발이 근로자를 강타 </t>
  </si>
  <si>
    <t>▶ 지브의 경사각에 의한 작업반경과 철근무게에 따른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</si>
  <si>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t>
  </si>
  <si>
    <t xml:space="preserve">인양물을 견고하게 고정하지 않고 철근다발 한쪽에 슬링벨트를 U자 형태로 걸은 후 이동식크레인으로 들어올려 이동 중, 슬링벨트가 이탈하면서 철근 다발이 낙하하여 하부에 있던 근로자를 강타 </t>
  </si>
  <si>
    <t>▶ 인양물 양중 시 슬링벨트를 감고 샤클 등으로 견고하게 고정한 후 양중 준수
▶ 인양물 작업 시 인양물이 작업자 머리 위에 위치하거나 통과하지 않도록 작업지휘자 및 전담 신호수 배치</t>
  </si>
  <si>
    <t>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</si>
  <si>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xml:space="preserve">굴삭기 퀵커플러에 부착된 훅에 철근다발을 걸어 인양하던 중, 훅에 걸린 로프 한쪽이 탈락하며 철근다발이 쏟아져 근로자를 강타 </t>
  </si>
  <si>
    <t>▶ 철근 인양작업 시에는 이동식크레인 등 양중기 용도에 적합한 장비 사용
▶ 인양 작업 전, 퀵커플러 등 이상유무 확인 후 이상이 발견 될 시 즉시 조치 실시</t>
  </si>
  <si>
    <t>2021년 8월경 OO산업(주)에서 시공 중인 OO별관 신축공사 현장 자재반입구(지하3층)에서 재해자가 자재반입구를 통해 운반중인 14m 상부 낙하물(벽체철근망, 크기:6m x 7m, 중량:1.3~1.4ton)에 맞아 사망</t>
  </si>
  <si>
    <t>이동식크레인을 사용해 벽체 철근망을 자재반입구를 통해 운반하던 중 이탈한 벽체 철근망이 낙하하여 맞음</t>
  </si>
  <si>
    <t>▶ 이동식크레인을 이용하여 자재 인양 시 훅 이탈방지 장치 부착 여부, 인양물과의 결합 상태 등의 점검 및 조치
▶ 이동식크레인 작업반경 내 출입통제, 중량물이 작업자의 머리 위로 통과하지 않도록 조치</t>
  </si>
  <si>
    <t>콘크리트믹서</t>
  </si>
  <si>
    <t>2016년 1월경 OO(주) 아파트 신축공사 현장에서 골조공사 협력업체인 OO건설(주) 소속 재해자(일용직)가 후진하는 레미콘 차량 후미와 충돌하여 차량 뒷바퀴에 협착되어 사망</t>
  </si>
  <si>
    <t>근로자 출입 통제가 이뤄지지 않은채 후진하는 레미콘 차량 후미와 근로자가 충돌하여 협착</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</si>
  <si>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</si>
  <si>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 xml:space="preserve"> 2017년 6월</t>
  </si>
  <si>
    <t xml:space="preserve">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t>
  </si>
  <si>
    <t>콘크리트 펌프카 위에 올라가 콘크리트 타설 준비작업 중 콘크리트 펌프카 플렉시블 호스의 압력이 방출되면서 요동치는 호스의 토출구(철재)에 머리를 맞아 지상으로 떨어짐</t>
  </si>
  <si>
    <t>▶ 차량계 건설기계 사용 시 차량계 건설기계에 의한 작업방법, 점검 및 작업요령 등에 대한 작업계획서 작성</t>
  </si>
  <si>
    <t>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t>
  </si>
  <si>
    <t>배수로 관보호공 콘크리트 타설을 위해 콘크리트 믹서 트럭을 운전하던 중 비가 내려 지표면이 미끄러운 상태의 경사로에서 전복되어 운전석 내부에서 협착됨</t>
  </si>
  <si>
    <t>▶ 차량계건설기계 상시 점검 및 정비 실시
▶ 강우 및 악천후 등으로 차량계건설기계 운행이 불안전한 경우 즉시 중지</t>
  </si>
  <si>
    <t>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t>
  </si>
  <si>
    <t>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t>
  </si>
  <si>
    <t>▶ 작업 시작 전 차량의 브레이크 및 클러치 등을 미리 점검 실시
▶ 이상 발견시 즉시 보수하거나 그밖에 필요한 조치를 하여야 함</t>
  </si>
  <si>
    <t>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t>
  </si>
  <si>
    <t>펌프카 콘크리트 타설 위해 펌프카 사전 점검중 콤프레와 샤프트에 이상이 생겨 피티오를 수리하던 중 제동장치의 공압호스가 빠져 차량 제동장치가 풀리면서 움직이는 펌프카에 협착</t>
  </si>
  <si>
    <t>▶ 펌프카 등 차량계 건설기계의 수리나 부속장치의 장착 및 제거작업을 하는 경우 그 작업을 지휘하는 사람을 지정하여 해당 작업을 지위하고 작업순서를 결정하는 작업지휘자 배치</t>
  </si>
  <si>
    <t>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t>
  </si>
  <si>
    <t>상부슬라브 콘크리트 타설 전 철근배근 작업지시 중 콘크리트 타설을 위해 후방에서 대기중이던 펌프카가 교량 방향으로 갑작스레 이동하여 재해자와 충돌</t>
  </si>
  <si>
    <t>▶ 차량계 건설기계의 갑작스러운 주행 및 이탈 방지
▶ 운전 중인 차량계 건설기계에 접촉되어 근로자 가격 위험 장소에는 근로자 출입 금지 및 유도자 배치</t>
  </si>
  <si>
    <t>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</si>
  <si>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콘크리트 타설을 위해 대기 중인 콘크리트 믹서트럭이 제동장치 이상으로 미끄러지며 근로자 깔림</t>
  </si>
  <si>
    <t>▶ 차량계 건설기계를 사용하여 작업 시 작업 전 관리감독자가 브레이크 및 클러치 등의 기능 점검
▶ 경사로에서 차량계 건설기계에 탑승하여 대기 시 사이드브레이크 체결 및 고임목 설치 등 미끄러짐 방지</t>
  </si>
  <si>
    <t>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t>
  </si>
  <si>
    <t>콘크리트 타설을 위해 펌프카 호퍼 쪽으로 후진하는 콘크리트 차량의 슈트를 조작하던 중 펌프카 호퍼 사이에 끼임</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</si>
  <si>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</si>
  <si>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 xml:space="preserve"> 2019년 1월</t>
  </si>
  <si>
    <t xml:space="preserve">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t>
  </si>
  <si>
    <t>레미콘 트럭이 이동 중 경사로를 오르지 못하고 뒤로 밀리며 주변에서 작업중이던 근로자 깔림</t>
  </si>
  <si>
    <t>▶ 레미콘 트럭 등 비탈길에서 차량계 건설기계 정차 시 밀림 방지를 위해 풋, 사이드브레이크 체결 및 고임목 설치
▶ 차량계 건설기계를 이용한 작업 시 접촉 및 부딪힐 위험이 있는 장소에 근로자 출입 금지 및 유도자 배치
▶ 도로와 작업장이 접해있을시 방책 등 근로자 보호조치 실시</t>
  </si>
  <si>
    <t>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</si>
  <si>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승강기 피트 내 설치된 콘크리트 압송관 해체 중 압송관에 연결된 로프가 풀리면서 압송관과 함께 떨어짐</t>
  </si>
  <si>
    <t>▶ 개구부 등 추락위험 구간에 덮개, 안전난간 등 추락방지조치 준수
▶ 작업 전 안전대 지급 및 체결상태 관리</t>
  </si>
  <si>
    <t>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t>
  </si>
  <si>
    <t>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</si>
  <si>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xml:space="preserve">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t>
  </si>
  <si>
    <t>▶ 콘크리트 분배기를 화물트럭에 상차하여 반출하는 경우 화물트럭 적재함 문짝이 닫힌 우측으로 접근 금지 및 적재함에서 지상 바닥으로 이동 시 적재함 문짝 개방 후 이동
▶ 화물트럭에 100kg 이상의 중량물을 싣는 작업 시 콘크리트 분배기 하부의 압송관 해체 후 싣기</t>
  </si>
  <si>
    <t>2020년 OO(</t>
  </si>
  <si>
    <t>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t>
  </si>
  <si>
    <t xml:space="preserve">콘크리트 타설용 C.P.B 장비 인상작업 중, C.P.B 마스트 지지부재(하부 지지용 핀)가 이탈되면서 장비 본체가 근로자에게 낙하 </t>
  </si>
  <si>
    <t xml:space="preserve">▶ C.P.B 낙하를 예방하기 위한 작업계획서 작성 및 준수
▶ 마스트 인상작업 후 플로어 프레임을 해체 시에는 개구부 크기에 맞춰 제작된 덮개를 반드시 설치
▶ 플로어 프레임을 해체하기 어려울 경우 안전난간, 덮개 또는 하부에 추락방호망 설치 </t>
  </si>
  <si>
    <t>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t>
  </si>
  <si>
    <t>콘크리트 타설 작업 중 펌프카 아웃트리거 하부 지반이 침하되어 펌프카가 기울어지며 펌프카 붐대가 근로자 가격</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</si>
  <si>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</si>
  <si>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t>
  </si>
  <si>
    <t>근로자 출입 통제가 이뤄지지 않은채 콘크리트 펌프카 호퍼 정비작업 중 펌프카 후미쪽으로 후진하던 콘크리트 믹서 트럭 사이에 충돌후 협착</t>
  </si>
  <si>
    <t>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t>
  </si>
  <si>
    <t>지하주차장 슬래브에서 콘크리트를 타설하고 있는 펌프카 하부로 들어가 고압살수기로 물청소를 하고 고압호스를 가지고 나오던 중 엔진과 연결되어 고속 회전하는 죠인트에 옷이 감기면서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</si>
  <si>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</si>
  <si>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2017년 1월경 다세대주택 신축현장에서 L형 옹벽 기초콘크리트 타설 중 펌프카 전면 우측 아웃트리거 하부지반이 붕괴되면서 재해자가 넘어지는 펌프카 붐대에 머리를 맞아 사망</t>
  </si>
  <si>
    <t>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t>
  </si>
  <si>
    <t>2017년 12월경 OO(주) OO로 정비사업 현장에서 OO(주) 소속 재해자(형틀목공)가 콘크리트 펌프카를 이용하여 버림콘크리트 타설 작업 중 지반이 침하되어 펌프카가 기울어지면서 하강하는 붐에 재해자 맞아 사망</t>
  </si>
  <si>
    <t>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t>
  </si>
  <si>
    <t>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t>
  </si>
  <si>
    <t>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t>
  </si>
  <si>
    <t>콘크리트 타설 작업을 위해 대기중이던 레미콘 차량 유도 중 근로자가 후진하는 레미콘 차량에 깔림</t>
  </si>
  <si>
    <t xml:space="preserve">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t>
  </si>
  <si>
    <t>콘크리트 타설 작업 준비 중 콘크리트 펌프카의 압송관이 막혀 압송관 교체작업을 위해 클립의 볼트를 해지하는 순간 막혀있던 콘크리트가 분출하여 근로자 가격</t>
  </si>
  <si>
    <t>▶ 콘크리트 펌프용 압송관이 막혀 콘크리트 타설작업 중지 시 작업 중단 및 보수 실시
▶ 분출되는 콘크리트에 맞을 위험이 있는 장소에서는 작업내용에 적정한 개인 보호구 지급 및 착용</t>
  </si>
  <si>
    <t>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t>
  </si>
  <si>
    <t>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t>
  </si>
  <si>
    <t>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t>
  </si>
  <si>
    <t>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t>
  </si>
  <si>
    <t>버림 콘크리트 타설 완료 후 펌프카 붐을 접는 순간 유압실린더의 로드가 전단파괴를 일으키며 파단되면서 붐이 구속력을 잃고 전방으로 펼쳐지면서 재해자를 가격</t>
  </si>
  <si>
    <t>▶ 위험구역 내 근로자 출입금지
▶ 유도자 배치를 통한 근로자 출입통제 및 차량계 건설기계 유도</t>
  </si>
  <si>
    <t>2020년 11월경 문화체험장 조성사업 현장에서 재해자(콘크리트공)가 기초 콘크리트 타설 작업 중 콘크리트 펌프카 아웃트리거가 지반 속으로 침하하면서 순간적으로 하강한 붐 선단부위에 깔려 사망</t>
  </si>
  <si>
    <t>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t>
  </si>
  <si>
    <t>지하층 합벽 콘크리트 타설 중 복공판 상부에 설치되어있던 콘크리트 펌프카의 1단과 2단 붐대 연결부분 파단으로 인해 붐이 주저앉으면서 붐 끝에 연결되어 있던 호스가 유동하여 재해자를 타격</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</si>
  <si>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</si>
  <si>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t>
  </si>
  <si>
    <t>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</si>
  <si>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</si>
  <si>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</si>
  <si>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t>
  </si>
  <si>
    <t xml:space="preserve">철골보 위에서 윌브레이싱을 조립하기 위해 대기하던 중, 이동식크레인으로 인양한 윌브레이싱이 튕기면서 근로자 강타 </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</si>
  <si>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</si>
  <si>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t>
  </si>
  <si>
    <t>휴게공간 설치 작업후 반출하는 잔여 자재를 상차한 1톤 트럭을 이동시키는 중 트럭에 고정되지 않은 상태로 상차되어 있던 자재가 미끄러지면서 적재함에 탑승하고 있던 피재자와 함께 트럭 하부로 낙하</t>
  </si>
  <si>
    <t>▶ 화물자동차 적재함에 근로자 탑승 금지</t>
  </si>
  <si>
    <t>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t>
  </si>
  <si>
    <t>H빔을 제작 작업 중 H빔 전면부 용접을 완료하고 후면부 용접하기 위해 하카를 이용하여 걸어 넘기는 과정에서 하카를 빼지 못하여 하카에 의해 근로자 안면부 강타</t>
  </si>
  <si>
    <t>▶ H-beam 용접 및 인양 작업 시 낙하, 맞음 등의 위험과 하카를 이용하여 중량물을 뒤집는 등에 작업 시 맞음 등의 위험발생가능성이 있어 개인 보호구 착용
▶ 중량물 인양 시 리프트, 크레인 등 차량용 건설기계의 활용으로 인재 방지</t>
  </si>
  <si>
    <t>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t>
  </si>
  <si>
    <t xml:space="preserve">철골부재 양중작업을 위해 이동식크레인 보조붐 설치작업 중 기계적 결함 보다는 보조붐 설치작업 과정에서 문제가 발생하여 메인붐에 지지되어 있는 보조붐이 이탈하여 근로자에게 낙하 </t>
  </si>
  <si>
    <t>▶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t>
  </si>
  <si>
    <t>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t>
  </si>
  <si>
    <t>크레인 보(Girder) 조립작업 중 이동식 크레인의 과부하방지장치가 작동하지 않고, 허용하중을 초과하여 이동식크레인이 넘어지면서 크레인 보가 고소작업대에 부딪히고 고소작업대가 넘어지면서 근로자 추락</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</si>
  <si>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</si>
  <si>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2017년 2월경 OO신축공사에서 지하 2층 주차장 내에서 조적용 시멘트 블럭을 운반하기 위해 지게차를 운전하던 중 지하주차장 기둥과 지게차 사이에 끼여 사망</t>
  </si>
  <si>
    <t>지게차 운전자격이 없는 근로자가 조적자재를 운반하기 위해 지게차를 운전하던 중 주차장 기둥과 지게차 사이에 끼임</t>
  </si>
  <si>
    <t>▶ 지게차 운전원의 자격(「건설기계관리법」에 따른 면허) 확인 철저, 무자격자 운전 금지
▶ 차량계하역운반기계 작업 또는 이동 시 유도자 배치 및 작업반경 내 접근통제 조치</t>
  </si>
  <si>
    <t>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t>
  </si>
  <si>
    <t>지게차에 레미탈을 인양한 상태에서 경사로에 정차시킨 후 적치장소를 찾던 중 지게차가 뒤로 밀리면서 지게차 앞바퀴에 끼임</t>
  </si>
  <si>
    <t>▶ 지게차 주ㆍ정차 시 평탄하고 정해진 지역에 주ㆍ정차 실시 후 포크를 바닥까지 완전히 내리는 조치 실시
▶ 차량계 하역운반 기계 등 사용하는 작업 시 유도하는 사람 배치 준수 
▶ 작업을 시작하는 경우 신호방법에 따라 근로자에게 신호를 인지토록 조치</t>
  </si>
  <si>
    <t xml:space="preserve">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t>
  </si>
  <si>
    <t>옥상에서 자재 반출을 위해 자재결속과 신호업무를 수행하던 중 크레인으로 자재를 들어 올리는 순간 크게 흔들리는 자재에 근로자가 매달렸고 그 상태로 엘리베이터 기계실 외벽에 충돌</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</si>
  <si>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</si>
  <si>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t>
  </si>
  <si>
    <t>블록벽체 보수 작업을 위하여 굴삭기 버켓에 탑승하여 이동 중 몸의 균형을 잃고 바닥으로 추락</t>
  </si>
  <si>
    <t>▶ 굴착기 주용도외 사용금지(근로자 탑승 금지)
▶ 작업높이에 적합한 작업발판(비계, 이동식비계, 고소작업대 등) 설치 및 사용 준수
▶ 작업장소로 이동하기 위한 안전한 작업통로 설치</t>
  </si>
  <si>
    <t>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t>
  </si>
  <si>
    <t>2021년 4월경 OO신축공사에서 현장 건너편 빌딩의 담장 조적 모르타르 줄눈 작업을 하던 중 인접한 아파트 지상 주차장에서 후진으로 나와 회전하던 일반 차량과 충돌하면서 차량과 담장 사이에 끼어 사망</t>
  </si>
  <si>
    <t>외벽 조적 모르타르 줄눈 작업을 하던 중 인접한 지상 주차장에서 후진으로 나와 회전하던 일반 차량과 부딪히면서 차량과 담장 사이에 끼임</t>
  </si>
  <si>
    <t>▶ 작업장소에 건설기계장비 또는 일반차량 등과 충돌할 우려가 있는 경우 출입통제 조치 또는 유도자 배치
▶ 작업구간 구획 및 공사 안내(진행) 표지판 설치</t>
  </si>
  <si>
    <t>2017년 2월경 OO신축공사에서 곤돌라에 탑승하여 건물(배면부) 9층 외벽 미장작업(보조)을 진행하던 중 재해자 정관섭이 몸의 균형을 잃고 곤돌라와 건물 사이로 추락하여(H≒30m) 사망</t>
  </si>
  <si>
    <t xml:space="preserve">곤돌라에 탑승하여 외벽 미장작업을 하던 중 몸의 균형을 잃고 난간대가 설치되지 않은 곤돌라 전면부로 추락 </t>
  </si>
  <si>
    <t xml:space="preserve">▶ 곤돌라 전면부 안전난간대 설치 철저
▶ 곤돌라 작업 시 구명줄 설치 및 안전대 착용ㆍ연결 철저 </t>
  </si>
  <si>
    <t>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t>
  </si>
  <si>
    <t>옥탑에서 물탱크를 운반하기 위해 이동식 크레인으로 인양(1줄걸이) 작업 중 인양된 물탱크가 흔들리며 재해자를 가격하여 몸의 중심을 잃고 지상 콘크리트 바닥으로 추락</t>
  </si>
  <si>
    <t>▶ 차량계 하역운반기계를 사용하여 중량물 취급하는 작업 시 중량물의 취급방법, 인양장비의 재원 능력에 맞는 작업방식 지휘
▶ 차량계 하역운반기계 등을 사용하여 작업 시 운반 중인 화물 등에 의한 충돌 방지를 위해 근로자 출입 금지</t>
  </si>
  <si>
    <t>4.3 석재 및 타일 작업</t>
  </si>
  <si>
    <t>4.3.1 석재 및 타일 자재반입, 운반</t>
  </si>
  <si>
    <t>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t>
  </si>
  <si>
    <t>전동 호이스트로 자재(타일박스)를 상부로 인양하던 중 인양벨트가 윈치 후크에서 이탈하여 낙하하는 자재가 하부에서 작업중이던 근로자를 강타</t>
  </si>
  <si>
    <t>▶ 전동 호이스트 등을 사용하여 자재인양 시 훅 이탈장비 장치의 설치 유무 및 인양벨트 걸이 상태 점검
▶ 전동 호이스트 등을 사용하여 자재인양 시 작업반경 내 작업자의 출입 금지조치</t>
  </si>
  <si>
    <t>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t>
  </si>
  <si>
    <t>지게차로 타일자재를 하역한 후 후진하던 중 맨홀 굴착부위에 빠져 지게차가 전도되면서 깔림</t>
  </si>
  <si>
    <t>▶ 지게차 등 건설기계 사용 시, 작업통로 내 지반환경(경사면, 웅덩이, 자재 등)으로 인한 장비의 넘어짐, 구름 등을 방지하기 위해 지반 평탄화(철판 및 합판 설치, 흙 메움 등), 주변 환경 정리 등의 안전조치 실시
▶ 지게차 등 건설기계 사용 시 별도의 유도자를 배치하여 안전사고에 대비</t>
  </si>
  <si>
    <t>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</si>
  <si>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지붕 지지재 용접부위에 녹방이방지 페인트를 도포하기 위해 크레인 탑승설비에 탑승 후, 작업장소로 선회하는 순간, 탑승설비가 지브 브라켓에서 탈락하여 바닥으로 추락</t>
  </si>
  <si>
    <t>▶ 이동식크레인 등 건설기계 사용 시, 본래의 목적 외 사용 금지
▶ 이동식크레인에 부득이하게 탑승설비를 부착하는 경우 작업 시작 전 탑승설비와 지브 브라켓 하부의 연결핀 체결상태 및 아웃트리거, 안전장치 이상유무 확인
▶ 추락위험이 있는 고소작업 시 작업자가 타고 작업하지 않도록 하중감지장치, 모멘트감지장치 등 부착 및 작업대가 부착된 고소작업대 사용</t>
  </si>
  <si>
    <t>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t>
  </si>
  <si>
    <t>작업위치로 이동하기 위해 작업통로가 아닌 임시 개구부로 이동하던 중 운행 중인 열차와 충돌</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</si>
  <si>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</si>
  <si>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2016년 7월경 OO(주) OO아파트 신축공사 현장 102동 앞 중앙도로에서 지게차로 하역하던 석고보드 자재 더미가 지나가던 재해자(석재반장)에게 떨어져 사망</t>
  </si>
  <si>
    <t xml:space="preserve">화물트럭 적재함에서 지게차를 이용한 하역 작업 중 지게차 포크가 자재 하부에 충분히 들어가지 않은 상태에서 무리하게 들어올리는 순간 전도되면서 화물차 후면을 지나던 재해자가 맞음 </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</si>
  <si>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</si>
  <si>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2016년 10월경 OO교 보수공사 현장에서 OO건설(주) 소속 재해자(보통인부)가 연마재가 담긴 마대자루를 지게차 포크에 매달아 하역 운반 작업 중 지게차가 전도되면서 지게차 헤드가드에 목 부위가 협착되어 사망</t>
  </si>
  <si>
    <t>지게차 포크에 자재 마대자루를 매달아 포크를 인양한 상태에서 지게차를 후진 및 회전하는 순간 편심이 발생하여 전도되면서 지게차 헤드가드에 재해자 목이 끼임</t>
  </si>
  <si>
    <t>▶ 차랑계 하역운반기계 작업 전 사전조사 및 작업계획서 수립을 통해 작업 구간의 지반 및 환경 상태 점검
▶ 차랑계 하역운반기계 작업 시, 운전자의 좌석 안전띠 착용여부 및 면허 소지여부 등 점검</t>
  </si>
  <si>
    <t>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t>
  </si>
  <si>
    <t>사다리차 위에서 도장작업 중, 고소작업대 상부난간대가 이탈되어 근로자가 몸의 중심을 잃고 추락</t>
  </si>
  <si>
    <t>▶ 이삿짐 운반용 사다리차의 목적 외 사용금지
▶ 이삿짐 운반용 사다리차의 경우 작업자 탑승금지</t>
  </si>
  <si>
    <t xml:space="preserve">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t>
  </si>
  <si>
    <t>이동식크레인 작업 중 해지장치가 없는 훅에 자재를 결속하여 인양하는 과정에서 자재가 훅에서 이탈, 낙하하면서 재해자가 맞음</t>
  </si>
  <si>
    <t>▶ 작업 전 사전조사 및 작업계획서 수립을 통해 장비 배치구간 선정 및 중량물 취급 시 줄걸이 방식 등을 계획
▶ 시야확보가 어려운 상황에서 크레인을 이용해 자재를 인양할 경우, 사전에 적절한 신호체계를 구축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</si>
  <si>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t>
  </si>
  <si>
    <t>트럭 적재함 상부에서 자재 하역 작업 중 밟고 있던 자재가 기울면서 몸의 중심을 잃고 바닥으로 추락</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</si>
  <si>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</si>
  <si>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t>
  </si>
  <si>
    <t>트럭 적재함 상부에서 자재 하역 작업 중 발을 헛디뎌 추락</t>
  </si>
  <si>
    <t>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</si>
  <si>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지붕에서 작업 중 양중용 로프에 손목이 감기면서 이동식 크레인에 의해 순간적으로 끌려올라가다가 바닥으로 추락</t>
  </si>
  <si>
    <t>▶ 작업 전 사전 작업계획서를 수립하고, 운전원과 신호수 간에 신호체계를 구축하여 수시로 연락이 가능하도록 조치
▶ 높은 장소에서 인양 등의 작업 전 근로자 추락 방지를 위한 안전시설물을 설치 
▶ 높은 장소에서 인양 작업 시 수립된 작업계획서에 준하여 안전한 작업방법을 현장 여건에 맞게 적용하고, 기상 상황을 고려하여 작업 실시
▶ 섬유로프를 사용하여 자재 인양 시 신체 및 옷 등에 걸림방지 조치 실시</t>
  </si>
  <si>
    <t>2016년 1월중</t>
  </si>
  <si>
    <t>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t>
  </si>
  <si>
    <t xml:space="preserve">이동식크레인에 작업대(탑승설비)를 연결 설치하여 상승시키던 중 작업대 이탈방지핀 미체결로 인해 붐 헤드와 작업대가 분리되면서 재해자가 함께 추락 </t>
  </si>
  <si>
    <t>▶ 이동식크레인 등 건설기계 투입 전 검사증 등을 확인하여 불법 개조여부를 확인
▶ 이동식크레인에 탑승설비를 부착하는 경우 작업 시작 전 탑승설비와 지브 브라켓 하부의 연결핀 체결 상태 및 아웃트리거, 안전장치 이상유무 확인
▶ 작업대가 아닌 작업공간 내 별도의 위치에 안전대 부착설비를 설치하고, 근로자가 작업 중 안전대를  체결할 수 있도록 관리감독
▶ 가능한 안전인증 및 안전검사를 받은 고소작업대를 사용</t>
  </si>
  <si>
    <t>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t>
  </si>
  <si>
    <t>이동식 크레인으로 자재를 양중하던 중 양중물이 결속 불량으로 이탈하여 낙하면서 고소작업대에 탑승해 있던 재해자가 맞은 후 바닥으로 추락</t>
  </si>
  <si>
    <t>▶ 이동식 크레인을 이용하여 패널 등의 마감재 인양 전 사전 작업계획서를 수립하여, 알맞은 인양도구를 선정하여 사용
▶ 줄걸이 방식 및 바이스플라이어의 사용 금지 등 관계근로자 특별교육 실시
▶ 이동식 크레인 인양작업 시 인양물이 낙하할 수 있는 구간에는 접근금지 조치를 하여 타 공종과 혼재작업이 되지 않도록 관리감독
▶ 고소작업대의 작업대에 안전난간을 설치하고, 근로자 안전대 체결 등의 추락방지조치</t>
  </si>
  <si>
    <t>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</si>
  <si>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</si>
  <si>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</si>
  <si>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t>
  </si>
  <si>
    <t>굴삭기 버킷에 탑승하여 벽체 천공 작업 중 작업진동 등에 의해 몸의 중심을 잃고 바닥으로 추락</t>
  </si>
  <si>
    <t>▶ 굴착기 사용 시 버킷에 작업자 탑승 및 작업 행위를 금지하며 고소작업이 필요한 경우, 고소작업대, 이동식 비계 등을 설치하여 작업 실시
▶ 작업자의 개인보호구, 안전대 체결여부 점검 및 관리감독</t>
  </si>
  <si>
    <t>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</si>
  <si>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t>
  </si>
  <si>
    <t>전주를 와이어로프로 묶어 이동식 크레인을 통한 인양작업 중, 와이어로프가 하중을 견디지 못하고 절단되어 전주 이탈로 근로자 타격</t>
  </si>
  <si>
    <t>▶ 인양 중인 화물을 내려놓는 경우 와이어로프 등에 장력이 걸리지 않은 상태에서 제거
▶ 작업 전 인양장비, 인양로프에 대한 결함 유무 및 기능점검 실시</t>
  </si>
  <si>
    <t>2017년 3월경 OO공사에서 재해자가 굴착기를 운전하여 경사면(경사도 약 32°)을 내려오던 중 굴착기가 전도하면서 굴착기에 깔려 사망</t>
  </si>
  <si>
    <t>▶ 급경사지로 굴삭기 이동 및 급선회 금지 (장비의 제원표 참조)
▶ 운전자는 안전벨트를 착용하고, 운전석 문은 닫은상태로 작업실시</t>
  </si>
  <si>
    <t>2017년 5월경 보안등 설치공사 현장에서 재해자가 전주를 차량탑재형 이동식크레인으로 인양하여 상차하려던 중 붐이 파손되어 떨어지면서 재해자를 가격하여 사망</t>
  </si>
  <si>
    <t>2017년 12월경 OO공사에서 재해자가 굴착기 뒤쪽으로 이동하던 중 회전하는 굴착기 몸체 후미와 콘크리트 구조물 사이에 끼어 사망</t>
  </si>
  <si>
    <t>작업전선 제거를 위한 이동 중 굴삭기 회전에 의한 굴삭기와 구조물 사이에 협착</t>
  </si>
  <si>
    <t>▶ 협착위험이 있는 작업 시 근로자 작업구역 설정을 통한 위험작업반경내 근로자 출입금지조치 실시
▶ 굴삭기 작업 전 후방카메라 작동여부 점검을 통한 안전조치 실시</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</si>
  <si>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</si>
  <si>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</si>
  <si>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</si>
  <si>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</si>
  <si>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</si>
  <si>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</si>
  <si>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</si>
  <si>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</si>
  <si>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</si>
  <si>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</si>
  <si>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</si>
  <si>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</si>
  <si>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</si>
  <si>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</si>
  <si>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</si>
  <si>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</si>
  <si>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</si>
  <si>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</si>
  <si>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</si>
  <si>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</si>
  <si>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</si>
  <si>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</si>
  <si>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</si>
  <si>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</si>
  <si>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2019년 7월경 OO 현장에서 재해자가 지상1층 중앙부에서 설비폐자재를 화물자동차로 반출하기 위해 차량 안내하면서 이동 중 후진으로 주행하는 화물자동차와 충돌</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</si>
  <si>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</si>
  <si>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</si>
  <si>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</si>
  <si>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</si>
  <si>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</si>
  <si>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</si>
  <si>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</si>
  <si>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 xml:space="preserve"> 2017년 4월</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</si>
  <si>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</si>
  <si>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</si>
  <si>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</si>
  <si>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</si>
  <si>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</si>
  <si>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</si>
  <si>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</si>
  <si>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</si>
  <si>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</si>
  <si>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2016년 10월경 OOO도 OO시 소재 OOOO구역 정비공사 수로관(플륨관) 설치작업 현장에서 ㈜OOOO 소속 재해자(OOO)가 통행차량 유도를 위해 도로상에서 교통정리 중 후진하는 굴삭기에 부딪혀 사망한 재해 임.</t>
  </si>
  <si>
    <t>수로관(플륨관) 설치작업 현장에서 근로자가 도로상에서 통행차량을 통제하던 중 후진하는 굴삭기와 충돌</t>
  </si>
  <si>
    <t>▶ 차량계 건설기계 작업반경 내 근로자 접근 금지 조치 및 유도자 배치
▶ 차량 통행이 많은 경우 교통신호수 추가 배치</t>
  </si>
  <si>
    <t>2016년 7월경 지방하천 정비공사에서 재해자가 제방 돌망태 조립작업 중 돌망태석을 운반하기 위해 후진하던 덤프트럭과 충돌하여 사망</t>
  </si>
  <si>
    <t>제방 돌망태석 운반을 위해 후진하던 덤프트럭에 충돌</t>
  </si>
  <si>
    <t>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t>
  </si>
  <si>
    <t>제초작업 중 후진하는 골프 카트(작업용 전동카트)에 깔림</t>
  </si>
  <si>
    <t xml:space="preserve">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t>
  </si>
  <si>
    <t>임목폐기물 상차 후 도로변에 잔재물을 모으던 중 집게차 측면의 철판난간대가 떨어져 근로자를 강타</t>
  </si>
  <si>
    <t>▶ 차량계 하역운반기계 사용할 경우 작업계획서를 작성하고 작업계획에 맞게 작업실시
▶ 자재인양 등 중량물 취급작업 시 낙하위험 지역에 대해 근로자 출입 통제</t>
  </si>
  <si>
    <t>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t>
  </si>
  <si>
    <t>조경작업 중(또는 이동중) 주변 굴삭기에 깔림</t>
  </si>
  <si>
    <t>6.1.2 조경 시공 및 설치</t>
  </si>
  <si>
    <t>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t>
  </si>
  <si>
    <t>화단 조경작업을 위한 수목 고르기 및 심기 작업준비 중 지게차가 보∙차도경계석을 넘어와 근로자와 충돌</t>
  </si>
  <si>
    <t>▶ 운전원이 차량 이탈 시 시동키를 운전대에서 분리 또는 잠금장치 실시 
▶ 지게차 제동장치 등 주요장치의 작업 시작 전 안전점검 실시</t>
  </si>
  <si>
    <t>2016년 9월경 펜션 신축공사에서 재해자가 굴착기 옆에서 돌쌓기 작업을 하던 중 탈락한 버킷에 깔려 사망</t>
  </si>
  <si>
    <t>절토사면의 돌쌓기 작업을 위해 굴삭기의 채버켓(채바가지) 옆에서 작업하던 중 연결핀이 설치되어 있지 않은 채버켓이 탈락하면서 채버켓에 깔림</t>
  </si>
  <si>
    <t>2017년 5월경 조경석쌓기 현장에서 재해자가 굴착기와 같이 조경석을 쌓던 중 굴착기 붐이 보호수 가지를 건드려 부러진 나뭇가지가 아래로 떨어져 머리를 가격하여 사망</t>
  </si>
  <si>
    <t>굴삭기로 조경석을 쌓던 중 부러진 나뭇가지가 근로자의 머리로 낙하</t>
  </si>
  <si>
    <t>▶ 나뭇가지 등 낙하물에 의한 위험 방지를 위해 낙하위험지역의 근로자 불필요한 출입 통제(출입 시 관리감독자 등 감독하에 출입)
▶ 개인 보호구 지급 및 착용 철저</t>
  </si>
  <si>
    <t>2018년 2월경</t>
  </si>
  <si>
    <t>2018년 2월경 공동주택 신축공사에서 재해자가 신호수 업무를 수행하던 중 덤프트럭 운전원의 요청에 의해 덤프트럭 적재함 후면 잔여 흙을 제거하던 과정에서 적재함 후미와 후문 사이에 두부가 협착되어 사망</t>
  </si>
  <si>
    <t>조경작업용 덤프트럭 운전자가 적재함과 적재함 후문 사이에서 흙을 제거하던 중 트럭이 움직여 후문에 부딪힘</t>
  </si>
  <si>
    <t>2018년 4월경 도로 정비공사에서 재해자가 굴착기를 이용하여 자재운반하고 후진으로 경사길을 내려오던 중 굴착기가 전도되어 충돌 후 사망</t>
  </si>
  <si>
    <t>▶ 차량계 건설기계 전도 방지를 위해 급경사 구간 사면완화 작업 조치
▶ 차량계 건설기계 사용시 작업 장소 내에 근로자의 출입 통제
▶ 유도자를 배치하여 차량계 건설기계 유도</t>
  </si>
  <si>
    <t>2018년 5월경 아파트 신축공사에서 조경토 평탄작업과 제석작업을 하던 중 출발하던 굴착기 바퀴에 협착되어 2명 사망, 1명 부상</t>
  </si>
  <si>
    <t xml:space="preserve">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t>
  </si>
  <si>
    <t>눈썰매장 정상부에 정차된 살수차가 뒤로 밀려 하부 가설도로 경사면에서 전복</t>
  </si>
  <si>
    <t>▶ 차량운행 중 넘어지거나 굴러 떨어질 위험이 있는 운행구간에서 차량 유도자를 배치하여 전복사고 예방
▶ 현장에서 작업하는 노후 된 살수차 등의 차량계 하역운반기계 및 건설기계는 정기적으로 자동차검사 실시 및 작업전 제동장치 등의 기능 점검</t>
  </si>
  <si>
    <t>2019년 4월경 수목 이식공사 현장에서 재해자가 적재한 소나무를 고정용 고무로프로 결박하는 작업 중 고무로프가 끊어지면서 몸의 중심을 잃고 0.8m 아래 바닥으로 추락하여 사망</t>
  </si>
  <si>
    <t>굴취한 소나무 1주를 운반하기 위해 소형 화물자동차(1톤)에 소나무를 싣고 화물 고정용 고무로프로 결박하는 작업 중 고무로프가 끊어지면서 몸의 중심을 잃고 화물자동차의 적재함에서 도로 바닥면으로 추락</t>
  </si>
  <si>
    <t>2019년 5월경 조경공사에서 재해자가 굴착기와 자연석 인양 작업 중 체인이 벗겨지며 자연석이 덮쳐 사망</t>
  </si>
  <si>
    <t>굴삭기로 조경석을 쌓던 중 인양줄걸이가 벗겨지면서 조경석이 전도되어 이에 깔림</t>
  </si>
  <si>
    <t>2019년 10월경 산업단지 내 전기공사에서 재해자가 신호등 기초구조물 매설작업을 하던 중 PC기초를 양중하던 굴착기가 균형을 잃고 넘어지면서 굴착기 붐대에 깔려 사망</t>
  </si>
  <si>
    <t>굴삭기를 이용하여 PC 기초 콘크리트 양중작업 중 굴삭기가 전도되면서 인근 작업자가 붐대에 깔림</t>
  </si>
  <si>
    <t>2020년 3월경 수목식재 사업현장에서 재해자가 화단 정리작업을 위해 이동하던 중 잔가지를 톤마대에 담고 매달아 이동하던 굴착기에 깔려 사망</t>
  </si>
  <si>
    <t>굴삭기로 잔가지를 톤백마대에 담아 함께 이동 중 뒤따라오던 굴삭기에 깔림</t>
  </si>
  <si>
    <t>2020년 7월경 아파트 하자보수공사에서 재해자가 퇴근하던 중 굴착기에 충돌하여 넘어진 후 앞바퀴에 하반신 일부(다리)가 깔려 사망</t>
  </si>
  <si>
    <t>7.1.1 포장 장비 반입</t>
  </si>
  <si>
    <t>2017년 12월경 고속국도 건설공사에서 재해자가 도로 레벨측량 작업 중 후진하는 덤프트럭에 깔려 사망</t>
  </si>
  <si>
    <t>2018년 5월경 도로 포장공사 현장에서 재해자가 화물트럭 하부 정비작업 중 갑자기 경사면 아래로 굴러가면서 두부가 협착되어 사망</t>
  </si>
  <si>
    <t>경사면에 주차된 차량이 브레이크 이상으로 굴러가면서 근로자 충돌</t>
  </si>
  <si>
    <t>2018년 5월경 포장공사 현장에서 재해자가 거푸집을 들고 이동중 포장작업을 위해 레미콘을 싣고 후진 중이던 덤프트럭에 깔려 사망</t>
  </si>
  <si>
    <t>2021년 6월경 도로 포장보수공사현장에서 재해자가 교통신호를 하던 중 작업 예정구간으로 이동하기 위해 후진하던 덤프트럭에 깔려 사망</t>
  </si>
  <si>
    <t>2016년 4월경 도로 포장공사현장에서 재해자가 덤프트럭 운행구간에 서있던 중 후진하던 덤프트럭에 치여 사망</t>
  </si>
  <si>
    <t>2016년 8월경 도로 포장공사에서 재해자가 탠덤롤러 운전 후 하차하여 타이어 롤러 근처 서있다가 후진하는 타이어 롤러와 충돌하여 사망</t>
  </si>
  <si>
    <t>2016년 12월경 도로개설공사 현장에서 재해자가 자전거도로 작업을 마무리 하던 중 후진하던 타이어롤러에 깔려 사망</t>
  </si>
  <si>
    <t>2017년 1월경 도로 포장공사현장에서 재해자가 기존도로 아스콘 절삭 작업을 하던 중 후진하던 덤프트럭에 치여 사망</t>
  </si>
  <si>
    <t>2017년 11월경 도로 개설현장에서 재해자가 터널 내부에서 수평 고르기 작업을 하던 중 후진하는 살수차(25t)에 깔려 사망</t>
  </si>
  <si>
    <t>2017년 12월경 공장 신축공사 현장에서 재해자가 아스팔트 포장작업 중 후진하는 덤프트럭(25.5t)과 아스팔트 피니셔 사이에 끼여 사망</t>
  </si>
  <si>
    <t>2018년 4월경 도로 포장공사 현장에서 재해자가 작업구간 내 주변 차량을 통제하던 중 후진하던 타이어롤러에 깔려 사망</t>
  </si>
  <si>
    <t>2018년 5월경 도로 포장보수공사에서 재해자가 주행차량 신호업무를 하던 중 후진하던 타이어롤러에 충돌협착하여 사망</t>
  </si>
  <si>
    <t>2018년 5월경 국도 개선공사현장에서 재해자가 롤러를 후진하던 중 다짐작업구간 단부에서 2.5m 사면 아래로 굴러 떨어지면서 롤러 뒷바퀴에 깔려 사망</t>
  </si>
  <si>
    <t>2018년 5월경 포장보수공사 현장에서 재해자가 덤프트럭의 신호를 보던 중 덤프트럭 운전자가 갑자기 보이지 않는 재해자를 인지하지 못하고 후진하다 치여 사망</t>
  </si>
  <si>
    <t>2018년 6월경 도로 확포장공사에서 재해자가 도로 아스콘 포장작업 진행을 위해 횡단하던 중 회전교차로에 진입하던 굴착기에 깔려 사망</t>
  </si>
  <si>
    <t>적재물로 인해 시야가 미확보된 굴삭기에 주변 근로자가 깔림</t>
  </si>
  <si>
    <t>2019년 5월경 도로 포장공사에서 재해자가 교통차단 시설을 옮기려던 중 후진하는 작업보호차량에 깔려 사망</t>
  </si>
  <si>
    <t>2019년 6월경 하수시설물 보수공사에서 재해자가 4.5t 덤프트럭 상부에서 작업을 준비하던 중 추락하여 사망</t>
  </si>
  <si>
    <t>횡단 빗물받이 주변 아스콘 포장을 하기 위해 덤프트럭(화물자동차) 상부에서 작업을 준비하던 중 중심을 잃고 추락</t>
  </si>
  <si>
    <t>2019년 7월경 도로 포장공사 현장에서 재해자가 포장온도를 확인하던 중 후진하던 타이어올러에 깔려 사망</t>
  </si>
  <si>
    <t>2019년 12월경 도로 포장공사에서 재해자가 콘크리트 포장작업을 위해 거리 측정을 도와주던 중 후진으로 운전 중인 화물트럭적재함(2.5t) 후면부에 깔려 사망</t>
  </si>
  <si>
    <t>2020년 4월경 도로 포장공사에서 재해자가 도로 주행차량 통행을 유도하던 중 폐기물을 싣기 위해 후진하던 폐기물 운반용 덤프트럭(5t)에 깔려 사망</t>
  </si>
  <si>
    <t>2020년 5월경 도로 확포장공사에서 노면파쇄기를 운반해 온 트레일러 운전자인 재해자가 후진으로 작업 중인 스키드로더 바퀴에 깔려 사망</t>
  </si>
  <si>
    <t>2020년 7월경 도로 건설현장에서 재해자가 굴착기 옆을 이동하던 중 굴착기의 붐대가 빠르게 회전하여 1차 충돌 후 정지상태의 콘크리트 피니셔와 2차 충돌 후 사망</t>
  </si>
  <si>
    <t>시야가 미확보된 상태에서 회전하는 굴착기 붐태에 충돌</t>
  </si>
  <si>
    <t>2021년 4월경 도로 포장공사에서 재해자가 덤프트럭이 부은 아스콘을 삽으로 펼치는 작업을 하던 중 추가 공급을 위해 후진하던 덤프트럭에 깔려 사망</t>
  </si>
  <si>
    <t>2021년 5월경 노후관료 교체공사에서 재해자가 임시 포장구간을 청소하던 중 아스팔트 평탄화 작업을 위해 후진하던 굴착기에 깔려 사망</t>
  </si>
  <si>
    <t>2021년 8월경 도로 포장공사에서 재해자가 장비유도자 역할을 하던 중 후진하는 덤프트럭(25.5.t)에 치여 사망</t>
  </si>
  <si>
    <t>2021년 9월경 하천 재해예방사업 현장에서 재해자가 적재함 청소작업 하던 중 후진하는 스키드 로더와 덤프트럭 적재함 사이에 협착되어 사망</t>
  </si>
  <si>
    <t>2021년 9월경 포장복구공사 현장에서 재해자가 포장복구 작업을 하던 중 후진하는 타이어롤러에 부딪힌 후 깔려 사망</t>
  </si>
  <si>
    <t>7.2 포설 및 다짐 작업</t>
  </si>
  <si>
    <t>7.2.1 포설 및 다짐</t>
  </si>
  <si>
    <t>2016년 1월경 부지정지공사 현장에서 재해자가 이동식 크레인을 이용하여 쇄석기 인양작업을 하던 중 인양하중을 견디지 못하고 전도되어 이동식 크레인에 깔려 사망</t>
  </si>
  <si>
    <t>이동식크레인을 이용하여 쇄석기(콘크러셔) 톱셀 인양작업을 하던 중 인양하중을 견디지 못해 전도되던 이동식크레인 붐대에 깔림</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</si>
  <si>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</si>
  <si>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2016년 5월경 부지조성공사에서 재해자가 덤프트럭 신호를 보던 중 몸의 중심을 잃고 갯벌에 빠져 사망</t>
  </si>
  <si>
    <t>덤프트럭이 매립지반 단부에서 하역하는 순간 매립지반 단부가 침하되어 덤프트럭이 전락</t>
  </si>
  <si>
    <t>▶ 매립지반 단부에서 하역작업을 실시하는 경우 무리하게 단부에 접근을 금지
▶ 기계 운전 시작 시 근로자 배치 및 교육, 작업방법, 방호장치 등 위험방지를 위한 조치 실시
▶ 슬래그 하역작업 시 하역작업 부근에는 근로자 출입금지 및 유도자 배치</t>
  </si>
  <si>
    <t>2016년 9월경 철도 유지보수공사에서 재해자가 자재를 반출하기 위해 궤도를 따라 이동하던 중 운행중이던 전동열차와 충돌하여 2명 사망</t>
  </si>
  <si>
    <t>근로자가 침목 하부로부터 교체된 폐자갈을 반출하기 위해 궤도를 따라 작업지점으로 이동 중 열차와 충돌</t>
  </si>
  <si>
    <t>2016년 10월경 국도건설공사현장에서 재해자가 진동롤러를 사용하여 노상 다짐작업 중 도로 경사면으로 굴러 떨어져 장비협착되어 사망</t>
  </si>
  <si>
    <t>도로 성토부 노상 다짐 작업 중 진동로울러가 도로 경사면 단부 끝으로 굴러 떨어지며 전도되어 운전중이던 근로자가 튕겨 나와 진동로울러에 깔림</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</si>
  <si>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</si>
  <si>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2017년 1월경 고속도로 터널현장에서 재해자가 이동하던 중 덤프트럭(15t)에 부딪혀 사망</t>
  </si>
  <si>
    <t>2017년 3월경 도로 포장공사현장에서 재해자가 타이어롤러를 운전하여 포장 다짐작업을 하던 중 후진하다 갓길 측면에 굴러 5m 아래로 추락하여 사망</t>
  </si>
  <si>
    <t>2017년 4월경 보도블럭 보수 및 도로 재포장 공사현장에서 재해자가 아스콘 다짐작업 후 주차장 램프로 후진하여 이동하던 중 천정과 타이어 롤러 핸들사이에 끼여 사망</t>
  </si>
  <si>
    <t>아파트 지하주차장 램프로 타이어로라가 후진하여 이동 중 지하주차장 램프 천정 콘크리트 면과 타이어로라 핸들에 근로자가 끼임</t>
  </si>
  <si>
    <t>▶ 지하주차장 램프로 후진하는 타이어로라 주변에 장비유도자 배치
▶ 차량계 건설기계가 사각지대 발생가능성이 높은 장소에서 단독으로 작업을 금지</t>
  </si>
  <si>
    <t>2017년 5월경 단지 부지조성공사에서 재해자가 불도저를 운행하여 경사지에서 흙을 밀어내리는 작업을 하던 중 주변 지반이 무너져 전복되어 주변 토사에 매몰되어 사망</t>
  </si>
  <si>
    <t>불도져가 경사지에서 흙을 밀어내리는 작업을 위해 경사로를 운행하여 이동 중 주변 지반이 무너져 불도저가 전복되어 주변 토사에 매몰됨</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</si>
  <si>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</si>
  <si>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2017년 10월경 아파트 건설현장에서 재해자가 현장 관리감독하던 중 후진하던 덤프트럭(25t)에 치여 사망</t>
  </si>
  <si>
    <t>2017년 11월경 도로 확포장공사현장에서 재해자가 덤프트럭을 운전하여 경사로를 올라가던 중 차량의 이상함을 느끼고 점검하던 중 브레이크가 풀리면서 차량에 깔려 사망</t>
  </si>
  <si>
    <t>하적(下積)작업을 위한 불도저 수리 후 작동유무를 확인하는 과정에서 불도저가 후진하자 시동을 끄기 위해 운전석으로 탑승시도 중 불도저 무한궤도에 깔림</t>
  </si>
  <si>
    <t>2018년 9월경 도시가스 배관공사 현장에서 재해자가 바닥면 골재 정리 작업중인 굴착기 후면으로 이동하던 중 굴착기가 갑자기 후진하여 충돌 후 깔려 사망</t>
  </si>
  <si>
    <t>2018년 10월경 야적장에서 재해자가 불도저 수리후 작동유무를 확인하던 중 불도저가 후진하자 시동을 끄기위해 운전석에 탑승시도 중 깔려 사망</t>
  </si>
  <si>
    <t>2018년 12월경 부지조성공사에서 재해자가 타이어 롤러를 운전하던 중 교량 하부 구조물에 협착되어 사망</t>
  </si>
  <si>
    <t>2019년 2월경 도로 개설공사 현장에서 재해자가 진동롤러를 운행하여 이동하던 중 진동롤러가 5.3m 아래로 떨어지면서 진동롤러에 깔려 사망</t>
  </si>
  <si>
    <t>2019년 5월경 하천 정비공사현장에서 재해자가 일반차량 교통통제 신호를 보던 중 후진하던 굴착기에 깔려 사망</t>
  </si>
  <si>
    <t>2020년 6월경 도로공사 현장에서 재해자가 이동하던 중 운행 중이던 덤프트럭(25.5t)에 부딪혀 사망</t>
  </si>
  <si>
    <t>2020년 7월경 골프장 부지조성공사 현장에서 재해자가 덤프트럭 후면과 적재함 문사이의 흙을 털어내는 작업 중 후진하던 굴착기가 덤프트럭 적재함 문에 충돌하면서 그 사이 협착되어 사망</t>
  </si>
  <si>
    <t>2020년 8월경 야적장에서 재해자가 덤프트럭 운행하던 중 차량이 조수석 방향으로 전도되면서 사망</t>
  </si>
  <si>
    <t>하역 작업 중 적재함을 상승시키자 덤프트럭이 균형을 잃고 전도됨</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</si>
  <si>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</si>
  <si>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2021년 7월경 구조물 개량공사 현장에서 재해자가 탠덤롤러 운전석에서 내려오던 중 몸의 중심을 잃고 1.8m 아래로 떨어져 사망</t>
  </si>
  <si>
    <t>탠덤롤러 운전원이 다음 작업 구간으로 이동하기 위해 탠덤롤러를 트레일러에 싣고 운전석에서 내려오던 중 몸의 중심을 잃고 바닥으로 떨어짐</t>
  </si>
  <si>
    <t>▶ 건설기계에 승하강 시 승하강 사다리, 통로, 계단 등으로만 승하강 실시
▶ 기계 운전 시작 시 근로자 배치 및 교육, 작업방법, 방호장치 등 위험방지를 위한 조치 실시
▶ 개인보호구 지급 및 착용</t>
  </si>
  <si>
    <t>2021년 7월경 공장 신축공사 현장에서 재해자가 롤러를 운행하여 바닥 다짐작업을 하던 중 롤러를 정지시키지 않고 하차하여 롤러에 깔려 사망</t>
  </si>
  <si>
    <t xml:space="preserve">2018년 9월 </t>
  </si>
  <si>
    <t>2018년 9월 교량 균열 보수공사 현장에서 재해자가 하부 균열 보수작업 완료 확인 후 하부 작업대와 수직타워의 연결부가 파단되면서 42m 아래 수면으로 떨어져 익사</t>
  </si>
  <si>
    <t>굴절차 철수 과정 중 하부 작업대와 수직타워의 연결부가 걸려 무리하게 작동 중 파단되어 작업대에 있던 근로자가 수면으로 추락해 익사</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</si>
  <si>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</si>
  <si>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8.2.2 강교 슬라브 시공</t>
  </si>
  <si>
    <t>2019년 11월 육교설치 현장에서 재해자가 고소작업대에 탑승하여 하부 도장 보수작업 중 고소작업대 작업구간에 접근하던 버스와 충돌하여 4.6m 아래 바닥으로 추락하여 사망</t>
  </si>
  <si>
    <t>근로자가 고소작업대에 탑승하여 강교 하부 도장 보수 작업 중 접근하던 버스와 충돌하면서 근로자가 도로 바닥으로 추락</t>
  </si>
  <si>
    <t>▶ 고소작업대 추락에 대비하여 안전대 착용
▶ 고소작업대 사용 시 안전대 지급 및 안전대 부착설비 설치</t>
  </si>
  <si>
    <t>9. 터널공사</t>
  </si>
  <si>
    <t>9.1 라이닝 거푸집 작업</t>
  </si>
  <si>
    <t>9.1.1 라이닝 거푸집 자재반입, 하역</t>
  </si>
  <si>
    <t>2019년 9월경 OO건설(주)이 시공하는 OO노반건설공사 OO터널에서 라이닝작업 협력업체 소속 재해자가 터널 종점부 입구방향으로 이동 중 후진하는 트럭에 접촉되어 사망</t>
  </si>
  <si>
    <t>근로자용 안전통로가 미 설치된 현장에서 근로자가 터널 종점부 입구방향으로 이동 중 후진하는 트럭에 접촉</t>
  </si>
  <si>
    <t>▶ 작업장 주변 및 내부에 근로자용 안전통로 설치
▶ 차량계 건설기계와 접촉을 방지하기 위해 근로자 출입 통제 및 유도자 배치</t>
  </si>
  <si>
    <t>9.2 터널 굴착 작업</t>
  </si>
  <si>
    <t>9.2.2 터널 버널처리</t>
  </si>
  <si>
    <t>2019년 9월경 터널 건설공사에서 재해자가 버력 반출용도의 광차를 연결하던 중 광차 사이에 머리가 끼여 사망</t>
  </si>
  <si>
    <t>터널 내부 배터리카(갱내형 축전차) 하역을 마치고 수직구 방향으로 이동하던 중 근로자 본인이 운전하던 배터리카가 움직여 운반대차 하부 철제바퀴와 레일 사이에 끼임</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</si>
  <si>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</si>
  <si>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9.4 수직구 작업</t>
  </si>
  <si>
    <t>9.4.1 수직구 흙막이 지보공 시공</t>
  </si>
  <si>
    <t>2018년 9월경 전철 건설공사현장에서 재해자가 철근 산소용단 작업 중 굴착기의 후방 무한궤도에 깔려 사망</t>
  </si>
  <si>
    <t>9.5 갱구부 작업</t>
  </si>
  <si>
    <t>9.5.1 갱구부 보강</t>
  </si>
  <si>
    <t>2020년 6월경 전력구공사 현장에서 재해자가 수직구 방향으로 이동하던 중 운전하던 운반대차 하부 철제바퀴와 레일 사이에 끼여 사망</t>
  </si>
  <si>
    <t>건설자재</t>
  </si>
  <si>
    <t>기초파일</t>
  </si>
  <si>
    <t>2017년 8월경 오수관 정비공사 현장에서 재해자가 차량 유도작업을 하던 중 인양하던 자재와 적재함 사이에 끼여 사망</t>
  </si>
  <si>
    <t>적재함 상부에서 지상에 적재된 시트 파일 상차하기 위해 유도하던 중 인양된 시트파일과 물품적재장치 격벽 사이에 끼인 후 지상으로 추락</t>
  </si>
  <si>
    <t>철골(철골자재)</t>
  </si>
  <si>
    <t>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t>
  </si>
  <si>
    <t>손상된 로프를 사용하여 가설 버팀보 보강용 Cross Beam을 해체하던 중 해체된 Cross Beam을 로프에 매달아 하부로 내리다가 끊어져 근로자가 부딪힘</t>
  </si>
  <si>
    <t>▶ 중량물 양중작업에 사용할 장비는 사전에 상태 확인 후 실시
▶ 심하게 손상되거나 부식된 섬유로프 등 사용금지 또는 교체</t>
  </si>
  <si>
    <t>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t>
  </si>
  <si>
    <t>쐐기파일 위에 코너파일을 놓고 해체된 인양고리를 잡던 중 코너파일이 넘어져 근로자를 덮쳐 시트파일 사이에 협착</t>
  </si>
  <si>
    <t>▶ 자재 적재 기준에 따른 자재 적치 및 적재상태 상시 점검 
▶ 협착위험이 있는 작업반경 내에 직접 들어가서 작업 금지</t>
  </si>
  <si>
    <t>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t>
  </si>
  <si>
    <t>PHC 파일하역 작업을 신호하던 근로자가 파일 하역작업 시 받침목 위에서 구르는 파일과 파일 사이로 넘어지면서 안면부가 파일사이에 끼임</t>
  </si>
  <si>
    <t>▶ 천장 작업시 비계, 고소작업대 등의 적절한 작업발판을 설치하는 적절한 작업방법으로 수행 
▶ 작업 전 해체대상 구조물에 대한 사전조사 실시 
▶ 해체 방법 및 해체 순서 도면, 가설설비∙방호설비∙환기설비 및 살수∙방화설비 등의 방법이 포함된 작업계획서 작성 및 준수</t>
  </si>
  <si>
    <t>2021년 1월경 ㈜OO건설 OO공동주택 신축공사 현장에서 작업자가 PHC파일을 서비스홀로 이동 중 PHC파일 와이어로프 줄걸이가 빠지면서 인근 타워크레인 기초 거푸집작업을 하던 재해자(형틀공)가 파일에 깔려 사망</t>
  </si>
  <si>
    <t>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t>
  </si>
  <si>
    <t>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t>
  </si>
  <si>
    <t>굴삭기를 이용하여 빔클램프(하카)로 매달아(외줄) 버팀보 인양 작업 중 버팀보가 중앙파일에 부딪혀 빔클램프(히카)로부터 이탈하면서 낙하하여 버팀보를 잡고있던 근로자가 협착됨</t>
  </si>
  <si>
    <t>▶ 중량물의 취급작업 계획서를 준수하여 버팀보를 2줄로 인양하여 설치함 
▶ 버팀보에 인양용 러그를 설치하여 인양, 유도로프를 설치하여 근로자와 최대한 이격하여 작업
▶ 버팀보(Flange) 등에 샤클을 활용하여 인양 등 버팀보 인양 작업 방법을 개선</t>
  </si>
  <si>
    <t>기타자재(내부마감재,시멘트,마대)</t>
  </si>
  <si>
    <t>2020년 3월경 아파트 신축공사장에서 재해자가 영구식 앵커 PC판넬 설치작업 중 판넬 후면의 버팀목이 부러져 넘어지면서 깔려 사망</t>
  </si>
  <si>
    <t>PC옹벽 판넬 설치 중 미고정된 PC판넬이 전도되면서 근로자가 협착</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</si>
  <si>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</si>
  <si>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t>
  </si>
  <si>
    <t>덤프트럭 통행을 위한 굴착구간 상부면 철판 설치작업을 하다가 굴삭기에 철판을 결속한 슬링벨트가 파단되며 철판에 깔림</t>
  </si>
  <si>
    <t>▶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t>
  </si>
  <si>
    <t>철근콘크리트자재(철근,콘크리트,PC)</t>
  </si>
  <si>
    <t xml:space="preserve"> 2018년 9월</t>
  </si>
  <si>
    <t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t>
  </si>
  <si>
    <t>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t>
  </si>
  <si>
    <t>맨홀에 슬링벨트를 걸어 굴삭기를 사용하여 끌어당겨 옮기던 중 맨홀이 굴착법면 아래로 떨어져 하부 작업자 깔림</t>
  </si>
  <si>
    <t>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t>
  </si>
  <si>
    <t>굴삭기로 맨홀 양중 설치작업 중 인양줄걸이가 파단되면서 떨어지는 맨홀에 맞음</t>
  </si>
  <si>
    <t>▶ 추락위험 장소에 대해 근로자가 임의 출입을 방지하도록 방책 등 설치
▶ 관로부설 위치로의 이동을 위해 근로자 이동 통로 설치 또는 가설계단 등 안전한 통로 설치</t>
  </si>
  <si>
    <t>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t>
  </si>
  <si>
    <t>상수도관 설치 후 누설시험(기압시험)을 수행하던 중 배관 내부 압력에 의해 이탈된 누설시험용 연결 배관부에 맞음</t>
  </si>
  <si>
    <t>▶ 관리감독자를 두어 기계, 기구 또는 설비의 안전점검 및 이상 유무의 확인 실시
▶ 관로 내부 가압중 갑작스러운 파단 등에 대비하기 위한 상황에 맞는 개인보호구 지급 및 착용</t>
  </si>
  <si>
    <t>철골(철골구조물)</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</si>
  <si>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</si>
  <si>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철골빔 상부에서 안전대를 미착용하던 재해자가 이동하던 중 몸의 중심을 잃고 바닥으로 추락</t>
  </si>
  <si>
    <t>▶ 안전대 부착설비,  추락방지망 등의 안전방호조치 실시
▶ 근로자 개인보호구, 안전대 체결여부 점검 및 관리감독</t>
  </si>
  <si>
    <t>2016년 4월경 OO철거현장에서 재해자가 해체작업으로 지상3층 부분 철골빔(폭20cm)상부를 이동하던 중 몸의 중심을 잃고 약 8m아래 지상 바닥으로 추락하여 사망</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</si>
  <si>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</si>
  <si>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</si>
  <si>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</si>
  <si>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화재</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</si>
  <si>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</si>
  <si>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</si>
  <si>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</si>
  <si>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</si>
  <si>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</si>
  <si>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</si>
  <si>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2017년 11월경 OO건설(주) OO신축공사 현장에서 기도원 내부 2층 조적벽체 철거작업 중 전도되는 조적식벽체에 재해자가 깔려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</si>
  <si>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</si>
  <si>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</si>
  <si>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</si>
  <si>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</si>
  <si>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</si>
  <si>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2018년 3월경 재해자가 OO철거공사 현장에서 3층 철거작업이 얼마나 진행되었나 작업상황을 확인하고 계단을 통해 내려오던 중 철거 잔해물인 조적 블럭에 맞아 사망</t>
  </si>
  <si>
    <t>2018년 4월경 건물 구조물 상부 벽체 일부(블럭벽)가 낙하하여 하부에서 정리 작업 중이던 재해자가 무너지는 가건물에 깔려 사망</t>
  </si>
  <si>
    <t>2018년 7월경 OO철거공사 현장에서 재해자가 공장동 조적벽체 외부에서 휴식중 공장동 천장 철제 트러스와 연결 설치되어 있던 조적 벽체일부가 전도 되면서 조적 벽체에 깔려 사망</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</si>
  <si>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</si>
  <si>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</si>
  <si>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</si>
  <si>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2019년 11월경 OO공장 철거공사 현장에서 재해자가 바닥에 놓여진 겐트리크레인의 해체 및 반출을 위해 거더 상부의 핸드레일 절단작업을 하던 중 3m 아래로 추락하여 사망</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</si>
  <si>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</si>
  <si>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</si>
  <si>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</si>
  <si>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</si>
  <si>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</si>
  <si>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</si>
  <si>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</si>
  <si>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</si>
  <si>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</si>
  <si>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2020년 8월경 OO철거공사 현장에서 재해자가 공장 지붕 철골 위에 올라가 외부 벽체 샌드위치 패널 철거 작업을 하던 중 몸의 중심을 잃고 지상 콘크리트 바닥(h≒7.0m)으로 추락하여 사망</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</si>
  <si>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</si>
  <si>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</si>
  <si>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</si>
  <si>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12.2.10 안전가시설(휀스, 안전난간)</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</si>
  <si>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</si>
  <si>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</si>
  <si>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</si>
  <si>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</si>
  <si>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</si>
  <si>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</si>
  <si>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t>
  </si>
  <si>
    <t xml:space="preserve"> 타워크레인으로 자재 인양 중 자재와 슬링벨트의 불완전 체결로 인해 자재가 낙하하며 지상 작업자들의 머리 등을 가격</t>
  </si>
  <si>
    <t>▶ 인양작업 시 자재와 슬링벨트 체결상태 점검 철저
▶ 인양작업 시 신호수 배치, 작업지휘자 지정, 근로자 출입통제 등의 재해예방조치 실시</t>
  </si>
  <si>
    <t>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</si>
  <si>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타워크레인으로 콘크리트 타설용 호퍼 양중 작업 중, 근로자가 호퍼를 발견하지 못하고 호퍼 하부와 트러스 지지대 상부 사이에 깔림</t>
  </si>
  <si>
    <t>▶ 타워크레인을 사용하여 작업 시 호퍼 용량을 준수하여 작업 실시
▶ 타워크레인 작업 시 인양중인 화물 낙하방지를 위해 신호수 배치 및 경적신호 실시
▶ 타워크레인 인양 시 작업반경 하부에 근로자 출입 통제</t>
  </si>
  <si>
    <t>2016년 2월경 재해자가 쇼트 공장 내에서 제품에 테이프를 부착하는 작업 중에 지게차(7톤)로 입고 중이던 제품과 기 작업 중이던 제품 사이에 끼여 사망</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</si>
  <si>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</si>
  <si>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</si>
  <si>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</si>
  <si>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</si>
  <si>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</si>
  <si>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</si>
  <si>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</si>
  <si>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</si>
  <si>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</si>
  <si>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</si>
  <si>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</si>
  <si>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</si>
  <si>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</si>
  <si>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</si>
  <si>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</si>
  <si>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</si>
  <si>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</si>
  <si>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</si>
  <si>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</si>
  <si>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</si>
  <si>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</si>
  <si>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</si>
  <si>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</si>
  <si>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</si>
  <si>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</si>
  <si>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</si>
  <si>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</si>
  <si>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</si>
  <si>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</si>
  <si>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</si>
  <si>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2021년 12월</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</si>
  <si>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</si>
  <si>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</si>
  <si>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</si>
  <si>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2018년 6월경 OO산업(주) 다중주택 신축공사현장에서 재해자가 지상3층 바닥에서 이동 중 몸의 중심을 잃고 쓰러지면서 수직철근(벽체)에 찔려 사망</t>
  </si>
  <si>
    <t>철근 상부 찔림 방호조치 미실시한 상태에서 슬래브 상판 바닥에서 이동 중 실족으로 몸의 중심을 잃고 쓰러지면서 수직철근(벽체)에 근로자 찔림</t>
  </si>
  <si>
    <t>▶ 근로자가 작업장에서 넘어지거나 미끄러지는 등의 위험이 없도록 통로용 발판 설치 등 안전한 통로 확보
▶ 철근 보호캡 설치 등 찔림 방호조치 실시</t>
  </si>
  <si>
    <t>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t>
  </si>
  <si>
    <t>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t>
  </si>
  <si>
    <t>▶ PC구조물 조립 시 낙하 위험 예방을 위해 작업 전 시공오차 확인 및 조정 실시
▶ 추락 방지를 위한 안전대 부착설비 설치 및 안전대 착용</t>
  </si>
  <si>
    <t>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t>
  </si>
  <si>
    <t>가설 휀스 고정이 불량한 상태에서 바람에 의해 현장가설펜스 1장이 탈락되어 지하 계단실 형틀 작업중인 근로자 가격 이후 근로자 추락</t>
  </si>
  <si>
    <t>▶ 가설펜스 설치 시 재료 이탈 방지를 위해 강관, 클램프 등을 이용하여 설치
▶ 추락 위험이 있는 작업 시, 안전방망, 안전난간, 안전대 부착설비 등 안전방호조치 실시</t>
  </si>
  <si>
    <t>2018년 2월경 개인이 시공하는 (주)OO공사 현장에서 재해자가 데크플레이트 판개 및 용접 작업을 위해 철골 상부 이동 중 몸의 중심을 잃고 약 5.8m 아래 바닥으로 떨어지며 사망</t>
  </si>
  <si>
    <t>추락 방지조치 미실시한 상태에서 데크플레이트 판개 및 용접 작업을 위해 철골 상부 이동 중 몸의 중심을 잃고 바닥으로 추락</t>
  </si>
  <si>
    <t xml:space="preserve">▶ 추락위험이 있는 구간에는 추락방호망, 안전난간 설치 또는 및 안전대 착용후 작업
▶ 안전난간 설치 기준 준수하여 살치 및 관리감독자 확인 </t>
  </si>
  <si>
    <t>2021년 6월경 재해자가 지하4층 기계식주차장(H≒8.75m) 시스템동바리 최상단 수평재를 밟고 서서 멍에재를 옮기는 작업 중, 자재를 전달받고 몸을 돌리는 순간 약 7.3m 아래 콘크리트 바닥으로 떨어져 사망</t>
  </si>
  <si>
    <t>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t>
  </si>
  <si>
    <t>콘크리트 양생기간 미준수한 상태에서 수직구와 본선터널을 연결하는 횡갱 터널의 풍도(지하 공기를 순환 시키는 용도의 통로) PC 슬래브 하부 동바리를 해체 하던 중, 상부의 PC 슬래브가 붕괴되면서 깔림</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</si>
  <si>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</si>
  <si>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</si>
  <si>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콘크리트 양생기간 미준수한 상태에서 콘크리트 계단의 거푸집 해체 작업을 위해 계단 하부를 지지하고 있던 강관 동바리를 제거하던 중 양생이 완료되지 않은 계단이 무너지면서 깔림</t>
  </si>
  <si>
    <t>▶ 동바리 해체 작업 시 콘크리트 붕괴를 예방하기 위해 잭 서포트 설치 등 구조 보강 후 작업진행
▶ 동바리 해체 작업 시 콘크리트의 구조 등과 같은 정보를 사전에 검토하여 적절한 작업방식을 수립 후 작업진행
▶ 동바리 해체 작업 시 콘크리트의 양생기간 준수</t>
  </si>
  <si>
    <t>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t>
  </si>
  <si>
    <t>낙하물 방지조치 미실시한 상태에서 지상층 외부계단에서 거푸집 해체작업 중 이동식크레인을 이용하여 같은층으로 인양하던 철골부재가 낙하하며 가한 충격으로 휘어지던 수직철근이 근로자 머리 가격</t>
  </si>
  <si>
    <t>▶ 이동식 크레인을 이용하여 철골부재를 인양하는 경우 사전에 근로자 출입 통제
▶ 철골부재 인양작업 시 낙하물 발생에 대비하여 작업 통제 신호수 배치</t>
  </si>
  <si>
    <t>2016년 7월경 OO개발㈜가 시공하는 근린생활 신축 현장에서 재해자가 지상 12층 피트(Pit) 이동 통로인 갱폼 작업발판에 기 적재된 철근다발을 밟는 순간 철근다발이 무너지면서 47m 아래 콘크리트 바닥으로 떨어져 사망</t>
  </si>
  <si>
    <t xml:space="preserve">이동 통로로 사용중인 갱폼 작업발판에 적재된 철근 다발을 밟아 지나가던중 철근 다발이 무너지며 근로자 추락 </t>
  </si>
  <si>
    <t>▶ 자재 인양 시 작업발판이 견딜 수 있는 하중을 고려하여 작업구간별 중량물 적재위치 확보
▶ 작업면으로부터 수직거리 10m 이내 마다 안전방망 설치</t>
  </si>
  <si>
    <t>2016년 7월경 OO성당 신축공사 현장에서 화물트럭 운전자가 인력으로 트럭 적재함에서 철근(1다발 D10mm, L=8m, 940kg)을 내리는 작업 중, 운전석 옆으로 지나가던 재해자가 떨어지는 철근다발의 끝부분에 머리를 맞아 사망</t>
  </si>
  <si>
    <t>트럭 적재함에서 하역작업 중 고정되지 않은 적재화물이 쏟아지며 근로자가 맞음</t>
  </si>
  <si>
    <t>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t>
  </si>
  <si>
    <t>타워크레인으로 운반중인 철근 다발을 신호 중 철근 운반구의 한쪽이 슬링벨트에서 탈락되면서 운반구에 실려있던 철근다발이 근로자 강타</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</si>
  <si>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</si>
  <si>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t>
  </si>
  <si>
    <t>크레인으로 철근다발 한쪽 끝단 철선에 결속 후 인양 중, 결속되어 있던 철선이 풀리며 철근다발이 근로자에게 낙하</t>
  </si>
  <si>
    <t>▶ 중량물 인양시 중량물의 취급방법, 인양장비의 재원 등 작업방법 검토
▶ 전담 신호수 배치 및 일정한 신호방법 주지
▶ 중량물 인양시 작업 하부에 근로자 출입 통제</t>
  </si>
  <si>
    <t>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t>
  </si>
  <si>
    <t>기중기를 사용하여 철근묶음을 운반 하던 중, 가장자리에 체결한 섬유로프가 벗겨져 철근묶음의 무게중심이 기울어지면서 근로자를 강타</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</si>
  <si>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</si>
  <si>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2017년 11월경 OO종합건설(주)에서 시공중인 OOOO신축공사 현장에서 재해자가 지상1층 철근야적장에서 철근 다발위에 앉아 휴식을 취하던 중지상4층(H≒14.5m)에서 각재(8cm×5cm×2,550cm,약 9kg)가 떨어져 두부에 맞아 사망</t>
  </si>
  <si>
    <t>지상층 거푸집 해체작업 중 각재가 떨어져 철근야적장에서 휴식 중이던 근로자 가격</t>
  </si>
  <si>
    <t>▶ 거푸집 해체 작업으로 인해 자재 낙하의 위험이 있는 경우 낙하물 방지망, 수직보호망, 또는 방호선반의 설치 실시
▶ 작업장 내 관계 근로자가 아닌 근로자 출입을 금지
▶ 적절한 휴게시설 설치</t>
  </si>
  <si>
    <t>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t>
  </si>
  <si>
    <t>적재된 철근을 레일로 내리는 과정에서, 철근이 레일로 흘러내리면서 작업대와 함께 전도하여 적재된 철근이 근로자를 덮침</t>
  </si>
  <si>
    <t>▶ 철근가공 시 작업대에 대하여 안정한 형태로 바닥에 고정시켜 작업대 상부에서 철근 전도 방지
▶ 철근가공 작업대 보강을 위해 닥업대 하부 버림타설 등 지반 보강, 수직대와 하부 바닥 앙카 설치, 운반 레일방향 철근 구름 방지용 스토퍼 설치 및 운반 레일 하부지지대 설치</t>
  </si>
  <si>
    <t>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t>
  </si>
  <si>
    <t>상부층 슬라브 철근 배근 작업구간에서 철근 한 가닥이 지상으로 떨어져 근로자 가격</t>
  </si>
  <si>
    <t>▶ 낙하물 위험장소에 대해 안전펜스, 안전표지판 등으로 출입금지구역 설정을 통한 근로자 출입 통제
▶ 철근가공 시 안정한 형태로 바닥에 고정시켜 철근 낙하 방지</t>
  </si>
  <si>
    <t>2015년 3월경</t>
  </si>
  <si>
    <t>2015년 3월경 OO교 설치공사 현장에서 철근공인 재해자 2명이 교대 수직철근 조립작업을 하던 중 강풍, 철근자체 중량 등의 영향으로 수평 저항력을 잃고 전도되는 수직철근에 깔려 1명 사망, 1명 부상</t>
  </si>
  <si>
    <t xml:space="preserve">교량 교대의 수직철근 조립작업 중 강풍, 철근자체 중량 등의 영향으로 수평 저항력을 잃고 전도되는 수직철근에 깔림 </t>
  </si>
  <si>
    <t>▶ 작업 전 전도 안전성 확보를 위한 작업계획서 작성 및 준수
▶ 조립철근이 외력에 견딜 수 있거나 넘어지지 않도록 견고한 구조의 버팀대 또는 지지대를 설치</t>
  </si>
  <si>
    <t>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t>
  </si>
  <si>
    <t>상부철근 지지용 철근 보강 작업 중, 상부 철근이 한쪽으로 몰려 붕괴 되면서 상∙하부근 철근 사이에 작업 중이던 근로자 협착</t>
  </si>
  <si>
    <t>▶ 중량물 취급시 안전대책이 포함된 작업계획서 작성 및 준수
▶ 경사 지지대용 철근 설치 시 X, Y열 2방향으로 설치
▶ 철근 등 중량물 취급 시 작업지휘자 지정</t>
  </si>
  <si>
    <t>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t>
  </si>
  <si>
    <t xml:space="preserve"> 날개벽 벽체 철근배근 작업과정에서 설치된 벽체철근을 넘어 이동하는 중 벽체 상부에 돌출된 수직철근에 우측 허벅지 안쪽을 찔침</t>
  </si>
  <si>
    <t>▶ 이동통로 및 작업구간 내 수직철근 돌출부 보호캡 설치 및 주변 접근통제 조치
▶ 현장 내의 작업 시 작업장으로 통하는 장소 또는 작업장 내에 안전한 통로 설치</t>
  </si>
  <si>
    <t>2021년 2월경 OO건설㈜ 하천재해예방사업 현장에서 협력업체 소속 재해자가 교량(강합성형 라멘교) 교각 기둥철근 조립 작업을 하던 중, 넘어지는 수직철근에 깔려 부상을 입은 후 사망</t>
  </si>
  <si>
    <t>벽체, 기둥 철근 배근중 버팀대 미설치로 철근이 전도되며 근로자 깔림</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</si>
  <si>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</si>
  <si>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t>
  </si>
  <si>
    <t>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</si>
  <si>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PC슬라브 설치작업 중 PC슬라브에 체결된 줄걸이가 완전히 해체되지 않은 상태에서 무전기를 통해 상승신호를 받은 크롤러크레인 기사가 크레인을 상승시켜 PC슬라브 위에 서있던 재해자가 중심을 잃고 추락</t>
  </si>
  <si>
    <t>▶ 인양중인 화물에 대한 작업방법, 신호 등을 정하여 장비기사의 임의 조작을 금지
▶ 크롤러크레인 작업 시 인양중인 화물 낙하방지를 위해 신호수 배치 및 경적신호 실시</t>
  </si>
  <si>
    <t>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t>
  </si>
  <si>
    <t>전기실 패드 콘크리트 타설 후 배관 내부 청소작업 중 콘크리트 타설용 주름관에 걸려 넘어지면서 머리를 바닥에 부딪힘</t>
  </si>
  <si>
    <t>▶ 배관 내부 청소작업시 장비 및 기계사용에 대한 작업순서, 작업방법 등이 포함된 작업계획서 작성 및 준수
▶ 주름관이 움직이지 않도록 견고히 고정하고, 근로자 접근 통제 구역 지정 및 신호수 배치</t>
  </si>
  <si>
    <t>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</si>
  <si>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데크플레이트 콘크리트 타설 작업 중 데크플레이트(구조적 불안정, 작업방법 불량 등)가 붕괴</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</si>
  <si>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</si>
  <si>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t>
  </si>
  <si>
    <t>이동통로가 없는 상태에서 슬래브 및 벽체 콘크리트 타설공사의 다짐작업을 위해 벽체 조립철근을 넘어가던 중 몸의 중심을 잃고 쓰러지면서 조립철근에 찔림</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</si>
  <si>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</si>
  <si>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 xml:space="preserve">2017년 6월 </t>
  </si>
  <si>
    <t>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t>
  </si>
  <si>
    <t>측구 거푸집 작업발판 위에서 원동기식 바이브레이터 엔진시동 준비를 하던 중 콘크리트펌프카의 호스가 요동·선회하면서 재해자를 강타하여 안전난간 사이로 추락</t>
  </si>
  <si>
    <t>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t>
  </si>
  <si>
    <t>바닥 콘크리트 타설을 하던 중 슬래브를 지지하는 작은보 2개소에서 임베드 플레이트 볼트 용접 부위가 파단나면서 슬래브가 한쪽으로 기울어 근로자 추락</t>
  </si>
  <si>
    <t>▶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t>
  </si>
  <si>
    <t>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t>
  </si>
  <si>
    <t xml:space="preserve">▶ 콘크리트 타설작업 시 사전에 거푸집의 변형 및 변위 등을 점검 및 보수
▶ 데크플레이트의 양단 걸침길이는 50mm 이상으로 하며 용접 방법과 간격 준수 </t>
  </si>
  <si>
    <t>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t>
  </si>
  <si>
    <t>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t>
  </si>
  <si>
    <t>▶ 콘크리트 배관 등 청소작업 시 압축된 기체가 방출되어 사고가 발생하지 않도록 압축된 기체를 방출하도록 조치 후 작업
▶ 개인보호구 지급 및 착용</t>
  </si>
  <si>
    <t>2020년 9월경 ㈜OO 주거 및 업무시설 신축공사 현장의 기계식주차장 중층 슬래브 위에서 재해자 2명이 콘크리트를 타설하던 중, 데크플레이트가 붕괴되어 약 46.5미터 아래 주차 Pit내 지하2층 바닥으로 추락하여 사망</t>
  </si>
  <si>
    <t>2021년 2월경 OO(주) OO신축공사 현장에서 지상1층 콘크리트 타설 중 상부슬래브가(데크플레이트 : 8.1m x 10.3m, 3 Span) 붕괴되면서, 지상1층 바닥에서 콘크리트 양생용 열풍기에 연료주입을 하던 재해자 2명을 덮쳐 부상</t>
  </si>
  <si>
    <t>2021년 2월경 OO(주)에서 시공 중인 OO신축공사 현장에서 지하 1층 주차장 바닥 슬라브 타설 작업 중 데크플레이트가 붕괴하여 타설작업자 5명이 떨어져(H≒3.5m) 전원 부상</t>
  </si>
  <si>
    <t>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t>
  </si>
  <si>
    <t>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t>
  </si>
  <si>
    <t>콘크리트 타설 작업 중 발을 디뎌야 하는 구간이 보이지 않은 상태에서 재해자가 전동다짐기를 보조하는 작업을 하면서 중심을 잃고 배근된 철근에 찔림</t>
  </si>
  <si>
    <t>2015년 10월</t>
  </si>
  <si>
    <t>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t>
  </si>
  <si>
    <t>철골자재의 낙하방지조치가 불량한 상태에서 철골자재를 트레일러에 싣고 적재함에 함께 탑승한 채 공사현장으로 이동하던 중 철골부재와 재해자가 함께 도로로 떨어지면서 재해자 위로 덮쳐 깔림</t>
  </si>
  <si>
    <t>▶ 트레일러에 화물적재시 화물의 붕괴 또는 낙하에 의한 위험을 방지하기 위해 화물에 로프등으로 고정하여 탈락하지 않도록 하여야 함</t>
  </si>
  <si>
    <t>2015년 12월경 OO골프장 천정 그물망 보수공사 현장에서 재해자(도비공)가 동료 근로자와 함께 철구조물 기둥 상부에서 수직 그물망 설치 작업 중  실족하여 약 35m 아래 지상바닥으로 떨어져 사망(추정)</t>
  </si>
  <si>
    <t>동료 근로자와 함께 철구조물 기둥 상부에서 수직 그물망 설치 작업 중  실족하여 약 35m 아래 지상바닥으로 떨어짐</t>
  </si>
  <si>
    <t>▶ 추락위험장소에서 작업 시 안전대 부착설비 설치 및 안전대 착용
▶ 철골작업장에서 볼트 조입 작업 시 달대비계 등 안전한 작업 발판 설치 후 작업</t>
  </si>
  <si>
    <t>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t>
  </si>
  <si>
    <t>지게차가 콘크리트 바닥을 지나 데크플래이트만 설치된 구간으로 넘어오면서 데크플래이트가 무너져 근로자와 같이 추락하여 지게차에 깔림</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</si>
  <si>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</si>
  <si>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t>
  </si>
  <si>
    <t>철골부재를 바닥으로 하차작업 하던 중 화물차 적재함에 적재된 중앙부의 철골부재를 인양하는 순간 단부에 적재된 철골부재 바닥으로 낙하</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</si>
  <si>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</si>
  <si>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2017년 5월경 OO(주) OO 증축공사 현장에서 재해자가 지상 1층에 설치된 안전난간을 넘어 철골빔으로 이동하던 중 지하 1층 바닥으로 떨어져(약6.7m) 사망</t>
  </si>
  <si>
    <t>설치된 안전난간을 넘어 철골빔으로 이동하던 중 바닥으로 근로자 추락</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</si>
  <si>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</si>
  <si>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t>
  </si>
  <si>
    <t>트럭크레인 적재함의 철골자재를 하차하는 과정에서 근로자가 트럭크레인 적재함의 H빔을 잡고 오르려는 순간 결속로프가 풀린 상태에서 H빔이 떨어지면서 동시에 몸의 중심을 잃고 근로자 추락</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</si>
  <si>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화물자동차에 화물 적재 시 최대적재량 내에서 적재</t>
  </si>
  <si>
    <t xml:space="preserve">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t>
  </si>
  <si>
    <t>이동식크레인으로 철골보 양중작업을 1줄걸이로 실시하던 중 철골자재가 낙하하며 3층에서 무전중이던 근로자 가격 및 추락</t>
  </si>
  <si>
    <t>▶ 중량물 양중 작업 시 줄걸이 방법, 줄걸이 공구 및 작업방법 검토
▶ 철골보 작업 시 하부 조립은 고소작업대 등을 이용하여 조립
▶ 철골보 상부 작업 시 작업면으로부터 10m를 초과하지 않도록 하부에 안전방망 설치</t>
  </si>
  <si>
    <t>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t>
  </si>
  <si>
    <t>카고 크레인으로 철골구조물을 양중하던 중 철골구조물의 흔들림으로 인해 작업자와 충돌 후 추락</t>
  </si>
  <si>
    <t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t>
  </si>
  <si>
    <t>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t>
  </si>
  <si>
    <t>철골 구조물 하부에 안전방망을 설치하지 않은 현장에서 안전대를 체결하지 않고 철골 상부에서 이동하다 근로자가 몸의 중심을 잃고 추락</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</si>
  <si>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</si>
  <si>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t>
  </si>
  <si>
    <t>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t>
  </si>
  <si>
    <t xml:space="preserve">컬러철판 휀스를 설치하기 위한 철골 부재 하지작업 도중 이동식 크레인의 자재 운반용 벨트슬링에 1 줄걸이로 묶여있던 철골부재가 브라켓에 걸려 근로자에게 낙하 </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</si>
  <si>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</si>
  <si>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</si>
  <si>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츄레라에 적재된 철재기둥에 올라가 하역 준비를 하던 중 츄레라 기사가 체인블럭을 해체하는 순간 철재기둥이 무게 중심을 잃고 무너져 근로자와 함께 낙하</t>
  </si>
  <si>
    <t>▶ 철재기둥의 하역 작업 시 안전조치 후 작업 실시
▶ 지급된 개인보후구 착용 후 작업 실시</t>
  </si>
  <si>
    <t>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t>
  </si>
  <si>
    <t>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t>
  </si>
  <si>
    <t>크레인을 사용하여 철골기둥 건립 작업 중 임의 제작한 중량물 취급용구가 양중 하중을 견디지 못하고 파단됨에 따라 철골기둥이 넘어져 바닥에 적재된 부재 사이에 근로자 끼임</t>
  </si>
  <si>
    <t>▶ 철골 등의 중량물 인양 시 안전성 시험을 거쳐 안전율이 확보된 샤클 등의 취급용구 사용
▶ 철골기둥에는 수직 승강로 설치 및 고소작업대차를 사용하여 걸이용구 해지</t>
  </si>
  <si>
    <t>2016년 4월경 OO공사현장에서 재해자가 지붕 철골부재 조립중 지상바닥으로 떨어져 사망</t>
  </si>
  <si>
    <t>추락방호조치가 되어 있지 않은 철골 구조물 상부에서 작업 중 근로자 추락</t>
  </si>
  <si>
    <t>▶ 추락방지망 설치 등의 안전방호조치 실시
▶ 안전방호조치가 현장 여건 상 어려울 경우, 별도의 안전대 부착설비를 설치
▶ 작업자의 개인보호구 착용여부 관리감독</t>
  </si>
  <si>
    <t>2016년 4월경 OO공장 전면 철골 트러스보 위에서 재해자(철골공)가 철골 부재(Prapet Girth) 조립을 위해 철골 지붕 트러스 보 위에서 철골부재를 슬링으로 묶던중 트러스 보 위에서 떨어져 사망</t>
  </si>
  <si>
    <t>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t>
  </si>
  <si>
    <t>2016년 5월경 OO건설(주) 근생(사무동) 신축공사 현장에서 재해자(철골공)가 지상 2층 바닥의 철골 보 상부에서 이동 중 몸의 중심을 잃고 약 4.5m 아래 지상 1층 바닥으로 떨어져 사망</t>
  </si>
  <si>
    <t>2016년 6월경 ㈜OO건설에서 시공하는 OO공장 신축공사 현장에서 재해자가 퍼린 설치 작업을 위해 기 조립된 철골 보 위에 서서 퍼린 부재를 잡으려는 도중 중심을 잃고 약 9m아래 지면으로 추락하여 사망</t>
  </si>
  <si>
    <t>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t>
  </si>
  <si>
    <t>철골기둥의 보 연결 브라켓 설치부위의 보양 테이프를 제거하던 중 발생된 편심이 전도모멘트로 작용하며 철골기둥이 기울어지면서 지면과 철골기둥 사이에 근로자 협착</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</si>
  <si>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</si>
  <si>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2016년 7월경 창고 증설공사 현장에서 협력업체 소속 재해자(랙설치공)이 지붕층 트러스를 랙(Rack) 최상부와 연결하기 위하여 랙 최상부에서 볼트 조립작업을 하던 중, 몸의 중심을 잃고 지면으로 추락(H≒30m)하여 사망</t>
  </si>
  <si>
    <t>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t>
  </si>
  <si>
    <t>2016년 9월경 ㈜OO에서 시공하는 물류자동창고 설치공사 현장에서 재해자(철골공)가 자동화창고 연결작업을 실시하던 중, 중심을 잃고 약 23m 아래 창고바닥으로 추락하여 사망</t>
  </si>
  <si>
    <t>2016년 11월경 OO 공장 신축공사 현장에서 재해자가 철골세우기 및 수직보기 작업 후 고장력볼트 임팩트작업을 위해 폭15cm인 철골빔 상을 이동 중 9.1m 아래로 떨어져 사망</t>
  </si>
  <si>
    <t>안전대 부착설비 또는 안전망 미설치 상태에서 철골보 이동 중  실족하여 추락</t>
  </si>
  <si>
    <t>▶ 추락위험장소에서 작업 시 안전대 부착설비 설치 및 안전대 착용
▶ 철골 위 작업 시 추락방지망을 설치</t>
  </si>
  <si>
    <t>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t>
  </si>
  <si>
    <t>2016년 11월경 154kv OO변전소 토건공사 현장에서 재해자(철골공)가 지상3층 풍도실 철골 브레이싱 조립 작업 중 실족하여 약 12m 아래 지상1층 바닥으로 추락하여 사망</t>
  </si>
  <si>
    <t>풍도실 철골 브레이싱 조립 작업 중 안전대 미착용한 근로자가 실족하여 추락</t>
  </si>
  <si>
    <t xml:space="preserve">▶ 철골 구조물 위에서 작업 할 경우 안전대를 걸어 사용할 수 있는 안전대 부착설비 설치
▶ 관리 감독자 업무 수행 철저 </t>
  </si>
  <si>
    <t>2016년 12월경 OO 주차장에서 ㈜OO 소속 재해자들이 동료들과 함께 OO눈썰매 축제 운영 준비를 위해 옥외 행사용 철구조물 설치작업 중 철구조물이 넘어져 사망 1명, 부상 1명</t>
  </si>
  <si>
    <t>벽체 브레이싱 설치 누락 및 미고정, 지붕 브레이싱 지연 시공 등 불량한 방법으로 철구조물 설치작업 중 철구조물이 넘어짐</t>
  </si>
  <si>
    <t>▶ 구조물 설치시 설계도서 및 건설공사 시방서 준수</t>
  </si>
  <si>
    <t>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t>
  </si>
  <si>
    <t>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t>
  </si>
  <si>
    <t>2016년 12월경 ㈜OO에서 시공중인 OOO 공장신축 현장에서 재해자(용접공)가 철골지붕에 올라서 철골지붕부재(퍼린)를 용접작업 하던 중, 몸의 중심을 잃고 철골지붕에서 지상1층 바닥(H=7.8m)으로 추락하여 사망</t>
  </si>
  <si>
    <t>2016년 12월경 공장 신축 현장에서 재해자(철골공)가 철골 지붕 위에서 퍼린 설치 작업 중 실족하여 높이 11.5m 아래 콘크리트 바닥으로 떨어져 사망</t>
  </si>
  <si>
    <t>2017년 1월경 OO(주) 공장동 및 사무동 신축공사 현장에서 재해자(철골공)가 공장동 철골공사 중에 보조빔 설치를 하고 이동하던 중 몸의 중심을 잃고 5m아래 지상바닥으로 떨어져 사망</t>
  </si>
  <si>
    <t>2017년 3월경 OOO 조립식 주택 신축공사 현장에서 재해자(철골공)가 지붕 트러스 철골(C형강) 상단에서 외부판넬 설치 실측 후 내려가는 도중 미끄러져 약 4m 아래 콘크리트 바닥에 떨어져 사망</t>
  </si>
  <si>
    <t>지붕 트러스 철골(C형강) 상단에서 외부판넬 설치 실측 후 내려가는 도중 미끄러져 바닥에 추락</t>
  </si>
  <si>
    <t>▶ 추락위험이 있는 철골 보에서 안전대를 안전대 부착설비 또는 철골 홀 등에 체결한 상태에서 이동
▶ 철골구조물 승하강시에는 안전대 부착설비나 안전블럭을 활용하여 승하강 실시</t>
  </si>
  <si>
    <t>2017년 3월경 OO건설(주)가 시공 중인 OO신축공사 현장에서 재해자(철골공)가  지상1층 철골 수직기둥 브라킷 상부에서 보설치 작업 중 지상1층 바닥(H≒5m)으로 떨어져 사망</t>
  </si>
  <si>
    <t>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t>
  </si>
  <si>
    <t>고소작업대 탑승함에서 본용접 작업 준비 중 철골부재의 가용접 지점이 탈락됨에 따라 근로자 가격 연이어 근로자 추락</t>
  </si>
  <si>
    <t>▶ 철골 고립 시 철골의 접합부가 충분한 강도를 지니도록 브라켓 스플릿티 등을 이용하여 볼트 체결
▶ 본용접이 완료 되어 충분히 지지되기 전까지 이동식 크레인의 걸이로프에 철골부재 체결 유지</t>
  </si>
  <si>
    <t xml:space="preserve">2017 6월경 </t>
  </si>
  <si>
    <t>2017 6월경 OO가 시공하는 OO 옥상 지붕공사 현장에서 협력업체인 소속 재해자(용접공)가 철구조물 상부에서 용접 작업 중 몸의 중심을 잃고 약 5m 아래 옥상 바닥으로 떨어져 사망</t>
  </si>
  <si>
    <t>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t>
  </si>
  <si>
    <t>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t>
  </si>
  <si>
    <t>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t>
  </si>
  <si>
    <t>데크플레이트 여러 장을 두줄걸이로 걸어서 인상 작업을 하던 중 데크 플레이트가 줄걸이 한쪽 슬링벨트에서 탈락되어 떨어지면서 아래에 있던 재해자의 머리를 강타</t>
  </si>
  <si>
    <t>▶ 자재 운반 시 낙하위험이 있는 경우 근로자 출입금지 구역 설정 및 근로자 출입 통체
▶ 중량물인 데크플레이트 인양시 중량물 취급방법, 인양장비의 재원 능력에 맞는 작업방식 지휘</t>
  </si>
  <si>
    <t>2017년 9월경 OO건설㈜에서 시공하는 OO공장 신축공사 현장에서 재해자가 철골 상부에서 퍼린(Purlin) 설치작업 중 퍼린(Purlin)부재와 함께 약 9m 아래 지상 콘크리트 바닥으로 떨어져 사망</t>
  </si>
  <si>
    <t>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t>
  </si>
  <si>
    <t>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t>
  </si>
  <si>
    <t>인양용 달고리의 설치 각도가 약 75°~83°로 완만하게 이완되어 미끄러져 빠질수 있는 구조인 상태에서 철골부재인 퍼린 부재 인양 중 이탈하여 낙하</t>
  </si>
  <si>
    <t>▶ 철골 부재를 인양하는 경우 달고리로 샤클, 해지장치가 부착된 훅 등의 달고리를 사용
▶ 인양 작업 중 달아올린 자재의 이동경로 하부에 근로자 출입금지 조치 실시</t>
  </si>
  <si>
    <t>2017년 12월경 OO 창고시설 신축공사 현장에서 재해자(철골공)가 철골보 위에서 지붕 마감재 고정철물(purlin)을 설치하던 중 몸의 중심을 잃고 약 11.0m 아래 지상 콘크리트 바닥으로 떨어져 사망</t>
  </si>
  <si>
    <t>2018년 1월경 ㈜OO건설 오피스텔 신축 현장에서 재해자가 주차타워 최상단 철골보의  볼트 조임작업 중 기둥에 체결했던 안전대가 풀리면서 약 24m 지상 바닥으로 떨어져 사망</t>
  </si>
  <si>
    <t xml:space="preserve">주차타워 최상단 철골보의 볼트 조임 작업 중 별도의 안전대 걸이시설를 설치하여 안전대를 걸고 작업하여야 하나 수직구명줄 미설치 상태에서 작업 중 추락 </t>
  </si>
  <si>
    <t>▶ 주차타워설치 등 고소작업 시 안전대 부착설비 설치 및 안전대 착용
▶ 자재인양구 등 추락위험이 있는 개구부에는 안전방망을 설치하여 자재 인양 시 여닫는 방식으로 작업 실시</t>
  </si>
  <si>
    <t>2018년 3월경 ㈜OO 판매시설 증·개축현장에서 재해자가 3층 철골보의 볼트 조임작업을 위해 H빔 상단에서 이동 중 약 9.5m 지상 바닥으로 떨어져 사망</t>
  </si>
  <si>
    <t>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</si>
  <si>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기계식 주차장 내부 벽체고정용 브라켓 4단높이에서 안전대 미착용한 상태에서 철골 연결부위 볼트의 본조임 작업을 위해 이동 중 근로자가 몸의 중심을 잃고 추락</t>
  </si>
  <si>
    <t>▶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t>
  </si>
  <si>
    <t>2018년 5월경 ㈜OO건설에서 시공하는 OO 신축공사 현장에서 재해자(철골공)가 지상1층 바닥에서 지게차로 운반(적재) 작업 중 떨어진 철골빔(H-450×200×9×14, L=8m, 608kg)에 하반신이 깔려 사망.</t>
  </si>
  <si>
    <t>지상에서 지게차로 철골빔을 운반 작업 중 떨어진 철골빔에 근로자 하반신이 깔림</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</si>
  <si>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</si>
  <si>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</si>
  <si>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</si>
  <si>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</si>
  <si>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t>
  </si>
  <si>
    <t>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t>
  </si>
  <si>
    <t>철골 보 설치용 철판을 용접하기 위해 철골구조 하부에 설치된 추락방호망으로 이동 중 방망의 달기 로프가 끊어지면서 근로자가 추락</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</si>
  <si>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t>
  </si>
  <si>
    <t>2018년 8월경 OO건설㈜ 근린생활 시설 신축공사 현장에서 재해자(철골공)가 철골 보 조립을 하기 위하여 철골 보 상부에서 이동하다가 몸의 중심을 잃고 약 7.2m 아래의 1층 콘크리트 바닥으로 추락하여 사망</t>
  </si>
  <si>
    <t>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t>
  </si>
  <si>
    <t>가조립된 철골 기둥 부재를 해체하던 중 작업장소 인근에 야적되어 있던 철골빔의 하부 지반이 침하되면서 전도되어 근로자가 철골빔에 깔림</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</si>
  <si>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</si>
  <si>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2018년 09월</t>
  </si>
  <si>
    <t>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t>
  </si>
  <si>
    <t>철골 3단빔 위에 서서 이동식으로 인양한 빔을 기둥과의 체결 지점으로 내리기 위해 빔 하부 유도 로프를 잡던 중 근로자가 몸의 중심을 잃고 추락</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</si>
  <si>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</si>
  <si>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t>
  </si>
  <si>
    <t xml:space="preserve"> 2018년 11</t>
  </si>
  <si>
    <t xml:space="preserve"> 2018년 11월경 근생시설 신축공사현장에서 재해자가 주차타워 철골기둥 조립작업을 마치고 내려오다 승강용트랩에서 손을 놓쳐 몸의 중심을 잃고 추락(H≒8.4m)하여 사망</t>
  </si>
  <si>
    <t>주차타워 철골기둥 조립작업을 마치고 내려오다 승강용트랩에서 손을 놓쳐 몸의 중심을 잃고 추락</t>
  </si>
  <si>
    <t>▶ 철골 보 상부에서 작업 시 추락방지를 위해 안전대 부착설비 설치 및 안전대 착용
▶ 승강용 사다리를 이용하여 이동할 경우 추락방지를 위해 안전대 체결</t>
  </si>
  <si>
    <t>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t>
  </si>
  <si>
    <t>2018년 11월경 돈사 신축 현장에서 재해자가 철골 지붕트러스 볼팅작업중 몸의 중심을 잃고 약 5.7m 아래 콘크리트 바닥으로 추락하여 사망</t>
  </si>
  <si>
    <t>2018년 12월경 OO건설(주)에서 시공 중인 다목적강당 및 급식소 증축공사 현장에서 재해자(철골공)가 지상 2층 지붕철골빔(폭 35cm)위를 이동하던 중 몸의 중심을 잃고 지상 2층 콘크리트 바닥(높이 약 8.5m)으로 떨어져 사망</t>
  </si>
  <si>
    <t>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t>
  </si>
  <si>
    <t>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t>
  </si>
  <si>
    <t>▶ 개구부 방호 조치 실시 
▶ 근로자가 떨어질 위험이 있는 개구부는 안전난간, 울타리 등을 충분한 강도를 가진 구조로 견고하게 설치
▶ 임의로 진입하지 못하도록 출입통제 실시</t>
  </si>
  <si>
    <t xml:space="preserve"> 2019년 1월경 ㈜OO 자동차관련시설(정비공장) 신축공사 현장에서 재해자(용접공)가 지상 2층의 철골보(H-Beam) 볼트 체결을 위해 이동하던 중 실족하여 지상 1층 카리프트실 바닥(H≒8.2m)으로 추락하여 사망</t>
  </si>
  <si>
    <t>2019년 5월경 ㈜OO이 시공하는 OO견본주택 건립공사 현장에서 재해자(철골공)가 지상2층 브레이싱 설치작업을 위해 지붕보 철골부재 상부에서 이동하던 중, 지상 바닥(H≒11m)으로 떨어져 사망</t>
  </si>
  <si>
    <t>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t>
  </si>
  <si>
    <t>철골 기둥 건립작업을 위해 앵커볼트 가체결 후 철골 기둥에 매단 슬링을 제거하는 순간, 철골 기둥이 전도되면서 근로자가 이동 중이던 철골 보의 기둥에 부딪힘으로써 몸의 중심을 잃고 추락</t>
  </si>
  <si>
    <t>▶ 철골 조립 시 철골의 접합부가 충분히 지지되도록 볼트 체결
▶ 견고한 구조 형성 전 들어올린 철골을 걸이로프 등으로부터 결속 유지
▶ 철골조립 시 안전대 부착설비 설치 및 안전대 지급</t>
  </si>
  <si>
    <t>2019년 5월경 OO 창고 증축공사장에서 재해자(철골공)이 철골에 C형강을 고정하기 위해 철골 위(약 높이 12m)에서 C형강 용접을 끝낸 후 몸의 중심을 잃고 바닥으로 추락하여 사망</t>
  </si>
  <si>
    <t>2019년 6월경 OO건설(주)이 시공 중인 OO(주) 공장 신축공사 현장에서 재해자(철골공)이 지상2층 철골 위에서 가새 설치작업 중 몸의 중심을 잃고 1층 바닥(H≒9m)으로 떨어져 사망</t>
  </si>
  <si>
    <t>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t>
  </si>
  <si>
    <t>안전대 부착설비 등 추락을 방지하기 위한 안전시설물이 미설치된 상태로 지붕 철골보 위에서 이동식크레인으로 인양중인 자재를 받던 중 근로자가 몸의 중심을 잃고 추락</t>
  </si>
  <si>
    <t>▶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t>
  </si>
  <si>
    <t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t>
  </si>
  <si>
    <t>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</si>
  <si>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</si>
  <si>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 조립작업을 위해 고소작업대에 탑승하여 상승한 뒤, 고소작업대에서 나와 기둥 철골을 밟고 서 있던 중 회전하는 지붕 철골에 맞아 근로자 추락</t>
  </si>
  <si>
    <t>▶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t>
  </si>
  <si>
    <t>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t>
  </si>
  <si>
    <t>2019년 11월경 OO(주)가 시공중인 OO공장 신축공사 현장에서 재해자(철골공)가 지붕 철골을 설치한 후 이동 또는 작업 중, 몸의 중심을 잃고 지상1층 바닥(H≒10.8m)으로 떨어져 사망</t>
  </si>
  <si>
    <t>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</si>
  <si>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</si>
  <si>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t>
  </si>
  <si>
    <t>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t>
  </si>
  <si>
    <t>가용접 상태의 철골계단을 지지하던 양중용 걸이로프를 제거하고 철골계단 상부로 이동 중 가용접 부위가 탈락되면서 근로자 추락</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</si>
  <si>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</si>
  <si>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2020년 5월경 자동차관련시설 현장에서 재해자가 카리프트 구간의 월 브레이싱 설치 작업을 하던 중 철골 상부에서 실족하여 콘크리트 바닥으로 추락(H≒11.8m)하여 사망한 재해임.</t>
  </si>
  <si>
    <t xml:space="preserve">카리프트 구간의 월 브레이싱 설치 작업을 하던 중, 근로자가 철골 상부에서 실족하여 추락 </t>
  </si>
  <si>
    <t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t>
  </si>
  <si>
    <t>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t>
  </si>
  <si>
    <t>2020년 7월경 ㈜OO 숙박시설 신축공사 현장에서 재해자(철골공) 2명이 가 지상1층 슬래브 데크플레이트 설치작업 중 몸의 중심을 잃고 지상1층 바닥(H≒3.3m)으로 떨어져 부상</t>
  </si>
  <si>
    <t>2020년 7월경 OO건설(주) OO근린생활시설 건설현장에서 재해자가 지상2층 바닥 철골에 데크 플레이트 설치작업 중 데크 플레이트와 함께 추락(H=5.5m)하여 사망</t>
  </si>
  <si>
    <t>2020년 7월경 ㈜OO 공장 신축공사 현장에서 재해자가 옥상층 파라펫 지지용 밑받침 철물 설치를 위해 철골보 위에서 이동 중 몸의 중심을 잃고 지상 콘크리트 바닥으로 떨어져(H≒17.5m) 사망</t>
  </si>
  <si>
    <t>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t>
  </si>
  <si>
    <t xml:space="preserve">철골기둥 철골보를 설치하는 작업을 위해 철골기둥의 수직도를 확인하던 중 임시용접된 상부의 철골보가 탈락하여 근로자에게 낙하 </t>
  </si>
  <si>
    <t>2020년 8월경 OO건설(주)이 시공하는 OO센터 신축공사 현장에서 재해자(철골공)가 다목적강당 지붕철골 상부에서 ‘X’브레이싱 설치 작업을 위해 이동 중 몸의 중심을 잃고 약 9.4m 아래 바닥으로 떨어져 사망</t>
  </si>
  <si>
    <t>2020년 8월경 ㈜OO 물류센터 신축공사 현장에서 재해자(철골공)이 철골보 위에서 조립작업을 위해 준비하던 중 높이 약10.9m에서 콘크리트바닥으로 떨어져 사망</t>
  </si>
  <si>
    <t>2020년 9월경 단독주택 건설현장의 지상1층 경량철골 지붕트러스 설치작업 중 지붕 트러스가 떨어지면서 이동식비계에서 추락(높이:1.7m)하여 1명 사망, 지붕 트러스에 깔려 1명 부상</t>
  </si>
  <si>
    <t>경량철골 지붕트러스 설치작업 중 지붕트러스가 떨어지면서 근로자가 안전난간이 설치되지 않은 이동식비계에서 추락</t>
  </si>
  <si>
    <t>▶ 이동식 비계 최상부 작업발판 단부에는 안전난간 설치
▶ 안전난간의 설치가 곤란할 경우 추락방망 설치
▶ 높이 2m 이상의 장소에서 작업 시 안전대 부착설비 설치 및 안전대 착용</t>
  </si>
  <si>
    <t>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t>
  </si>
  <si>
    <t>철골구조물에서 고소작업대(시저형)로 넘어가던 중 몸의 중심을 잃고 근로자 추락</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</si>
  <si>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</si>
  <si>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t>
  </si>
  <si>
    <t xml:space="preserve">적치되어 있던 데크플레이트 잔여자재를 반출하기 위해 타워크레인을 사용하여 양중하던 중 고정되지 않은 데크플레이트 자재 더미가 근로자에게 낙하 </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</si>
  <si>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</si>
  <si>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t>
  </si>
  <si>
    <t>2020년 12월경 OO초 체육관 신축현장에서 카고크레인을 이용하여 철골부재(x-bracing) 조립 도중 beam 위에서 대기하던 재해자가 낙하 또는 하강하는 부재에 부딪혀 몸의 중심을 잃고 지상으로 추락(약 5m)하여 사망</t>
  </si>
  <si>
    <t>줄걸이 방법 미흡한 상태에서 카고크레인을 이용하여 철골부재 조립 중 안전대를 미착용하고 빔 위에서 대기하던 근로자가 하강하는 부재에 부딪혀 몸의 중심을 잃고 추락</t>
  </si>
  <si>
    <t>▶ 추락위험 장소에는 안전대 부착설비 설치 및 안전대 착용
▶ 자재 종류에 따른 줄걸이 종류를 선택하고 2줄걸이 방법을 채택하는 등 양중 도중 자재가 미끄러지거나 빠지지 않는 방법으로 작업 실시</t>
  </si>
  <si>
    <t>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</si>
  <si>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옥탑층 철골 상부에서 H빔 거더 설치작업을 하던 중 이동식크레인으로 인양 중인 거더가 강풍에 의해 기설치된 주변 철골보를 타격하였고, 부딪힘 충격으로 인한 진동으로 재해자가 추락</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</si>
  <si>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줄걸이 방법, 줄걸이 공구 및 작업방법 검토
▶ 추락위험이 있는 장소에서 작업 시 안전대 부착설비 설치 및 안전대 착용</t>
  </si>
  <si>
    <t xml:space="preserve">2021년 3월경 재해자가 2층 거더와 기둥 접합부 용접을 위해 CO2 용접기 송급장치를 들고 철골 보 상부에서 이동 중 추락 (H≒7m)하여 사망 </t>
  </si>
  <si>
    <t>2021년 3월경 OO 리모델링공사 현장에서 4층 철골기둥과 보의 본조립 작업 중(추정) 4층 바닥(H=3.6m)으로 떨어져 사망</t>
  </si>
  <si>
    <t>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</si>
  <si>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과도하게 마모된 클램프로 철골기둥을 체결해 이동식 카고크레인을 사용하여 이동하던 중 해당 철골기둥이 클램프에서 이탈·낙하</t>
  </si>
  <si>
    <t>▶ 철골 부재를 인양하는 경우 달고리로 샤클, 해지장치가 부착된 훅 등의 달고리를 사용
▶ 인양 작업 중 달아올린 자재의 이동경로 하부에 대해 근로자 출입금지 조치 실시</t>
  </si>
  <si>
    <t>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t>
  </si>
  <si>
    <t>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t>
  </si>
  <si>
    <t>▶ 철골 기둥·보에 철골조립작업 또는 작업을 위해 이동하는 경우 작업면 하부에 추락방지망 설치
▶ 추락위험장소에서 철골조립작업 시 안전대 부착설비 설치 및 안전대 착용</t>
  </si>
  <si>
    <t>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t>
  </si>
  <si>
    <t>천장 페인트 작업을 마친 후 철재 구조물(트러스) 조립 작업장으로 이동 중 뒤로 넘어져 바닥에 놓여져 있던 트러스 구조물에 충돌</t>
  </si>
  <si>
    <t xml:space="preserve">▶ 통로 주요 부분에 통로 표시 및 장애물 제거 등 이동통로 확보
▶ 개인보호구 지급 및 착용상태 관리 실시 </t>
  </si>
  <si>
    <t>2021년 11월경 OO건설(주)에서 시공하는 공장 증축공사 현장에서 재해자가 약 20m 높이의 철골 상부에서 각파이프 설치 작업 중 추락하여 약 11m 아래에 있는 시저형 고소작업대 내부로 떨어져 사망</t>
  </si>
  <si>
    <t>추락방호망이 설치되지 않은 지붕 층 파라펫 설치 작업 구간에서 안전대를 체결하지 않은 상태에서 작업 중 파라펫 설치 작업 중 추락</t>
  </si>
  <si>
    <t>▶ 철골빔 위에서 고소작업 시 추락방망 설치, 고소작업대 사용 등 추락방지조치 실시
▶ 추락위험이 있는 장소에서 작업 시 안전대 부착설비 및 안전대 착용</t>
  </si>
  <si>
    <t xml:space="preserve">주차타워 철골에 </t>
  </si>
  <si>
    <t>주차타워 철골에 올라서 철거작업 중에  철골주보인 H-BEAM을 절단작업하고 다음 작업을 위해 철골보를 타고 이동하던 중 몸의 중심을 잃고 5층 철골보에서 지상1층 콘크리트 바닥(H=18m)으로 추락하여 사망</t>
  </si>
  <si>
    <t>2016년 3월경 지상2층 철골구조물 신축공사 현장에서 재해자(철골공)가 지상2층 데크플레이트 설치(판개)작업 중 지상1층 바닥(약 3m)으로 떨어져 병원으로 이송·치료받았으나 사망</t>
  </si>
  <si>
    <t>2016년 10월경 근린생활시설 신축공사 현장에서 재해자가 지붕 철골구조물에 데크플레이트 설치작업 중 추락(높이≒7.6m)하여 사망</t>
  </si>
  <si>
    <t>2017년 4월경 OO건설(주)이 시공중인 OO 물류센터 증축공사 현장에서 재해자(용접공)가 지상3층(X14~15, Y3~4) 데크플레이트 판개작업 및 용접작업 또는 이동 중, 몸의 중심을 잃고 지상1층 바닥(H=11m)으로 떨어져 사망</t>
  </si>
  <si>
    <t>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t>
  </si>
  <si>
    <t>BOOTH DECK를 설치를 위해 BOOTH DECK를 측면으로 밀어내기 위해 안전대 미착용한 상태에서 벽체 철골 수평재 상부로 내려가는 중 몸의 균형을 잃고 추락</t>
  </si>
  <si>
    <t>▶ 추락위험 장소에서 작업 시 비계 조립 등의 방법으로 작업발판 설치
▶ 작업발판 설치가 곤란할 경우 안전방망 설치
▶ 안전방망의 설치가 곤란할 경우 안전대 부착설비 설치 및 안전대 착용</t>
  </si>
  <si>
    <t>2017년 9월경 OO(주)에서 시공하는 OO부두 건설공사 현장에서 재해자(철골공)이 경비실 상부 데크플레이트를 설치하던 중 고정되지 않은 데크플레이트를 밟고 부재와 함께 콘크리트 바닥으로 떨어져(H≒3.3m) 사망</t>
  </si>
  <si>
    <t>철골 구조물의 데크플레이트 설치 작업 중 고정되지 않은 데크플레이트를 밟는 순간 부재와 함께 근로자 추락</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</si>
  <si>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</si>
  <si>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2018년 11월경 재해재가 동료 작업자 2명과 지상2층 철골 상부에서 바닥 데크 플레이트 설치 작업 중 재해자가 발을 딛고있던 미고정된 데크 플레이트와 함께 지상1층 바닥으로 추락하여 사망</t>
  </si>
  <si>
    <t>2018년 11월경 OO(주)가 시공하는 OO 신축공사 현장에서 재해자(데크설치공)가 지상 3층 철골 상부에서 용접봉 홀더를 들고 이동하던 중 약 7m 아래 지상 1층 콘크리트 바닥으로 추락하여 사망</t>
  </si>
  <si>
    <t>2019년 2월경 재해자가 OO설치공사 현장에서 철골+데크구조의 경량 슬래브 미설치구간 바닥 개구부 주변에서 균형을 잃고 추락(≒6.0m)</t>
  </si>
  <si>
    <t xml:space="preserve">2019년 3월 </t>
  </si>
  <si>
    <t>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t>
  </si>
  <si>
    <t>콘크리트 타설 작업 진행 중, 데크플레이트를 지지하고 있던 목재각재가 슬래브 자중 및 작업 하중을 견디지 못하고 이탈되면서 슬래브가 붕괴되어 근로자 추락</t>
  </si>
  <si>
    <t>▶ 설계도서 작성 및 준수 
▶ 콘크리트 타설 전 안전점검 및 보강조치 실시
▶ 콘크리트 타설 작업 시 추락방지조치 실시</t>
  </si>
  <si>
    <t xml:space="preserve"> 2019년 6월</t>
  </si>
  <si>
    <t xml:space="preserve"> 2019년 6월경 OO 모델하우스 건립공사 현장에서 재해자(철골공)가 지상 2층 바닥 데크플레이트 설치 작업 중 단부에서 지상 바닥으로 떨어져(H≒7.3m) 사망</t>
  </si>
  <si>
    <t>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t>
  </si>
  <si>
    <t>2020년 8월경 OO건설(주)이 시공하는 OO센터 건립공사 현장에서 재해자(판넬공)가 지붕층 철골보 위에 데크플레이트 설치 후 가용접하려던 중 데크플레이트와 함께 약 14.1m 아래 콘크리트 바닥으로 떨어져 사망</t>
  </si>
  <si>
    <t>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t>
  </si>
  <si>
    <t>조적벽체 해체 작업 중 핸드브레이커 파쇄로 인한 진동 등으로 벽체 상부의 조적더미가 낙하하여 맞음</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</si>
  <si>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</si>
  <si>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2019년 8월경 OO인테리어 공사에서 조적벽체 해체 작업 중 바닥 폐기물 정리작업을 하다가 천장(H=2.0m)에 완전히 해체되지 않은 조적벽돌더미가 아래로 떨어져 머리를 맞아 사망</t>
  </si>
  <si>
    <t xml:space="preserve"> 바닥 폐기물 정리작업을 하다가 천장에 완전히 해체되지 않은 조적벽돌더미가 아래로 떨어져 머리를 강타</t>
  </si>
  <si>
    <t>▶ 벽체 철거 작업 시 벽체 상부에서부터 작은 면적 단위로 분할하여 순차적으로 철거작업 실시 
▶ 해체작업 시 구조, 주변상황 등 사전조사 결과를 바탕으로 해체방법, 해체순서 등 작업계획을 수립하고 준수하여 작업</t>
  </si>
  <si>
    <t>2018년 4월경 OO재건축공사에서 견출작업 중 원인미상의 이유로 6~7층 사이 외부에 설치된 낙하물방지망으로 추락하여 사망</t>
  </si>
  <si>
    <t>세대 내 벽체 견출작업 중 원인미상으로 추락</t>
  </si>
  <si>
    <t xml:space="preserve">▶ 계단실, 기계실의 벽체 개구부 및 옥상층 안전난간 등 물제가 떨어질 위험이 있는 장소에는 수직보호망 설치
▶ 아파트 동 외부에 높이 10m 이내마다 낙하물 방지망 설치 </t>
  </si>
  <si>
    <t>2018년 12월경 OO설치공사에서 캐노피 콘크리트 타설 후 미장 작업중 4.2m 아래 공장 바닥으로 추락하여 사망</t>
  </si>
  <si>
    <t>콘크리트 타설후 미장작업 중 안전난간이 설치되지 않은 슬라브 단부에서 몸의 중심을 잃고 추락</t>
  </si>
  <si>
    <t>▶ 슬라부 단부 등 추락위험 장소에는 안전난간 설치
▶ 마감작업으로 인해 안전난간의 설치가 곤란할 경우 안전대 부착설비를 설치하고 안전대 체결 후 작업토록 관리감독</t>
  </si>
  <si>
    <t>2021년 10월경 OO재건축공사에서 말비계 위에서 핸드브레이커를 사용하여 천장슬래브 하부의 콘크리트를 해체 하던 중, 콘크리트 덩어리가 떨어져(높이 약 2.7m, 중량 약 1,242kg) 맞아서 사망</t>
  </si>
  <si>
    <t>말비계 위에서 핸드브레이커를 사용하여 천장슬래브 하부의 콘크리트를 해체 하던 중 낙하하는 콘크리트 덩어리에 맞음</t>
  </si>
  <si>
    <t>▶ 해체작업 시 구조, 주변상황 등 사전조사 결과를 바탕으로 해체방법, 해체순서 등 작업계획을 수립하고 준수하여 작업
▶ 개인보호구(안전모) 착용관리 철저</t>
  </si>
  <si>
    <t>2018년 10월경 ㈜OO 지하주차장 누수방수공사(우레탄 발포 크랙보수) 현장에서 재해자(보통인부)가 보양비닐 설치 작업을 하던 중 출입구 상부 캐노피(격자형 루바)를 딛는 순간 무너지면서 바닥으로 떨어져(H≒2.5m) 사망</t>
  </si>
  <si>
    <t xml:space="preserve">보양비닐 설치 작업을 하던 중 별도의 작업발판 설치 없이 출입구 상부 캐노피를 딛는 순간 무너지면서 근로자 추락 </t>
  </si>
  <si>
    <t xml:space="preserve">▶ 캐노피 상부 콘크리트 천정 작업을 위한 별도의 작업발판 설치 후 작업
▶ 보호구 지급 착용 관리감독 철저 </t>
  </si>
  <si>
    <t>2021년 1월경 OO빌딩 신축공사 현장에서 협력업체 재해자가 외부 석재 마감공사를 위해 지하 1층에서 지상 8층으로 자재 양중작업을 하던 중 석재가 낙하하면서 맞아 사망</t>
  </si>
  <si>
    <t>외부 석재 마감공사를 위해 지하에서 지상으로 자재 양중작업을 하던 중 석재가 낙하하며 맞음</t>
  </si>
  <si>
    <t>▶ 자재 적재 및 인양시 낙하가 발생 하지 않도록 결속 철저
▶ 낙하발생 가능한 자재 인양시 자재 적재함 등 사용
▶ 낙하물 발생 가능구간 낙하방지조치 및 접근통제 실시</t>
  </si>
  <si>
    <t>2017년 2월경 OO공장 증축공사 현장에서 재해자가 지상 4층 계단실 철골 보 내화도장 작업 중 몸의 중심을 잃고 지상 3층 계단실로 추락하여(H≒4.0m) 사망</t>
  </si>
  <si>
    <t>안전난간 미설치한 계단실 철골 보 내화도장 작업 중 몸의 균형을 잃고 추락</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</si>
  <si>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</si>
  <si>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t>
  </si>
  <si>
    <t>리모델링 도장 작업 후 소지하고 있던 라이터를 이용해 의자의 실오라기를 제거하던 중 장갑에 불이 붙으면서 화재가 발생하여 화상</t>
  </si>
  <si>
    <t>▶ 도장, 방수 작업 등 화재위험 작업장소에서 라이터 등 화기사용(지참) 금지 조치 및 근로자 주지
▶ 작업과 관련 없는 불안전한 행동을 하지 않도록 근로자 주지 및 관리감독</t>
  </si>
  <si>
    <t>2016년 12월경 OO챔버시험동 신축공사 현장에서, 협력업체 소속 재해자가 당 현장내 부품실 지붕 철골보 상부에서 내화페인트 도장작업 중 철골보(약 H=13m) 아래 콘크리트 바닥으로 추락하여 사망</t>
  </si>
  <si>
    <t>안전대 미착용한 상태에서 철골보 상부에서 내화도장 작업 중 몸의 균형을 잃고 추락</t>
  </si>
  <si>
    <t>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t>
  </si>
  <si>
    <t xml:space="preserve">트럭 적재함에서 자재 상차작업 중 트럭 고리에 결속중이던 로프가 이탈하여 튕겨져 나오면서 몸의 중심을 잃고 바닥으로 추락 </t>
  </si>
  <si>
    <t>▶ 추락의 위험이 있는 장소에서 작업 시, 안전난간, 안전대 부착설비 등을 설치하고 이동식 비계 또는 고소작업대 등을 사용하여 작업하도록 조치
▶ 추락의 위험이 있는 장소에 웨빙띠 등으로 출입금지 조치 철저</t>
  </si>
  <si>
    <t>2013년 7월경</t>
  </si>
  <si>
    <t>2013년 7월경 공연장 구간 보강공사 현장에서, 재해자가 아치형 캐노피 위에서 캐노피 덮개용 폴리카보네이트 고정작업 중, 캐노피 끝단에서 추락(H≒4m)</t>
  </si>
  <si>
    <t>아치형 캐노피 상부에서 작업 중 앞쪽으로 몸의 무게중심이 쏠려 추락</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</si>
  <si>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</si>
  <si>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2016년 8월경 OO주유소 신축공사현장에서 재해자는 주유소 지붕(케노피)에서 물받이(400×100×15×1.6, L≒15.0m)를 설치하기 위하여 지붕 철골(C형강) 위에서 보조 작업을 하던 중 갑자기 몸의 중심을 잃고 지상 1층 바닥(H≒7.5m)으로 추락</t>
  </si>
  <si>
    <t>철골보 상부에서 작업 중 발을 헛디뎌 바닥으로 추락</t>
  </si>
  <si>
    <t>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t>
  </si>
  <si>
    <t>철골보 상부에서 이동하던 중 발을 헛디뎌 바닥으로 추락</t>
  </si>
  <si>
    <t>2016년 12월경 신축공사 현장 지붕 처마부위에서 철골조 부재를 밟고 벽체 판넬 상부에 빗물받이 홈통 고정 작업을 진행하던 재해자가 몸의 균형을 잃고 4m 하부 콘크리트 바닥으로 추락</t>
  </si>
  <si>
    <t>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t>
  </si>
  <si>
    <t>책장 상단에서 작업 중 발을 헛디뎌 안전난간이 설치되지 않은 책장 단부로 추락</t>
  </si>
  <si>
    <t>2017년 9월경 OO타워 현장에서 재해자가 지상1층 환풍구에 철제 그레이팅을 덮는 작업을 하던 중 밟고 있던 철제그레이팅이 지지재에서 미끄러지면서 지하 4층 기계실 바닥으로 추락(약18.7m)</t>
  </si>
  <si>
    <t>환기구 덮개 위에서 고정작업을 하던 중 작업하중 등에 의해 덮개가 밀려나면서 발생한 개구부 아래로 추락</t>
  </si>
  <si>
    <t>2017년 10월경 OO식물원 조성공사 온실 내부에서 재해자가 관람 스카이워크 하지철물 설치 작업 과정에서 철골보 상으로 이동하던 중, 몸의 중심을 잃고 약 6.5M아래 지상 콘크리트 바닥으로 추락</t>
  </si>
  <si>
    <t>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t>
  </si>
  <si>
    <t xml:space="preserve">시스템비계에서 로프를 이용하여 자재를 인양하던 중 안전난간이 낮게(상부난간대 90cm) 설치된 작업발판 단부로 추락 </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</si>
  <si>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t>
  </si>
  <si>
    <t>4.6.1 창호 및 유리 자재반입, 가공, 운반</t>
  </si>
  <si>
    <t>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t>
  </si>
  <si>
    <t>가공된 자재(창호)를 적재하던 중 적재대를 거치한 바닥면의 기울기 등으로 적재대가 기울면서 전도되는 자재에 깔림</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</si>
  <si>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</si>
  <si>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t>
  </si>
  <si>
    <t>자재(유리) 상차작업 중 화물트럭 적재함 위에 기대어 놓은 자재가 작업충격 등에 의해 전도되면서 깔림</t>
  </si>
  <si>
    <t>2020년 7월경 도시환경정비사업 현장에서 재해자가 지하주차장 램프(#3) 지붕 유리설치 공사 중 유리 미설치 구간으로 추락(H≒7.6m)</t>
  </si>
  <si>
    <t xml:space="preserve">주차장 램프 지붕 상부에서 작업 중 유리가 미설치된 개구부를 인지하지 못하고 발을 헛디뎌 추락 </t>
  </si>
  <si>
    <t xml:space="preserve"> 2017년 11</t>
  </si>
  <si>
    <t xml:space="preserve">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</si>
  <si>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손수레를 사용하여 자재운반 작업 중 경사로를 내려오던 손수레에 밀려 적재된 시멘트벽돌과 손수레 사이에 끼임</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</si>
  <si>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</si>
  <si>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t>
  </si>
  <si>
    <t>이동식크레인으로 자재 인양 중 자재가 돌출된 장애물(비계기둥)에 걸려 낙하하면서 재해자가 맞음</t>
  </si>
  <si>
    <t>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</si>
  <si>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화물트럭 적재함에서 지게차를 이용한 하역 작업 중 적재함 후면으로 치우쳐 있던 자재 파렛트에 지게차 포크를 넣고 들어올리는 순간 전도되면서 파렛트와 주변 적재물 사이에 끼임</t>
  </si>
  <si>
    <t>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t>
  </si>
  <si>
    <t>피복이 손상된 가설전선이 사다리 하부와 접촉된 상태에서 견고하게 고정되지 않은 사다리에 올라가 작업을 준비하던 중 몸의 중심을 잡기 위해 상부의 전산볼트를 잡는 순간 감전되어 추락</t>
  </si>
  <si>
    <t>▶ 용접기 등 공도구 인입전선의 절연피복 손상을 방지하기 위해 통로 바닥에 설치하는 행위 금지하며 통로의 일정 간격마다 별도의 전선거치대를 설치하여 사용
▶ 용접기 등 공도구 사용 시, 누전차단기를 설치하여 감전사고를 예방</t>
  </si>
  <si>
    <t>2018년 7월경 OO이 시공하는 OO신축공사 현장에서 재해자(보통인부)가 건물 내부 관리실의 천장 EPS 패널 설치 작업 중, 설치 중이던 EPS 패널과 함께 약 3.2m 아래 건물 바닥으로 추락하여 사망</t>
  </si>
  <si>
    <t xml:space="preserve">지붕과 천정 사이 좁은 작업공간(높이 1m 미만)에서 불완전한 자세로 마감재 설치작업 중 몸의 중심이 앞쪽으로 쏠리며 추락 </t>
  </si>
  <si>
    <t>▶ 건물 내부의 천장 패널 설치 등 고소작업 시, 추락방지망, 안전대 부착설비 등 안전방호조치를 실시
▶ 작업자의 개인보호구, 안전대 체결여부 점검 및 관리감독</t>
  </si>
  <si>
    <t>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t>
  </si>
  <si>
    <t>작업을 위해 슬래브 철근 상부로 이동하던 중 철근에 발이 걸려 안전난간이 설치되지 않은 슬래브 단부로 추락</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</si>
  <si>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</si>
  <si>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2020년 3월경 OO 철거공사 현장에서 재해자(신호수)가 객실 해체작업 시 던져지는 폐기물에 의한 사고방지를 위해 건물 외부에서 하부통제를 하던 중 떨어지는 폐기물에 맞아 사망</t>
  </si>
  <si>
    <t xml:space="preserve">해체작업 시 던져지는 폐기물에 의한 사고방지를 위해 건물 외부에서 하부통제를 하던 중 낙하하는 폐기물에 맞음 </t>
  </si>
  <si>
    <t>▶ 해체작업 시 낙하물 방호설비 설치 및 작업반경 내 접근통제 조치
▶ 해체 폐기물 및 공구 등을 건물 밖으로 던지는 행위 금지
▶ 해체 작업순서 및 방법 등 작업계획 수립 및 준수여부 관리감독 철저</t>
  </si>
  <si>
    <t>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t>
  </si>
  <si>
    <t>철골구조물 상부에서 양중물 줄걸이 해체작업 중 발을 헛디뎌 추락</t>
  </si>
  <si>
    <t>▶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t>
  </si>
  <si>
    <t>2016년 4월경 OO공사에서 재해자가 철골 트러스 위에서 패널 조립작업중 몸의 중심을 잃고 높이 약 9.7m 1층 콘크리트 바닥으로 추락하여 사망</t>
  </si>
  <si>
    <t>철골 구조물 위에서 작업하던 중 발을 헛디뎌 바닥으로 추락</t>
  </si>
  <si>
    <t>2016년 06월</t>
  </si>
  <si>
    <t>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t>
  </si>
  <si>
    <t>지붕에서 이동하던 중 적재해둔 자재에 발이 걸리면서 지붕단부로 추락</t>
  </si>
  <si>
    <t>2016년 7월경 OO공사에서 재해자가 철골 구조물 위에서 하지철물에 판넬(칼라시트)을 설치하던 중  안전대 고리를 풀고 옆으로 이동하던 순간 몸의 중심을 잃고 지상으로 추락하여(H≒15m) 사망</t>
  </si>
  <si>
    <t>철골 구조물 위에서 이동하던 중 발을 헛디뎌 바닥으로 추락</t>
  </si>
  <si>
    <t>2016년 12월경 OO공사에서 재해자가 철골 트러스 위에서 벽체 샌드위치 패널(1,000×7,500×125, 45kg)을 로프에 묶어 올리던 중 지상바닥으로 추락하여 사망</t>
  </si>
  <si>
    <t>철골 구조물 위에서 자재 운반 중 발을 헛디뎌 바닥으로 추락</t>
  </si>
  <si>
    <t>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t>
  </si>
  <si>
    <t>외부비계 작업발판 위에서 작업 중 넘어지며 안전난간 사이로 추락</t>
  </si>
  <si>
    <t>▶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t>
  </si>
  <si>
    <t>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t>
  </si>
  <si>
    <t>자재 운반 또는 이동 및 작업 중 강도가 약한 마감재를 밟아 마감재가 파손 또는 탈락되며 바닥으로 추락</t>
  </si>
  <si>
    <t>2018년 5월경 OO공사에서 재해자가 지붕 위에서 지붕마감재(폴리카보나이트)를 볼트로 고정시키는 작업 중 마감재가 꺾이면서 약 8.8m 아래 콘크리트 바닥으로 추락하여 사망</t>
  </si>
  <si>
    <t>지붕에서 작업 중 밟고있던 마감재가 파손되면서 바닥으로 추락</t>
  </si>
  <si>
    <t>▶ 지붕 위에서 마감재의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</si>
  <si>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2018년 7월경 OO공사에서 재해자가 지하주차장 램프 출입구 캐노피 위에서 지붕자재(폴리카보네이트)설치 작업 중 몸의 중심을 잃고 약 3.9m 아래 콘크리트 바닥으로 추락하여 사망</t>
  </si>
  <si>
    <t xml:space="preserve">주차장 램프 지붕에서 작업 중 발을 헛디뎌 지붕단부로 추락 </t>
  </si>
  <si>
    <t>2018년 10월경 OO공사에서 재해자가 H-BEAM(폭 12.5cm)위에서 외벽판넬 작업 후 휴식을 위해 내려올 준비 중 균형을 잃고 5m 아래 콘크리트 바닥으로 추락하여 사망</t>
  </si>
  <si>
    <t>2018년 12월경 OO공사에서 재해자가 철골구조룸 위에서 빗물받이 구조물을 설치하기 위해 이동하던 중 바닥으로 추락하여(H≒6.9m) 사망</t>
  </si>
  <si>
    <t>2019년 12월경 OO공사에서 재해자가 철골구조물 위에서 외벽 패널의 고정볼트 조임작업을 위해 안전대 죔줄(로프)을 푼 상태로 이동하던 중 높이 12m아래 지면으로 추락하여 사망</t>
  </si>
  <si>
    <t>2020년 6월경 OO공사에서 재해자가 철골구조물 위에서 지붕 샌드위치 판넬 설치 작업 중 지상바닥으로 추락하여(H≒6.8m) 사망</t>
  </si>
  <si>
    <t>2020년 7월경 OO공사에서 재해재가 고소작업대(시저형)를 이용하여 외부 판넬 설치 작업 중 고소작업대를 벗어나 철골구조물 위로 올라가 몸의 중심을 잃고 지면(H≒9.0m)으로 추락하여 사망</t>
  </si>
  <si>
    <t>고소작업대에 탑승하여 작업 중 작업대를 벗어나 철골 구조물 위로 올라가던 중 발을 헛디뎌 바닥으로 추락</t>
  </si>
  <si>
    <t>감전</t>
  </si>
  <si>
    <t>2017년 2월경 OO공사에서 재해자가 철탑(지상 33미터)에 승탑하여 폴리머 점퍼 지지애자 설치를 위해 철탑암과 점퍼선의 이격거리를 낚시대로 실측하던 중 감전으로 사망</t>
  </si>
  <si>
    <t>철탑에 올라 철탑암과 점퍼선의 이격거리를 낚시대로 실측 작업 중 감전</t>
  </si>
  <si>
    <t>▶ 감전될 위험이 있는 작업 시, 해당 전로의 차단여부 확인 철저
▶ 전압이 발생할 우려가 있는 경우 단락 접지기구를 이용하여 접지해야 함</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</si>
  <si>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</si>
  <si>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</si>
  <si>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</si>
  <si>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</si>
  <si>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</si>
  <si>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</si>
  <si>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</si>
  <si>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</si>
  <si>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</si>
  <si>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</si>
  <si>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</si>
  <si>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</si>
  <si>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</si>
  <si>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</si>
  <si>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</si>
  <si>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</si>
  <si>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</si>
  <si>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</si>
  <si>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</si>
  <si>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</si>
  <si>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</si>
  <si>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</si>
  <si>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</si>
  <si>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</si>
  <si>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</si>
  <si>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</si>
  <si>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</si>
  <si>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</si>
  <si>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</si>
  <si>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 사다리 통로 이외의 다른 이동방법을 통한 통행 금지 및 관련한 안전교욱실시
▶ 작업장 내외부로 통하는 구간에 통로표시
▶ 근로자의 불안전한 행동에 대해 관리감독 실시</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</si>
  <si>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</si>
  <si>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</si>
  <si>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</si>
  <si>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</si>
  <si>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</si>
  <si>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</si>
  <si>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</si>
  <si>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 후속시공이 연속하여 이어지지 않는 경우, 발생한 개구부(집수정 등)는 개구부 덮개 등을 이용하여 막음조치
▶ 개구부 부근에서 작업 시 안전난간 설치 등 추락방지조치 실시</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</si>
  <si>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</si>
  <si>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</si>
  <si>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</si>
  <si>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</si>
  <si>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</si>
  <si>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</si>
  <si>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</si>
  <si>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</si>
  <si>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</si>
  <si>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</si>
  <si>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</si>
  <si>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</si>
  <si>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</si>
  <si>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t>
  </si>
  <si>
    <t>승강기 교체공사 중 승강기를 임시로 매달고 있던 고리(카라비너)가 벌어져 승강기와 함께 추락</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</si>
  <si>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</si>
  <si>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2016년 5월경 공원 정비사업에서 재해자가 자재하역을 지켜보던 중 위험을 느껴 피하려다 주변 돌출된 바위 사이에 끼어 사망</t>
  </si>
  <si>
    <t>헬리콥터에 매달린 자재가 회전하여 근로자를 쳐 바위 사이에 끼임</t>
  </si>
  <si>
    <t>▶ 중량물 취급 작업 시 주변 근로자의 충돌, 협착 등의 위험이 없도록 작업 반경 밖으로 근로자 대피
▶ 헬리콥터 하강 시 신호수와 신호 또는 무전을 통해 안전한 장소에 하강</t>
  </si>
  <si>
    <t>2019년 8월경 공동주택 신축공사에서 재해자가 조경석 설치작업 중 연결체인에서 이탈된 조경석에 흉부가 협착되어 사망</t>
  </si>
  <si>
    <t>체인으로 연결된 줄걸이에서 조경석이 이탈하여 근로자 쪽으로 전도되어 협착</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</si>
  <si>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</si>
  <si>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2018년 1월경 위험교량개축사업 현장에서 라멘교 교대벽체 등을 조립하면서 기울어진 철근 수직도를 바로 잡으려고 철근을 잡아당기던 중 수직철근이 전도되면서 깔려 2명 사망</t>
  </si>
  <si>
    <t>기울어진 철근 수직도를 바로 잡기 위해 화물고정용 라쳇으로 철근을 무리하게 당겨 수직철근이 교대 축의 횡방향으로 전도됨</t>
  </si>
  <si>
    <t>▶ 교대 수직철근조립 시 설계도서 준수
▶ 철근의 수직도를 수정하기 위해 무리하게 철근을 잡아당기는 등의 불안정한 작업 금지
▶ 수직철근 조립작업 시 전도재해를 예방하기 위해 관리감독자 지휘 ∙ 감독 철저</t>
  </si>
  <si>
    <t>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</si>
  <si>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유압잭으로 터널용 강재거푸집을 이동중, 굴삭기에 연결시켜 사용하던 와이어로프가 러그에서 이탈하여 와이어로프가 재해자를 타격하여 사망한 재해임</t>
  </si>
  <si>
    <t>▶작업 전 인양장비에 대한 결함 유무 및 점검 실시
▶인양작업 전 작업반경에 따른 근로자 통제 조치 실시</t>
  </si>
  <si>
    <t>9.3 터널 보강 작업</t>
  </si>
  <si>
    <t>9.3.2 터널 특수보강</t>
  </si>
  <si>
    <t>2017년 6월경 철도 건설공사 현장에서 재해자가 풍도 슬래브를 설치하는 작업 중 풍도슬래브가 낙하하여 1명 깔려 사망, 1명 추락하여 사망</t>
  </si>
  <si>
    <t>터널 브라켓에 풍도슬래브를 정치하기 위해 위치조정 중 풍도슬래브 1본이 4m 높이에서 낙하하여 근로자 추락 및 하부에 있던 근로자 깔림</t>
  </si>
  <si>
    <t>▶ 중량물을 인양 시 인양물에 작업자를 탑승시키는 등 부적절한 작업 금지(불가피할 경우 인양물이 아닌 양중기 등에 별도의 추락방지조치 실시)
▶ 중량물을 인양하는 등의 작업 시 중량물 취급작업계획서를 작성하고 작업계획에 따라 작업진행</t>
  </si>
  <si>
    <t>9.6 특수터널 작업</t>
  </si>
  <si>
    <t>9.6.1 특수터널(TBM공법)</t>
  </si>
  <si>
    <t>2016년 12월경 OO지구 청소공구 토목공사현장에서 재해자가 고장난 세미쉴드(Semi-Shield) 기기 및 콘크리트 관로 인출작업 중 유압에 의해 튕겨져 나온 원통형 강봉밀대에 두부를 맞아 사망</t>
  </si>
  <si>
    <t>고장난 세미쉴드 기기 및 콘크리트 관로 인출작업 중 유압에 의해 튕겨져 나온 원통형 강봉밀대에 근로자가 맞음</t>
  </si>
  <si>
    <t>▶ 유압잭의 길이가 짧아 강재 밀대를 붙여 연장할 경우 유압 잭과 밀대 사이에 볼트 체결, 용접 등 결속하여 편심 발생여부 확인
▶ 세미쉴드 인출작업 시 해당 작업구간에 근로자의 출입금지</t>
  </si>
  <si>
    <t>계단</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</si>
  <si>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</si>
  <si>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</si>
  <si>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</si>
  <si>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</si>
  <si>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</si>
  <si>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 계단실 등 추락단부 안전난간대 설치 등 추락방호조치 실시
▶ 근로자 개인보호구, 안전대 체결여부 점검 및 관리감독</t>
  </si>
  <si>
    <t>2016년 1월경 OO건설(주)이 시공하는 OO주거복합시설 신축현장에서 재해자가 지상14층 돌음계단 거푸집조립·해체 작업 중 계단실내 개구부로 추락하여 사망</t>
  </si>
  <si>
    <t>2016년 9월경 단독주택신축공사 현장에서 외부 계단슬래브 하부 거푸집동바리 해체작업 중이던 재해자가 무너져 내린 계단슬래브 구조물에 깔려 사망</t>
  </si>
  <si>
    <t>콘크리트 양생기간 미준수한 상태에서 거푸집동바리 해체작업 중 무너져 내려 깔림</t>
  </si>
  <si>
    <t>▶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</si>
  <si>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t>
  </si>
  <si>
    <t>2019년 6월경 OO건설(주)에서 시공중인 OO빌딩신축공사 현장에서 협력업체 소속 재해자가 단독으로 지하1층 계단실 자재 정리·정돈 또는 청소작업 중, 몸의 중심을 잃고 지하1층 계단참으로 떨어져(H≒2.0m) 사망</t>
  </si>
  <si>
    <t>넘어지거나 미끄러지는 등 위험조치 미실시한 상태에서 지하층 계단실 자재 정리정돈 또는 청소작업 중 중심을 잃고 근로자 추락</t>
  </si>
  <si>
    <t>▶ 추락위험이 있는 구간에는 추락방호망, 안전난간 설치 또는 및 안전대 착용후 작업
▶ 작업장에서 넘어지거나 미끄러지는 등 위험이 없도록 작업장 바닥 등을 안전하고 청결한 상태로 유지 후 작업 시행</t>
  </si>
  <si>
    <t>2016년 8월경 OO 공사현장에서 재해자가 슬라브의 철근조립 및 운반작업 후 휴식을 취하던 중 계단실 부위 개구부(폭 1m× 길이 2.6m)를 통해 약 3m 아래의 지하1층 콘크리트 바닥으로 추락하여 사망</t>
  </si>
  <si>
    <t>안전난간이 설치되지 않은 바닥 개구부 주변 작업 중 근로자 추락</t>
  </si>
  <si>
    <t>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t>
  </si>
  <si>
    <t>콘크리트 마감 작업 후 계단통로를 통해 이동 하던 중 안전난간이 해체된 상태의 계단참 단부에서 근로자 추락</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</si>
  <si>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</si>
  <si>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2016년 12월경 OO건물 신축 공사 현장에서 지상 1층에서 2층으로 연결되는 철골 계단 설치 작업 중 재해자가 2층 계단 참 단부에서 미끄러져 몸의 중심을 잃고 1층 바닥으로 추락(H≒4.5m)</t>
  </si>
  <si>
    <t>철골 조립작업을 마치고 내려오던 중 안전난간이 설치되지 않은 계단 참 단부로 근로자 추락</t>
  </si>
  <si>
    <t xml:space="preserve">▶ 추락할 위험이 있는 장소에서 작업 시, 안전난간 및 안전방망 설치 
▶ 안전난간 설치가 곤란한 경우 안전대를 착용 하는 등 추락 방호 조치 철저 </t>
  </si>
  <si>
    <t>2017년 10월경 OO 근생신축공사 현장에서 현장소장과 함께 철골 조립작업 중이던 재해자가 당일 작업을 마치고 내려오던 중 지상 3층 계단참에서 약 8m 아래 지상 콘크리트 바닥으로 추락하여 사망</t>
  </si>
  <si>
    <t>2021년 4월경 OO 모델하우스 철거공사 현장에서 일용직 재해자 2명이 점심식사를 위해 모델하우스 3층에서 2층으로 내려오던 중 철제 계단이 기울어 지상 2층 바닥으로 추락하여 부상</t>
  </si>
  <si>
    <t>철거공사 현장에서 내려오던 중 계단과 바닥을 연결한 볼트가 탈락하면서 계단이 기울어져 추락</t>
  </si>
  <si>
    <t xml:space="preserve">▶ 단부 작업 등 추락위험이 있는 장소에서 작업 시 안전난간 및 수직형 추락방망 설치
▶ 안전난간의 설치가 곤란할 경우 안전대 부착설비 설치 및 안전대 착용
▶ 개인보호구 지급 및 착용 </t>
  </si>
  <si>
    <t>2016년 7월경 OO신축공사에서 옥상층에 레미탈 포대(40kg)를 2층으로 옮기던 중 계단에서 실족하여 2층 계단으로 추락하면서(약 H≒2m) 머리가 콘크리트 바닥에 부딪혀 사망</t>
  </si>
  <si>
    <t>옥상층에서 레미탈 포대를 옮기던 중 안전난간이 설치되지 않은  계단에서 실족하여 추락</t>
  </si>
  <si>
    <t>▶ 계단 단부 등 추락위험이 있는 장소에는 안전난간 견고하게 설치
▶ 작업을 위해 임의로 안전난간을 해체해야 하는 경우 안전방망 설치 또는 안전대 부착설비를 설치하고 안전대 체결 후 작업</t>
  </si>
  <si>
    <t>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t>
  </si>
  <si>
    <t>모래를 질통에 실어 슬래브에 내려두기전 난간(h=64cm)에 앉으려다 질통(약25kg)의 무게에 의해 몸의 중심이 뒤로 넘어가면서 질통을 맨 채로 바닥(h=4.15m)으로 떨어짐</t>
  </si>
  <si>
    <t xml:space="preserve">▶ 계단 단부 등 추락위험이 있는 장소에는 안전난간 견고하게 설치
▶  사용하던 기구, 자재 등을 바닥에 내려놓은 후 휴식  </t>
  </si>
  <si>
    <t>2019년 2월경 OO대수선공사에서 지상1층 창호주변 미장작업을 위하여 2층에서 작업을 완료하고 1층으로 계단을 이용하여 내려가던 중 발을 헛디뎌 높이 약 1.5M 콘크리트 바닥으로 추락하여 사망</t>
  </si>
  <si>
    <t>계단참 바닥의 몰탈 타설 및 평탄작업 중 발을 헛디뎌 안전난간이 설치되지 않은 계단 단부로 추락</t>
  </si>
  <si>
    <t>2016년 3월경 OO신축공사에서 2층 계단실 벽체 미장작업을 위해 계단위를 오르던 중 몸의 중심을 잃고 넘어져 사망</t>
  </si>
  <si>
    <t>계단실 벽체 미장작업을 위해 계단위를 오르던 중 안전모를 부실하게 착용한 상태에서 넘어지면서 계단실 콘크리트 바닥에 머리를 부딪혀 사망</t>
  </si>
  <si>
    <t>▶ 계단 단부 등 추락위험이 있는 장소에는 안전난간 견고하게 설치
▶ 개인보호구 착용 철저</t>
  </si>
  <si>
    <t>2017년 5월경 OO증축공사에서 4층 계단실 계단참 바닥에 몰탈 타설 및 평탄작업 중, 계단참 끝단부에서 발을 헛디뎌 약 8.6m아래 2층 계단참 바닥으로 추락하여 사망</t>
  </si>
  <si>
    <t>계단참 미장·견출 작업 중 발을 헛디뎌 안전난간이 설치되지 않은 계단 단부로 추락</t>
  </si>
  <si>
    <t>2020년 12월경 OO신축공사에서 3~4층 계단참에서 계단 마구리면 미장작업 중 높이 약 9.2M 아래의 지상 1층 바닥으로 추락하여 사망</t>
  </si>
  <si>
    <t xml:space="preserve">2017년 9월 </t>
  </si>
  <si>
    <t>2017년 9월 OO(주) OO아파트 주택재건축 현장에서 재해자가 아파트 계단실에서 이동하던 중 뒤로 넘어지면서 콘크리트 바닥에 머리를 부딪쳐 사망</t>
  </si>
  <si>
    <t>아파트 계단실에서 이동하던 중 발을 헛디뎌 근로자가 뒤로 넘어지면서 콘크리트 바닥에 머리를 부딪힘</t>
  </si>
  <si>
    <t>▶ 근로자는 계단실을 이용하여 이동할 경우 안전난간을 잡고 이동 하는 등 안전하게 통행</t>
  </si>
  <si>
    <t>2016년 1월경 OO신축공사에서 계단실을 통해 옥상에서 1층으로 내려오던 중 몸의 중심을 잃고 계단 측면 단부에서 하부 콘크리트 바닥으로 떨어져(Hmax≒2.4m) 사망</t>
  </si>
  <si>
    <t>계단실 석재 마감작업 중 몸의 중심을 잃고 안전난간이 설치되지 않은 계단 단부로 추락</t>
  </si>
  <si>
    <t>2016년 6월경 OO신축공사에서 계단을 내려오던 중 중심을 잃고 넘어지며 계단실의 유리가 끼워지지 않은 창호 개구부를 통해 지상 바닥으로 추락하여(H=약10∼15m) 사망</t>
  </si>
  <si>
    <t>2018년 10월경 OO공사에서  4층 계단실 및 세대내부 화장실 벽체 타일작업 준비 중, 몸의 중심을 잃고 4층 내부 계단실 홀(400×800)을 통해 1층 바닥(H≒10.5m)으로 추락하여 사망</t>
  </si>
  <si>
    <t>4.3.2 석재 및 타일 붙임</t>
  </si>
  <si>
    <t>2019년 6월경 OO오피스텔 신축공사 현장에서 협력업체 소속 재해자가 지하1층 계단 재조정 및 대리석 재설치 보조 작업중몸의 중심을 잃고 지하2층 계단(높이 2.59m)으로 추락하여 사망</t>
  </si>
  <si>
    <t>계단실 석재, 타일 마감작업 중 몸의 중심을 잃고 안전난간이 설치되지 않은 계단 단부로 추락</t>
  </si>
  <si>
    <t>2019년 9월경 OO주상 복합 상가 신축공사 현장에서 협력업체 소속 재해자가 2층 바닥으로 올라가는 계단의 화강석 마감 보조 작업 중 몸의 중심을 잃고 1층 계단으로 추락하여(H≒2.52m) 사망</t>
  </si>
  <si>
    <t>OO공사현장 "ㅁ</t>
  </si>
  <si>
    <t>OO공사현장 "ㅁ"형 돌음계단 계단실에서 계단참 타일을, 계단 단부 안전난간이 해체된 상태에서 시공하던 중 균형을 잃고 돌음계단 중앙 "ㅁ"자 개구부로 지하1층 바닥으로(높이 : 약23m) 추락하여 사망</t>
  </si>
  <si>
    <t>4.4.1 도장 면처리</t>
  </si>
  <si>
    <t>2019년 12월경 OO은행 신축공사 현장에서 재해자가 도장공사를 위해 계단실(2층~옥상) 벽체 바탕정리(Putty) 작업 중 계단실 단부에서 높이 약 1.4m 아래 계단실 바닥으로 추락하여 사망</t>
  </si>
  <si>
    <t>도장공사를 위해 계단실 벽체 바탕정리 작업 중 몸의 중심을 잃고 안전난간이 미설치 된 계단 단부에서 추락</t>
  </si>
  <si>
    <t>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t>
  </si>
  <si>
    <t>도장공사를 위해 계단실 벽체 바탕정리 작업 중 안전난간 미설치한 계단 단부에서 몸의 중심을 잃고 추락</t>
  </si>
  <si>
    <t>2021년 2월경 주택 외부계단 난간 및 대문 교체공사 현장에서, 재해자가 건물 외부계단의 계단참에서 지면으로 추락하여(H=2.3m) 사망</t>
  </si>
  <si>
    <t>계단참에서 작업 중 발을 헛디뎌 안전난간이 설치되지 않은 계단 단부로 추락</t>
  </si>
  <si>
    <t>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t>
  </si>
  <si>
    <t>자재운반 중 발을 헛디뎌 안전난간이 설치되지 않은 계단 단부로 추락</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</si>
  <si>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</si>
  <si>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2020년 4월경 OO공사에서 재해자가 지상 5층 계단실 측벽 배선작업을 하던 중 전선을 뒤로 당기다가 몸의 중심을 잃고 계단참 단부로 추락하여(H≒2.5m) 사망</t>
  </si>
  <si>
    <t>계단실 측벽 배선작업 중 전선을 뒤로 당기다가 몸의 중심을 잃고 계단참 단부로 추락</t>
  </si>
  <si>
    <t>▶ 계단실 난간대는 전용 철물로 고정을 하고 100KG이상의 하중을 견디는 구조로 설치
▶ 안전난간대 설치가 불가할 경우 수직방망 등 설치하여 추락안전 조치 실시</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</si>
  <si>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</si>
  <si>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</si>
  <si>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</si>
  <si>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</si>
  <si>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</si>
  <si>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</si>
  <si>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2019년 4월경 산책로 난간보수공사에서 재해자가 난간 조립 및 설치작업 중 몸의 균형을 잃고 바닥으로 추락하여 사망</t>
  </si>
  <si>
    <t>해안산책로 난간보수 작업 중 몸의 균형을 잃고 추락</t>
  </si>
  <si>
    <t>▶ 추락 우려가 있는 곳에 안전난간을 설치 또는 접근금지 휀스 설치
▶ 개인 보호구 지급 및 착용 철저</t>
  </si>
  <si>
    <t>고소작업대</t>
  </si>
  <si>
    <t>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t>
  </si>
  <si>
    <t>고소작업대를 사용하여 지붕에서 지상으로 이동하려던 중 지붕강판에 걸려있던 작업대가 떨어져 나감과 동시에 그 충격으로 몸의 중심을 잃고 바닥으로 추락</t>
  </si>
  <si>
    <t>▶ 고소작업대를 사용하여 작업 시, 지붕강판 등 구조물에 걸려 작업대의 승하강이 어려울 경우, 운전자는 작업대가 걸려있는 상황을 직접 파악한 후 조작 실시
▶ 고소작업대를 통해 작업 시, 전면부에 웨빙띠 및 안전 난간 등과 같은 추락방지조치 철저</t>
  </si>
  <si>
    <t>1.2.4 흙막이 지보공 자재반출</t>
  </si>
  <si>
    <t>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t>
  </si>
  <si>
    <t>차량탑재형 고소작업대의 작업대에 탑승하여 이동 중 선회부의 턴테이블 체결볼트가 파단되면서 근로자 추락</t>
  </si>
  <si>
    <t>▶ 고소작업대의 붐 선회부 등 주요구조부 체결볼트의 충분한 강도유지 및 이상유무 확인 철저
▶ 고소작업대의 붐 길이ㆍ각도 등에 따른 허용 작업반경 초과 사용금지</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</si>
  <si>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</si>
  <si>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</si>
  <si>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</si>
  <si>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</si>
  <si>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</si>
  <si>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</si>
  <si>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12.3.4 가설전기(조명등)</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</si>
  <si>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</si>
  <si>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</si>
  <si>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</si>
  <si>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12.5.5 양중기(특수작업대)</t>
  </si>
  <si>
    <t>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t>
  </si>
  <si>
    <t>고소작업대에 탑승하여 해체물(폐벽돌, 바닥몰탈)을 작업대에 적재하던 중 붐 인출용 로프가 파단되고 작업대와 함께 바닥으로 추락</t>
  </si>
  <si>
    <t>▶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
▶ 고소작업대 사용시, 방호장치 컨트롤러의 작동유무 및 전원상태 확인</t>
  </si>
  <si>
    <t>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t>
  </si>
  <si>
    <t>고소작업대 위에서 도장작업 중, 고소작업대 상부난간대가 이탈되어 근로자가 몸의 중심을 잃고 추락</t>
  </si>
  <si>
    <t>▶ 고소작업대 안전난간 설치 철저
▶ 고소작업대 안전난간 잠금핀 등 방호장치 점검 철저
▶ 안전대ㆍ안전모 지급, 착용 철저</t>
  </si>
  <si>
    <t>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</si>
  <si>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고소작업대에 탑승하여 고소작업대를 상승시킨 채 이동하던 중, 고소작업대 바퀴가 개구부에 빠진 후 고소작업대가 전도되어 근로자 추락</t>
  </si>
  <si>
    <t>▶ 고소작업대 이동통로의 요철상태 확인 및 조치
▶ 고소작업대 이동시 작업대를 가장 낮게 내린 채 운행
▶ 안전모 착용 관리 철저</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</si>
  <si>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</si>
  <si>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</si>
  <si>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</si>
  <si>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</si>
  <si>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</si>
  <si>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</si>
  <si>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t>
  </si>
  <si>
    <t>철근 다발 인양을 위한 줄걸이 및 신호 작업을 하던 중, 크레인의 선회부 볼트가 파단되면서 떨어지던 붐대가 근로자에게 낙하</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</si>
  <si>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</si>
  <si>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t>
  </si>
  <si>
    <t xml:space="preserve">시저형 고소작업대에 탑승중인 재해자가 수직철근 다발을 고소작업대에 기대어 기둥 철근 조립 작업을 하던 중 고소작업대가 전도되며 바닥으로 추락 </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</si>
  <si>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</si>
  <si>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2018년 9월경 OO(주)에서 시공하는 OO 공장 신축공사 현장에서 재해자(철골공)가 철골 상부의 잔여 자재 회수를 위하여 고소작업대 중간 난간대에 올라서서 작업중 약 8.0m 아래 콘크리트 바닥으로 추락하여 사망</t>
  </si>
  <si>
    <t>철골구조물에서 고소작업대에 탑승하여 고소작업대의 안전난간을 밟고 작업하던 중 몸의 균형을 잃고 근로자 추락</t>
  </si>
  <si>
    <t>2015년 9월경</t>
  </si>
  <si>
    <t>2015년 9월경 OO(주) 공장내부 수리작업 현장에서 재해자가 고소작업대에 탑승하여 철골 후레싱(flashing) 마감작업 중 작업장 바닥으로 추락(H≒4.0)하여 사망</t>
  </si>
  <si>
    <t>2017년 1월경 OO종합건설(주) OO공장 신축공사 현장에서 재해자가 고소작업대를 사용하여 지붕 철골 줄걸이 해체작업 중 지상 1층 콘크리트 바닥으로 떨어져(높이 약 10.2m) 사망</t>
  </si>
  <si>
    <t>고소작업대에 탑승한 상태에서 고소작업대 난간을 밟고 철골 보 위로 이동하던 중 근로자가 몸의 균형을 잃고 추락</t>
  </si>
  <si>
    <t>▶ 고소작업대를 설치하는 경우 갑작스러운 이동 방지를 위해 상호연동 제어장치를 설치
▶ 고소작업대 사용 작업 시 안전한 장소에서 작업대를 탑승하거나 내리도록 조치
▶ 고소작업대 사용 시 작업대의 모든 측면에 안전난간 설치</t>
  </si>
  <si>
    <t>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t>
  </si>
  <si>
    <t>철골부재 조립작업을 위해 고소작업대(시저형)에 탑승하여 작업대를 약 4m 높이까지 하강하여 이동 중 고소작업대가 전도되어 바닥으로 떨어짐</t>
  </si>
  <si>
    <t>▶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</si>
  <si>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t>
  </si>
  <si>
    <t>안전대 미착용 등 추락방지조치 미실시한 상태에서 고소작업대에서 철골 구조물로 이동 중 추락</t>
  </si>
  <si>
    <t>2017년 9월경 ㈜OO에서 시공하는 OO공장 증축공사 현장에서 협력업체인 OO산업 소속 재해자(철골공)가 3층 철골 보 위에서 볼트 체결(가조임) 작업중 약 9.5m 아래 콘크리트 바닥으로 추락하여 사망</t>
  </si>
  <si>
    <t>재해자가 안전대 미착용 상태에서 철골 보 위에서 볼트 체결(가조임) 작업중 약 9.5m 아래 콘크리트 바닥으로 추락</t>
  </si>
  <si>
    <t>▶ 철골 보 상부에서 작업시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</si>
  <si>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2019년 1월경 OO공사 현장에서 직영 근로자인 재해자(철골공)가 고소작업차(차량탑재형)의 작업대에서 부재 설치 및 수정작업 중 몸의 중심을 잃고 약 7m 아래 바닥으로 떨어져 사망</t>
  </si>
  <si>
    <t>고소작업차의 작업대에서 아케이드 부재 설치 및 수정작업 중 작업대 내부에서 이동 중 몸의 중심을 잃고(원인 미상) 추락</t>
  </si>
  <si>
    <t>▶ 고소작업대 사용 시 추락방지를 위해 안전대 부착설비 설치 및 안전대 착용
▶ 고소작업대를 사용하여 작업 시 작업대 내부에서만 작업 또는 안전대 체결 시 가능한 범위에서 작업 실시
▶ 개인보호구 지급 및 착용</t>
  </si>
  <si>
    <t xml:space="preserve"> 2019년 7월</t>
  </si>
  <si>
    <t xml:space="preserve">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t>
  </si>
  <si>
    <t>시저형 고소작업대에 탑승하여 철골보 볼트 본조임 작업을 하던 중 고소작업대 상승 중 철골보와 고소작업대 안전난간 사이에 근로자 머리가 협착</t>
  </si>
  <si>
    <t>▶ 고소작업대 사용 시 과상승 방지장치를 4개소에 설치하며 유효높이 확보 후 작업 실시
▶과상승 방지장치의 수정방법이 간단하여 임의 조작이 불가능한 구조로 설계 혹은 안전난간에 눌림을 감지하여 작업대의 과상승 방지 구조로 사용</t>
  </si>
  <si>
    <t>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t>
  </si>
  <si>
    <t>차량탑재형 고소작업대의 작업대에 탑승하여 상부 철골 구조물에 내화도장 작업을 하던 중 고소작업대 허용 작업반경을 초과하여 작업하면서 전도되어 근로자 추락</t>
  </si>
  <si>
    <t>▶ 고소작업대 허용 작업반경 내 사용 준수 
▶ 고소작업대 안전장치 설치 및 정상작동 상태 유지로 허용 작업범위 내에서 작업 실시
▶ 고소작업대 작업 전 과부하방지장치 등 안전장치 설치상태 및 작동유무 점검</t>
  </si>
  <si>
    <t>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t>
  </si>
  <si>
    <t>고소작업대 위에서 작업대의 승강발판을 딛고 지상바닥으로 내려오던 중 근로자가  발판에서 실족 또는 몸의 중심을 잃고 추락하며 벽체 철근에 찔림</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</si>
  <si>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</si>
  <si>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</si>
  <si>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</si>
  <si>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t>
  </si>
  <si>
    <t xml:space="preserve">차량탑재형 고소작업대를 사용하여 작업을 진행하던 중 작업대 하부가 철골 빔 볼트에 걸려 장비를 조정하던 과정에서 작업대 반동으로 인해 근로자 추락 </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</si>
  <si>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</si>
  <si>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t>
  </si>
  <si>
    <t>철골 구조물 조립을 위해 자주식 시저형 고소작업대에 탑승하여 상승하던 중 재해자는 불안정한 행동 등 기타의 사유로 고소작업대를 벗어나 지상으로 추락</t>
  </si>
  <si>
    <t>2021년 5월경 OO공장 신축공사 현장 내 공장 1동 철골 루프층(보 2단. h≒10m)에서 볼트 수체결 작업 후 지상으로 내려오기 위해 고소작업대(시저형)로 이동 중 바닥면으로 떨어져 사망</t>
  </si>
  <si>
    <t>2021년 5월경 OO건축에서 시공하는 OO공장 증축공사 현장에서 협력업체 소속 재해자는 지붕철골 본조립을 위해 고소작업대에서 테두리 Girder 이동 중 약 5.5m 아래 구조물 바닥으로 떨어져 사망</t>
  </si>
  <si>
    <t>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t>
  </si>
  <si>
    <t>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t>
  </si>
  <si>
    <t>▶ 고소작업대의 붐대를 상승시킨 상태에서 작업 시 작업대 범위 내에서 작업 실시 또는 안전대 부착설비 설치 및 안전대 체결 상태에서 가능한 범위 내의 작업 실시
▶ 고소작업대를 사용하여 작업 시 근로자의 무리한 작업 방지를 위해 붐대 하강 후 고소작업대 이동을 통한 정확한 위치에서 작업
▶ 근로자가 추락할 위험이 있는 보 상단 등 높이 2m 이상인 장소에 안전대를 안전하게 걸어 사용할 수 있는 안전대 부착설비 설치</t>
  </si>
  <si>
    <t>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</si>
  <si>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xml:space="preserve">이삿짐운반용 리프트 운반구에 탑승하여 시멘트 벽돌을 양중하던 중, 와이어로프가 파단되어 리프트가 전도되며 근로자 추락 </t>
  </si>
  <si>
    <t>▶ 이삿짐운반용 리프트 운반구에 근로자 탑승 금지
▶ 이삿짐운반용 리프트 안전검사 실시 및 확인 철저
▶ 이삿짐운반용 리프트 운반구에 적재하중 준수</t>
  </si>
  <si>
    <t>2016년 6월경 OO신축공사에서 지하주차장 보 견출 작업 중 고소작업대와 지하주차장 보 사이에 두부가 끼어 사망</t>
  </si>
  <si>
    <t>고소작업대에 탑승하여 보 또는 천정부의 견출 작업 중 천정과 고소작업대 상부 난간 사이에 끼임</t>
  </si>
  <si>
    <t>▶ 방호 장치 해체 금지
▶ 고소작업대를 사용하는 경우 작업대가 일정 높이 이상 상승하지 못하도록 과상승방지장치를 적당한 높이로 설치
▶ 작업전 고소작업대 작동상태 및 이상여부 점검 실시</t>
  </si>
  <si>
    <t>2016년 8월경 OO신축공사에서 철선제거 작업을 위하여 고소작업대(시저형)에 탑승하여 상승하던 중, 지하 1층 천정과 작업대의 안전난간 사이에 머리가 끼어 사망</t>
  </si>
  <si>
    <t>2017년 2월경 OO신축공사에서 고소작업대(시저형)에 탑승하여 지하층 콘크리트 구조물 면의 할석작업(거푸집 제거 작업)을 진행하던 중 지하층 천정 보와 고소작업대의 난간대 상부 사이에 흉부가 끼어 사망</t>
  </si>
  <si>
    <t>2020년 8월경 OO신축공사에서 1층 바닥 미장 공사를 위한 청소작업 중 후진하는 고소작업대(시저형)에 깔리면서 끼어 사망</t>
  </si>
  <si>
    <t>바닥 미장공사를 위해 청소작업 중 정된 유도자 미배치 한 상태로 후진하는 고소작업대에 부딪혀 깔림</t>
  </si>
  <si>
    <t>▶ 차량계 하역운반기계 사용 시 출입통제 조치 실시 또는 유도자 배치
▶ 고소작업대 이동 시 작업대를 최하단으로 낮추어 이동
▶ 공사 진행 시 차량계 하역운반기계와 인접하여 협착위험이 있는 작업의 경우 사전에 인지시키거나 작업 순서 변경 권고</t>
  </si>
  <si>
    <t>2021년 4월경 OO재건축공사에서 고소작업대의 상부난간과 천장보 사이에 끼어 사망</t>
  </si>
  <si>
    <t>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t>
  </si>
  <si>
    <t>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t>
  </si>
  <si>
    <t>인근 건물 담장에 있는 재해자를 발견하지 못하고 고소작업대가(차량탑재형) 아우트리거를 펼친 상태에서 이동 중 담장 사이에 가슴부위가 충돌·협착</t>
  </si>
  <si>
    <t>▶위험구역 내 근로자 출입금지
▶고소작업대 허용 작업반경 내에서 작업 실시
▶작업 전 아웃트리거, 과부하방지장치 등 설치 상태 및 작동 유무 점검</t>
  </si>
  <si>
    <t>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t>
  </si>
  <si>
    <t>고소작업대에 석재를 싣고 상승하는 중 작업대 붐 인출용 와이어로프가 파단되면서 급하강하는 작업대에서 추락</t>
  </si>
  <si>
    <t>▶ 정격하중을 초과하는 자재 등을 고소작업대에 적재 및 운반하는 행위를 원칙적으로 금지하며 불가피한 경우 정격하중을 넘어서지 않는 범위 내에서 소분하여 운반하도록 조치
▶ 작업 전 고소작업대 부품 및 방호장치 등의 이상여부 점검 철저 
▶ 고소작업대 작업 시 안전대부착설비 설치 및 안전대 체결 후 작업토록 관리감독</t>
  </si>
  <si>
    <t>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t>
  </si>
  <si>
    <t>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t>
  </si>
  <si>
    <t>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t>
  </si>
  <si>
    <t>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t>
  </si>
  <si>
    <t>2017년 4월경 고가교 보수보강공사 현장에서 고소작업대(차량탑재용)에 탑승하여 교각 주변 연석 외측부의 도장 작업을 진행하던 중 작업대가 흔들려 몸의 중심을 잃고 추락하여 사망</t>
  </si>
  <si>
    <t xml:space="preserve">고소작업대에 탑승하여 교량 연석 외측부 도장작업 중 작업장소 이동을 위해 고소작업대 붐을 선회하는 과정에서 작업대가 흔들리며 몸의 중심을 잃고 추락  </t>
  </si>
  <si>
    <t>2018년 8월경 OO건설 근생 신축 현장에서 재해자가 고소작업대 위에서 도장작업 중 고소작업대 상부난간대가 이탈되어 지상1층 콘크리트 바닥으로 추락하여(H≒3.3m) 사망</t>
  </si>
  <si>
    <t>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t>
  </si>
  <si>
    <t>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t>
  </si>
  <si>
    <t>주철주 상단 도장 작업을 마치고 고소작업대(차량탑재형) 탑승구에 탑승한 채 내려오던 중 인접 가로수에 탑승구 하부가 접촉하며 그 충격으로 지상 바닥으로 떨어짐</t>
  </si>
  <si>
    <t>2020년 7월경 OO공장 입구에서 재해자가 철골 용접부위 도장작업을 위하여 차량탑재형 고소작업대에 탑승하여 락카칠을 하던 중 안전난간이 미설치된 방향으로 몸의 중심을 잃고 높이 약 3.7m 아래로 추락하여 사망</t>
  </si>
  <si>
    <t>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t>
  </si>
  <si>
    <t>2021년 6월경 OO아파트 외벽도장 공사현장 4층 높이(11M)에서 차량탑재형 고소작업대(스카이)를 이용한 외부 도장작업에서 운전기사가 고소작업대를 이동시키던 중 재해자가 지상으로 추락하여 사망</t>
  </si>
  <si>
    <t>차량탑재형 고소작업대(스카이)를 이용한 외부 도장작업에서 고소작업대를 내리지 않고 이동시키던 중 재해자가 지상으로 추락</t>
  </si>
  <si>
    <t>2021년 7월경 OO저수지 자연환경보전·이용시설(수변생태공원) 조성사업 현장에서, 재해자가 자주식(굴절형) 고소작업대를 사용하여 자연관찰교량(보도교, Truss) 접합부(용접,볼팅) 도장작업 중, 바닥으로 추락하여 사망</t>
  </si>
  <si>
    <t>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t>
  </si>
  <si>
    <t xml:space="preserve">고소작업대에 탑승한 상태에서 작업대 바깥으로 몸을 내밀어 지상(하부)에서 공구를 전달받던 중 몸의 중심이 바깥으로 쏠리며 추락 </t>
  </si>
  <si>
    <t>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t>
  </si>
  <si>
    <t>배관작업 중 고소작업대 붐 인출용 체인 고정용 볼트 파단에 의한 근로자 추락</t>
  </si>
  <si>
    <t>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t>
  </si>
  <si>
    <t>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t>
  </si>
  <si>
    <t>▶ 고소작업대 이동통로에 장애물 등을 제거 후 이동 조치
▶ 고소작업대의 이동시 다른 고소작업대와의 이동 및 작업구역이 겹치지 않은 우회경로 설정 준수</t>
  </si>
  <si>
    <t>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t>
  </si>
  <si>
    <t>고소작업대에 방화셔터 기둥을 묶어 해체하던 중 기둥의 모멘트에 의해 고소작업대가 전도되어 바닥으로 추락</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</si>
  <si>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</si>
  <si>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t>
  </si>
  <si>
    <t>고소작업대에 탑승하여 작업하던 중 근접한 위치에서 천정크레인이 작동하면서 크레인 거더와 고소작업대가 충돌·전도되어 추락</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</si>
  <si>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</si>
  <si>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2018년 4월경 OO초교 균열 등 보수공사 현장에서 재해자가 교사동 2관 4층 바닥 외부의 캐노피(빗물막이용 돌출구조물) 보수를 위한 칼라강판 설치 작업 중, 몸의 중심을 잃고 1층 바닥(h≒9.9m, 보도블럭)으로 추락하여 사망</t>
  </si>
  <si>
    <t>캐노피에서 작업 중 발을 헛디뎌 안전난간이 설치되지 않은 캐노피 단부로 추락</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</si>
  <si>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</si>
  <si>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t>
  </si>
  <si>
    <t>고소작업대에 탑승하여 작업 중 발을 헛디뎌 안전난간이 설치되지 않은 작업대 단부로 추락</t>
  </si>
  <si>
    <t>▶ 고소작업대 작업 시, 안전대 설치 및 안전대 결합 등 추락방지조치(안전대 부착) 준수
▶ 작업자의 개인보호구, 안전대 체결여부 점검 및 관리감독</t>
  </si>
  <si>
    <t>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t>
  </si>
  <si>
    <t>고소작업대에서 발코니 내부로 이동하기 위해 안전대를 풀고 이동하던 중 발을 헛디뎌 작업대 단부로 추락</t>
  </si>
  <si>
    <t>▶ 고소작업대 사용 시, 작업대를 벗어나서 건물 외부에서 내부로 들어가는 행위를 금지하고 불가피하게 내부로 들어가야 할 경우, 건물 내부의 튼튼한 구조물에 안전대를 체결한 후 건물 내부로 이동
▶ 고소작업대 사용 시, 전면부에 웨빙띠 및 철재난간대 등과 같은 추락방지조치
▶ 작업자의 개인보호구, 안전대 체결여부 점검 및 관리감독</t>
  </si>
  <si>
    <t>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t>
  </si>
  <si>
    <t>자재운반 작업 후 고소작업대를 하강하는 과정에서 작업대 하부가 구조물에 걸린상황을 인지하지 못하고 작동하는 순간 작업대가 흔들리면서 탑승해 있던 재해자가 몸의 중심을 잃고 바닥으로 추락</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</si>
  <si>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고소작업대를 통해 작업 시, 전면부에 웨빙띠 및 철재난간대 등과 같은 추락방지조치 철저
▶ 작업자의 개인보호구, 안전대 체결여부 점검 및 관리감독</t>
  </si>
  <si>
    <t>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t>
  </si>
  <si>
    <t>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t>
  </si>
  <si>
    <t>고소작업대에 탑승한 상태에서 붐을 선회하던 중 아웃트리거가 전개되지 않은 방향으로 고소작업대가 전도하면서 작업대에서 추락</t>
  </si>
  <si>
    <t xml:space="preserve">▶ 고소작업대 허용 작업반경 내 사용 준수 
▶ 고소작업대 작업 전 과부하방지장치 등 안전장치 설치상태 및 작동유무 점검
▶ 고소작업대 작업 시 아웃트리거 전개 등 전도방지조치 </t>
  </si>
  <si>
    <t>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t>
  </si>
  <si>
    <t>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t>
  </si>
  <si>
    <t>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t>
  </si>
  <si>
    <t>고소작업대에 탑승하여 작업 중 작업대를 작업위치로 밀착시키기 위해 작업대를 작동하는 과정에서 유리와 충돌하고 작업대가 붐에서 탈락되며 작업대와 함께 추락</t>
  </si>
  <si>
    <t>▶ 고소작업대 사용 시, 작업대를 작업부위에 밀접하여 이동시키는 경우, 충돌을 방지하기 위해 사전에 조종원과 작업자 간의 신호체계 수립
▶ 고소작업대 사용 시, 허용 작업반경을 벗어나 작업하는 행위를 금지하고 안전장치는 항상 작동되어 있는 상태로 유지</t>
  </si>
  <si>
    <t>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</si>
  <si>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창호 설치를 마치고 고소작업대 철수를 위해 고정된 아웃트리거를 지상에서 올리던 순간 고소작업차가 내리막길로 굴러가면서 고소작업대 아웃트리거에 충돌 후 끼인 상태에서 내리막길로 끌려감</t>
  </si>
  <si>
    <t>▶ 고소작업대(차) 운전원이 운전위치 이탈 시 브레이크 또는 고임목 설치 등 차량 이탈 방지를 위한 조치 실시
▶ 고소작업대(차)를 경사로에 주차하는 경우 핸드(주차) 브레이크와 풋 브레이크를 함께 사용
▶ 고소작업대(차)가 경사로로 밀려 내러가는 경우, 무리하게 인력으로 차량 앞을 막아서는 행위 금지
▶ 고소작업대(차)를 이용하여 작업하는 경우 지형, 지반상태에 대해 사전조사 실시</t>
  </si>
  <si>
    <t>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t>
  </si>
  <si>
    <t>안전장치가 해제된 고소작업대에 탑승하여 작업 중 작업반경을 초과한 고소작업대가 전도하면서 추락</t>
  </si>
  <si>
    <t>2021년 12월경 실내체육시설 신축공사 현장에서 재해자 2명이 차량탑재형 고소작업대 위에서 건물 계단실 프로젝트창호에 유리를 설치하기 위한 테이핑 작업 중 약 12.6m 아래 지상으로 떨어짐</t>
  </si>
  <si>
    <t>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t>
  </si>
  <si>
    <t>창문턱을 딛고 올라서서 자재를 고소작업대로 옮겨 싣던 중 운전원의 목에 걸어둔 조종장치의 버튼이 눌리는 순간 작업대가 기울면서 몸의 무게중심이 쏠려 바닥으로 추락</t>
  </si>
  <si>
    <t>▶ 추락 위험 구간에서 작업 시 안전대 부착설비 설치 및 안전대 체결여부 점검 및 관리감독
▶ 고소작업대(차) 안전장치 설치 및 정상작동 상태 유지로 허용 작업범위 내에서 작업 실시</t>
  </si>
  <si>
    <t>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t>
  </si>
  <si>
    <t>하역작업 후 고소작업대 붐을 인입하던 중 작업대가 구조물에 걸렸다 풀리면서 흔들림이 발생하여 작업대에 한 발을 걸치고 있던 재해자가 몸의 균형을 잃고 추락</t>
  </si>
  <si>
    <t>▶ 고소작업대(차)를 사용하는 경우 탑승자가 작업대를 벗어나지 않도록 조치
▶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</si>
  <si>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t>
  </si>
  <si>
    <t>배기용덕트를 고소작업대에 묶어 바닥에서 5층으로 인양하던 중 4층 높이에서 고소작업대 붐의 인출용 와이어로프가 끊어짐에 따라 근로자 추락</t>
  </si>
  <si>
    <t>▶ 고소작업대 작업 전 와이어로프 등 인양용 로프의 손상 여부 사전 점검 실시
▶ 고소작업대 탑승 작업자에게 안전모, 안전대 지급 및 착용</t>
  </si>
  <si>
    <t>2017년 10월경 OO㈜ OO마트 신축현장 지하 2층 공조실에서 재해자가 시저형 고소작업대 위에서 약 5m 높이에 설치 된 덕트의 보온 작업 중 몸에 중심을 잃고 4.2m 아래 콘크리트 바닥으로 떨어져 사망</t>
  </si>
  <si>
    <t>고소작업대에 탑승하여 작업 중 작업높이가 맞지 않아 작업대의 안전난간을 밟고 올라서서 작업하다가 발을 헛디뎌 추락</t>
  </si>
  <si>
    <t>▶ 고소작업대 작업 중 작업대 이탈 등 불안전한 행동 금지 및 관리감독
▶ 고소작업대 탑승 시 작업대 안전난간 설치상태 확인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</si>
  <si>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t>
  </si>
  <si>
    <t>고소작업대에 탑승한 상태에서 작업위치가 닿지 않아 작업대 밖으로 몸을 내밀어 작업하던 중 몸의 중심이 밖으로 쏠리며 추락</t>
  </si>
  <si>
    <t>▶ 작업 전 위험요인 파악을 위한 위험성평가를 실시
▶ 고소작업대 작업 시 작업대 이탈을 원칙적으로 금지하고, 부득이하게 이탈할 경우 작업구간에 안전대 부착설비 설치 및 근로자 안전대 체결한 상태로 작업 실시
▶ 고소작업대 탑승 시 작업대 안전난간 설치상태 확인
▶ 고소작업대 작업 중 작업대 이탈 등 불안전한 행동 금지 및 관리감독
▶ 작업자의 개인보호구, 안전대 체결여부 점검 및 관리감독</t>
  </si>
  <si>
    <t xml:space="preserve"> 2017년 2월</t>
  </si>
  <si>
    <t xml:space="preserve"> 2017년 2월경 OO에서 시공하는 OO 신축공사 현장에서 재해자(판넬설치공)가 외벽 판넬 인양작업 중 몸의 중심을 잃고 약 6m 아래 지상 1층 콘크리트 바닥으로 떨어져 사망</t>
  </si>
  <si>
    <t>고소작업대에 탑승하여 도르래의 양중로프를 당기던 중 양중물 체결부위가 파단되어 낙하하면서 발생한 반동으로 재해자가 작업대에서 추락</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</si>
  <si>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</si>
  <si>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t>
  </si>
  <si>
    <t>과상승방지장치가 미설치된 고소작업대에 탑승하여 상승하던 중 작업대와 구조물 상부 사이에 끼임</t>
  </si>
  <si>
    <t>▶ 고소작업대 작업 전 작업계획서를 수립하고, 과상승방지장치 등 안전장치 설치 및 상태 점검
▶ 고소작업대 작업 중 작업대 이탈, 안전난간을 밟고 올라서는 등의 불안전한 행동 금지 및 관리감독
▶ 고소작업대 작업 시 관리감독자 또는 안전관리자 배치하여 관리감독</t>
  </si>
  <si>
    <t>2016년 11월경 ㈜OOOO 냉동창고 설치공사 현장에서 재해자가 지상 1층 수산냉동실에서 벽체 판넬 코킹(실리콘) 작업을 하기위해 고소작업대(시저형) 탑승 중 콘크리트 바닥(H≒0.9m)으로 떨어져 사망(추정)</t>
  </si>
  <si>
    <t>고소작업대 탑승을 위해 답단이 좁은(0.32m) 승강사다리를 올라가던 중 발을 헛디뎌 추락</t>
  </si>
  <si>
    <t>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t>
  </si>
  <si>
    <t>▶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
▶ 고소작업대(차) 이동 또는 작업대를 움직여야 할 경우, 작업대가 마감재 등에 걸려 충돌 및 충격을 받지 않도록 운전원과 작업자 간의 무선연락체계(무전기 등)를 통한 정확한 신호체계 구축
▶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t>
  </si>
  <si>
    <t>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t>
  </si>
  <si>
    <t>작업높이에 맞지 않아 고소작업대 난간대를 밟고 올라서서 작업하던 중 몸의 균형을 잃고 바닥으로 추락</t>
  </si>
  <si>
    <t>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t>
  </si>
  <si>
    <t>외벽 패널 설치 작업을 진행하던 중 작업대 보조 작업발판 하부 경첩이 파손되어 작업발판이 벌어지면서 추락</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</si>
  <si>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</si>
  <si>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t>
  </si>
  <si>
    <t>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t>
  </si>
  <si>
    <t>고소작업대를 하강시키던 중 작업대가 장애물에 걸려 흔들리면서 작업대에서 추락</t>
  </si>
  <si>
    <t>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t>
  </si>
  <si>
    <t>고소작업대에 탑승하여 작업 중 지나가는 지게차의 돌출된 구조부(마스트)가 고소작업대의 붐대와 충돌하면서 재해자가 작업대에서 추락</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</si>
  <si>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</si>
  <si>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</si>
  <si>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고소작업대에 탑승하여 작업 중 운전원이 작업대를 이동시키는 순간 몸의 중심을 잃고 안전난간이 설치되지 않은 작업대 단부로 추락</t>
  </si>
  <si>
    <t>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t>
  </si>
  <si>
    <t>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</si>
  <si>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t>
  </si>
  <si>
    <t>고소작업대에 탑승하여 작업 중 아웃트리거 거치지반이 침하하여 전도되면서 작업대에서 추락</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</si>
  <si>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</si>
  <si>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t>
  </si>
  <si>
    <t>과상승방지장치가 설치되지 않은 고소작업대에서 작업대 외부로 상체를 내밀어 작업하던 중 재해자가 착용한 공구주머니 및 상체가 작동레버를 눌러 순간 상승되면서 작업대와 구조물 사이에 끼임</t>
  </si>
  <si>
    <t>2020년 9월경 OO(주) OO 신축공사 현장에서 재해자가 고소작업대 상부에서 지붕판넬 설치작업을 하던 중 추락(H≒12m)하여 사망</t>
  </si>
  <si>
    <t>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</si>
  <si>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</si>
  <si>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</si>
  <si>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</si>
  <si>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</si>
  <si>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2019년 5월경 OO공사에서 재해자가 고소작업대에 탑승한 상태에서 플렉시블관에 전선 인입 작업 중 고소작업대가 과상승하여 천정 슬래브와 고소작업대 난간대 상부 사이에 끼어 사망</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</si>
  <si>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</si>
  <si>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</si>
  <si>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</si>
  <si>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</si>
  <si>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</si>
  <si>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</si>
  <si>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</si>
  <si>
    <t>고소작업대(차량탑재형)를 이용해 통신선 설치작업을 하던 중 폐기물 수집운반차량이 고소작업대 밑을 지나가면서 고소작업대 붐을 추돌하여 작업대에 탑승해 있던 재해가 바닥으로 추락</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</si>
  <si>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</si>
  <si>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고소작업대(차량탑재형)의 작업대에 탑승 후 교량하부에 설치된 가로등을 교체하는 작업 도중, 운전자가 하강버튼을 눌렀으나 오작동으로 인해 작업대가 상승하면서 재해자가 교량 하부에 협착함</t>
  </si>
  <si>
    <t>▶ 작업 시작전 안전장치의 정상작동 여부 사전점검
▶ 작업대 상단부에 과상승방지장치 추가 설치
▶ 작업자와 운전자의 신호체계 확립</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</si>
  <si>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</si>
  <si>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고소작업대(차량탑재형)의 작업대에 작업자가 탑승하여 통신케이블 포설 후 버켓 하강 중 턴테이블 체결볼트 파단에 의해 붐대가 전도되며 함께 추락</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</si>
  <si>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</si>
  <si>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</si>
  <si>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윈치로 고소작업대 운반작업 중 윈치를 고정하고 있던 셋트앵커 탈락으로 인해 고소작업대 낙하</t>
  </si>
  <si>
    <t>▶ 안전대 부착설비 및 작업발판 설치 등 추락방지조치 준수
▶ 작업 전 셋트앵커 설치상태 점검</t>
  </si>
  <si>
    <t>2015년 12월경 OO신축공사 현장에서 재해자가 고소작업대에 탑승하여 소방 배관의 용접부 도장작업 중 과상승으로 인한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</si>
  <si>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</si>
  <si>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</si>
  <si>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</si>
  <si>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</si>
  <si>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2016년 11월경 OO공장 내부에서 재해자가 이동식 고소작업대을 이용하여 크레인 레일을 H-beam에 후크볼트로 체결하는 작업을 하는 과정에서 4m높이의 콘크리트 바닥으로 떨어짐</t>
  </si>
  <si>
    <t>고소작업대(시저형) 탑숭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</si>
  <si>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</si>
  <si>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</si>
  <si>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2017년 6월경 OO 복합시설 신축공사 현장에서 재해자가 고소작업대 상부에서 오배수 통기관 설치·확인 작업 중 떨어짐(H≒2.4m)</t>
  </si>
  <si>
    <t>2018년 10월경 OO 복합시설 신축공사 현장 지상 1층 방재실 인근에서 재해자가 고소작업대에 탑승하여 배관설비 작업 중, 고소작업대의 안전난간과 천정에 설치된 파이프 사이에 끼임</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</si>
  <si>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</si>
  <si>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</si>
  <si>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</si>
  <si>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</si>
  <si>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</si>
  <si>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</si>
  <si>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</si>
  <si>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2019년 10월경 OO 신축 기계소방공사 현장에서 재해자가 차량탑재형 고소작업대에 탑승하여 공장동 1층 스프링클러 배관의 도장 작업 중, 재해자가 고소작업대(높이 약 4m)에서 떨어짐</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</si>
  <si>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</si>
  <si>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</si>
  <si>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</si>
  <si>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</si>
  <si>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</si>
  <si>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2021년 4월경 OO공장 현장에서 재해자가 고소작업대에 탑승하여 케이블트레이 접속부의 본딩접지 볼트체결을 위해 상체를 숙인 후 작업 중 고소작업대 안전난간과 소방배관 사이에 복부가 끼임</t>
  </si>
  <si>
    <t>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t>
  </si>
  <si>
    <t>2016년 2월경 부지정지공사에서 재해자가 차량 탑재형 크레인을 이용하여 조경수 인양작업을 하던 중 크레인 슬링벨트에 걸린 나뭇가지가 회전하여 타격 후 몸의 중심을 잃고 15m 아래 바닥으로 추락하여 사망</t>
  </si>
  <si>
    <t>차량 탑재형 크레인을 이용하여 조경수 인양작업을 하던 중 크레인 붐대를 상승하던 순간 슬링벨트에 의해 나뭇가지가 회전하여 근로자를 타격해 몸의 중심을 잃고 추락함</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</si>
  <si>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</si>
  <si>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9.3.1 터널 강지보</t>
  </si>
  <si>
    <t>2016년 12월경 터널 공사현장에서 재해자가 지보재 다발의 슬링벨트를 제거하던 중 근처에 있더 터널용 고소작업차가 움직이면서 끼여 사망</t>
  </si>
  <si>
    <t>지보재를 하역하던 중 터널용 고소작업차(차징카)가 갑자기 움직여 작업대와 지보재 사이에 근로자가 끼임</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</si>
  <si>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</si>
  <si>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기계설비</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</si>
  <si>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</si>
  <si>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</si>
  <si>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</si>
  <si>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2016년 10월경 OO설치공사 현장에서 해체되어 운반차에 안착되어 있던 노후 모터(중량 약 4.5ton 추정)가 전도되면서 재해자와 부딪혀 사망</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</si>
  <si>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</si>
  <si>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</si>
  <si>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</si>
  <si>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</si>
  <si>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2016년 4월경 고속도로 건설공사에서 재해자가 크랴사 벨트컨베이 윤활유 주입 중 갑작스런 벨트컨베이어의 가동으로 몸의 중심을 잃고 쓰러지며 두부를 강타당해 사망</t>
  </si>
  <si>
    <t>급작스런 벨트컨베이어 가동으로 근로자가 중심을 잃고 쓰러지면서 자석에 두부를 강타</t>
  </si>
  <si>
    <t>▶ 크라샤 동력전달부 윤활유 주입작업 시 컨베이어 정지
▶ 운전을 정지한 경우 운전하는 것을 방지하기 위해 크라샤 벨트 컨베이어의 기동장치에 잠금장치 설치</t>
  </si>
  <si>
    <t>12.5.2 양중기(리프트)</t>
  </si>
  <si>
    <t>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t>
  </si>
  <si>
    <t>화물용승강기 해체작업 중 승강기 카와 균형 추의 무게균형이 쏠리고 승강기가 불시에 상승하여 하강하는 균형추에 깔림</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</si>
  <si>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</si>
  <si>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</si>
  <si>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</si>
  <si>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</si>
  <si>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</si>
  <si>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</si>
  <si>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</si>
  <si>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</si>
  <si>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</si>
  <si>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폭발</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</si>
  <si>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</si>
  <si>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</si>
  <si>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</si>
  <si>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</si>
  <si>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</si>
  <si>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</si>
  <si>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</si>
  <si>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</si>
  <si>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</si>
  <si>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</si>
  <si>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</si>
  <si>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</si>
  <si>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</si>
  <si>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</si>
  <si>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자재 가공작업 중 옷의 일부가 기계(파이프머신)에 말려들어가면서 흉부압박</t>
  </si>
  <si>
    <t>▶ 파이프머신 작업 시 회전축에 옷, 장갑 등이 말려들어가지 않도록 회전축 덮개를 설치한 후 작업</t>
  </si>
  <si>
    <t>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t>
  </si>
  <si>
    <t>기계식 주차장 내부에서 작업 중 승강기가 작동하며 하강하는 균형추와 주차설비 구조물 사이에 끼임</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</si>
  <si>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</si>
  <si>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t>
  </si>
  <si>
    <t>기계식 주차장 내부에서 작업 중 승강기가 작동하며 하강하는 균형추에 맞음</t>
  </si>
  <si>
    <t>2020년 9월경 OO프라자 인테리어공사 현장에서 재해자가 지상 3층 승강기(엘리베이터) 구간 방화벽체 설치 작업 중 승강기 운행으로 하강하는 균형추와 승강기 벽체 수평철골 사이에 흉부가 협착되어 사망</t>
  </si>
  <si>
    <t>이동식사다리에서 승강기 방화벽체 작업 중 설치상태 확인을 위해 승강기 내부로 상체를 기울인 상태에서 승강기가 작동하며 하강하는 균형추와 벽체 구조물 사이에 끼임</t>
  </si>
  <si>
    <t>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t>
  </si>
  <si>
    <t>전동윈치를 사용하여 양중작업 중 윈치를 거치한 부재의 용접 이음부가 파단되면서 낙하하는 윈치에 맞음</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</si>
  <si>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</si>
  <si>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t>
  </si>
  <si>
    <t>▶ 기계식 주차설비 운반기 운전 시, 위험 방지조치 및 신호체계 구축
▶ 기계식 주차설비를 근로자의 승강목적으로 사용 금지
▶ 기계식 주차설비의 균형추 주행로상, 근로자의 접근금지 조치 철저</t>
  </si>
  <si>
    <t xml:space="preserve">2016년 2월경 OO공사에서 재해자가 지하 변전실에서 변압기를 인력으로 이동하던 중 변압기가 뒤집어 지면서 변압기에 부딪혀 사망 </t>
  </si>
  <si>
    <t>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t>
  </si>
  <si>
    <t>▶ 지주식 고소작업대를 사용하는 작업 시 전도 등의 위험예방을 위한 유도자 배치 후 작업실시
▶ 천장크레인을 이용한 작업 시 안전한 신호방법을 정한 후 운전자는 그 신호에 따라 천장크레인 작동 실시
▶ 고소작업대 내부에서 작업 시 안전대 지급 및 착용상태 관리</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</si>
  <si>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</si>
  <si>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</si>
  <si>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</si>
  <si>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2018년 4월경 OO공사에서 재해자 등이 전력량 확인용 계량기를 설치하기 위해 멀티테스트기를 이용하여 전류테스트를 실시하던 중 과전류로 인한 아크폭발 발생으로 3명 부상</t>
  </si>
  <si>
    <t>수배전실 내 계량기 설치를 위해 멀티테스트기로 전류테스트 중 과전류로 인한 아크폭발 발생으로 부상(화상)</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</si>
  <si>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</si>
  <si>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2020년 5월경 OO공사에서 재해자가 축산냉장고 상부에서 전등공사 작업 중 몸의 중심을 잃고 콘크리트 바닥으로 추락하여(H≒2.86m)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</si>
  <si>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</si>
  <si>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</si>
  <si>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2021년 11월경 OO공사에서 재해자가 수배전반 위에서 덕트 덮개를 설치하던 중 발을 헛디뎌 수배전반 단부로 추락하여(H≒3m) 사망</t>
  </si>
  <si>
    <t>수배전반(큐비클) 상부에서 덕트 덮개 설치 중 단부로 추락</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</si>
  <si>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</si>
  <si>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케이블 포설작업을 위해 윈치 조작 중 로프가 도르래의 이탈로 인한 근로자 강타 및 레일로 추락</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</si>
  <si>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</si>
  <si>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</si>
  <si>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2020년 10우</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</si>
  <si>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</si>
  <si>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</si>
  <si>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</si>
  <si>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 단차가 있는 자재 또는 부재 세우기 작업 중 전도방지를 위한 체인블럭, 윈치 등 달기구를 이용하여 지탱하는 방식으로 전도방지조치 실시</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</si>
  <si>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</si>
  <si>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</si>
  <si>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</si>
  <si>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</si>
  <si>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2016년 11월경 OO학교 이전신축 수배전반설치공사 현장에서 지상 1층 계단에서 지하층으로 변압기를 이동시키던 중, 변압기를 고정한 앵커볼트가 탈락되면서 재해자가 변압기에 부딪힌 후 깔림</t>
  </si>
  <si>
    <t>변압기 이동 중 변압기를 고정한 앵커볼트가 탈락되면서 변압기에 깔림</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</si>
  <si>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</si>
  <si>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중량물 운반용 활차를 이용하여 자재 운반 중 자재가 넘어지며 깔림</t>
  </si>
  <si>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</si>
  <si>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</si>
  <si>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</si>
  <si>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</si>
  <si>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</si>
  <si>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</si>
  <si>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</si>
  <si>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</si>
  <si>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</si>
  <si>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</si>
  <si>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</si>
  <si>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</si>
  <si>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</si>
  <si>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</si>
  <si>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</si>
  <si>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</si>
  <si>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</si>
  <si>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</si>
  <si>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</si>
  <si>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</si>
  <si>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</si>
  <si>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2018경 3월경</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</si>
  <si>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</si>
  <si>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</si>
  <si>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</si>
  <si>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</si>
  <si>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</si>
  <si>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</si>
  <si>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</si>
  <si>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</si>
  <si>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</si>
  <si>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</si>
  <si>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</si>
  <si>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</si>
  <si>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</si>
  <si>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</si>
  <si>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</si>
  <si>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</si>
  <si>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</si>
  <si>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</si>
  <si>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</si>
  <si>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</si>
  <si>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</si>
  <si>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</si>
  <si>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</si>
  <si>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</si>
  <si>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</si>
  <si>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 xml:space="preserve"> 2019년 3월</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</si>
  <si>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</si>
  <si>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</si>
  <si>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</si>
  <si>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</si>
  <si>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</si>
  <si>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</si>
  <si>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</si>
  <si>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</si>
  <si>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</si>
  <si>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</si>
  <si>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산소결핍 질식</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</si>
  <si>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</si>
  <si>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</si>
  <si>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</si>
  <si>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</si>
  <si>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</si>
  <si>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</si>
  <si>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</si>
  <si>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</si>
  <si>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</si>
  <si>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</si>
  <si>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</si>
  <si>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</si>
  <si>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</si>
  <si>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</si>
  <si>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 xml:space="preserve">▶ 작업 전 작업장소, 상황 등을 사전조사하여 위험요인 예방조치(위험성평가 등)
▶ 안전모 등 개인보호구 착용에 대한 관리 철저 </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</si>
  <si>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</si>
  <si>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</si>
  <si>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</si>
  <si>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</si>
  <si>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</si>
  <si>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OO시 OO동 소</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</si>
  <si>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</si>
  <si>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</si>
  <si>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</si>
  <si>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</si>
  <si>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t>
  </si>
  <si>
    <t>승강기 카 상부 또는 카 내부에 탑승하여 운반 등의 작업 중 승강장 문이나 승강로 벽체에 근로자 끼임</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</si>
  <si>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</si>
  <si>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t>
  </si>
  <si>
    <t>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t>
  </si>
  <si>
    <t>엘리베이터 수리 또는 설치 작업 중 갑작스러운 카 작동 등의 원인으로 카와 벽체 또는 승강장 문 사이에 근로자 끼임</t>
  </si>
  <si>
    <t>▶ 승강기 설치, 정비, 보수 등의 작업 시 운전 정지 및 전원 차단 조치
▶ 작업 지휘자 선임, 관계근로자 외 사람의 출입 금지 등 안전조치 실시
▶ 근로자 개인보호구 지급 및 착용상태 관리감독</t>
  </si>
  <si>
    <t>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t>
  </si>
  <si>
    <t>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t>
  </si>
  <si>
    <t>2020년 12월경 OOOOOO(주) OOOO건물 승강기 교체공사 현장에서 ㈜OOOOOO 소속 재해자가 승강기 내부에서 철거작업 중 기계실에서 승강기를 매달고 있던 체인이 끊어지면서 승강기가 낙하하여 추락(H≒22.9m)하여 사망한 재해임.</t>
  </si>
  <si>
    <t>승강기 교체를 위해 기존 승강기 해체 작업 중 승강기를 매달고 있던 체인(줄거리로프 등)이 끊어지면서 승강기와 함께 추락</t>
  </si>
  <si>
    <t>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t>
  </si>
  <si>
    <t>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t>
  </si>
  <si>
    <t>승강로 내부에서 덤 웨이터 가이드레일을 철거하던 중 균형추를 지지하고 있던 로프를 절단하여 떨어지는 균형추와 충돌</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</si>
  <si>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</si>
  <si>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t>
  </si>
  <si>
    <t>E/V 카 상부에서 E/V 로프, 레일 등을 철거하던 중 임시 카를 매달고 있는 호이스트의 연결체인 링이 파단되며 카와 함께 PIT 바닥으로 추락</t>
  </si>
  <si>
    <t>▶ 링의 일부분이 절단된 연결체인을 메인체인과 연결하여 사용하지 않도록 관리감독
▶ 달기 체인은 관리감독자가 작업 전 육안점검을 통해 제조된 때의 길이의 5%를 초과하거나, 링의 단면지름이 제조된 때의 해당 링의 지름의 10%를 초과하여 감소한 것, 심하게 변형된 것은 사용을 금지
▶ E/V의 설치 및 해체 등 추락할 위험이 있는 작업 시, 안전난간대, 안전대 부착설비 설치 등의 안전방호조치 실시
▶ 근로자의 개인보호구 착용 및 안전대 체결여부 점검 및 관리감독</t>
  </si>
  <si>
    <t>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t>
  </si>
  <si>
    <t>에스컬레이터 스텝체인 설치작업 중 스텝체인의 전진을 위해 구동부 체인 스프로켓 작동 과정에서 스텝 지지대와 레일 지지대 사이에 근로자 두부 협착</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</si>
  <si>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</si>
  <si>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t>
  </si>
  <si>
    <t>승강기 설치작업 중 승상기 실린더 상하부 도르래에 와이어 로프를 연결하기 위해 H빔 위에서 인력으로 로프를 올리던 중 H빔과 도르래 사이의 개구부를 통해 바닥으로 추락</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</si>
  <si>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</si>
  <si>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t>
  </si>
  <si>
    <t>유제를 살포하는 운반차량에서 유제를 보관하는 드럼용기에서 연결관을 분리하는 순간 내부의 잔류공기 압력에 의해 연결관이 튀어나와 근로자와 충돌 후 추락</t>
  </si>
  <si>
    <t>▶ 단순 물질 저장용 드럼용기에 공기압을 주입하여 압력을 가하는 압력용기로 임의 변경하는 용도 외 사용 금지
▶ 갑작스런 파열 등의 상황에 대비하여 보호구(안전모) 착용</t>
  </si>
  <si>
    <t>기타건설기계기구</t>
  </si>
  <si>
    <t>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t>
  </si>
  <si>
    <t>에어타카를 사용하여 콘크리트 옹벽에 각재를 고정하던 중 에어타카가 폭발하면서 파편에 맞음</t>
  </si>
  <si>
    <t>▶ 작업 전·후 작업 공도구, 기계기구 등 이상여부 및 정상작동여부 점검</t>
  </si>
  <si>
    <t>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t>
  </si>
  <si>
    <t>컨테이너 접합작업 중 러그 용접부가 용접불량으로 탈락하면서 긴장되어 있던 체인에 맞음</t>
  </si>
  <si>
    <t>▶ 중량물 취급 작업계획서 수립 및 준수, 근로자 내용 주지  
▶ 중량물 양중작업 시 작업반경 내 접근통제 조치 및 작업지휘자 배치
▶ 양중작업 전 러그 용접상태 확인 철저</t>
  </si>
  <si>
    <t>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t>
  </si>
  <si>
    <t>Panel Lifter 2호기의 설비 정비 후 공구 등을 아래로 내리던 중 Panel Lifter 1호기의 커플링에 재해자의 안전대 걸이가 말려 들어가 끼임</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</si>
  <si>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</si>
  <si>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기타구조물</t>
  </si>
  <si>
    <t>2017년 12월경 도로 건설공사에서 재해자가 보강토 옹벽 단부에 안전난간을 체결하던 중 안전난간 기둥이 자중과 재해자의 몸무게를 이기지 못하고 12m 바닥으로 추락하여 사망</t>
  </si>
  <si>
    <t>옹벽 단부의 안전난간 기둥에 안전난간을 체결하던 중 안전난간 기둥이 안전난간 자중과 피재자의 몸무게를 이기지 못하여 안전난간과 함께 지면으로 추락</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</si>
  <si>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</si>
  <si>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2018년 9월경 참숯가마 설치공사에서 보강토옹벽의 배면에서 방수작업을 하던 중 옹벽의 일부(높이 약 2.7m)가 무너지면서 옹벽과 석축사이에 끼어 1명 사망, 떨어지는 옹벽 블록에 맞아 1명 부상</t>
  </si>
  <si>
    <t>보강토 옹벽 공사 중 보강토 옹벽이 붕괴되면서 깔림</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</si>
  <si>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</si>
  <si>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2019년 6월경 도로 확장공사에서 PC옹벽 판넬을 설치하던 중 미고정된 PC판넬이 전도되면서 협착으로 1명 사망, 전도되는 PC판넬을 잡다 1명 부상</t>
  </si>
  <si>
    <t>2020년 5월경 골재 생산 신설공사 현장에서 재해자가 보강토 옹벽 공사 중 보강토 옹벽(6단, 높이 3m)이 붕괴되면서 깔려 사망</t>
  </si>
  <si>
    <t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t>
  </si>
  <si>
    <t>기존 관로 구조물 내부 사전조사를 위해 PP로프를 잡고 급경사구간 하강 중 PP로프를 놓쳐 떨어짐</t>
  </si>
  <si>
    <t>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t>
  </si>
  <si>
    <t>관부설 작업을 위해 굴삭기로 관 운반 작업 중 근로자와 충돌</t>
  </si>
  <si>
    <t>▶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</si>
  <si>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t>
  </si>
  <si>
    <t>사전 제작한 관 기초 콘크리트(2.7×1.9×0.32m, 약 4톤) 양중 작업 중 굵은 철선(6번선)으로 만든 인양용 고리가 파단되어 낙하하여 하부 작업자가 깔림</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</si>
  <si>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</si>
  <si>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</si>
  <si>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</si>
  <si>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</si>
  <si>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</si>
  <si>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</si>
  <si>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2018년 6월경 ㈜OO 공사현장에서 재해자가 조적벽체 해체작업 중 발생한 해체물을 해체작업장 인근에서 정리하던 중 천장과 접한 벽체 상부 조적벽체가 재해자 상체로 낙하하여 사망</t>
  </si>
  <si>
    <t>2019년 9월경 OO건설이 시공중인 OO현장에서 재해자가 지상9층 보 상부에 서서 외부 철제계단 해체작업 중, 몸의 중심을 잃고 지상9층 바닥(H≒5.2m)으로 추락하여 사망</t>
  </si>
  <si>
    <t>2020년 8월경 OO건설(주) OO현장에서 굴착기로 철근콘크리트 해체물 정리작업 중 굴착기 주변(거리 약 7m)에서 살수작업을 하던 재해자가 해체물(콘크리트 덩어리, 무게 약 50kg)에 가슴을 강타 당하여 사망</t>
  </si>
  <si>
    <t>2020년 9월경 OO(주) OO개축공사 현장에서 기존 교량 해체 작업을 진행하던 중 교량슬래브가 붕괴되어 교량 하부에서 철거 부재 와이어로프를 풀고 있던 재해자가 붕괴 구조물에 깔려 사망</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</si>
  <si>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</si>
  <si>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2021년 4월경 ㈜OO에서 시공 중인 OO철거공사 현장에서 상부 건축물 철거 후 생성된 폐기물이 쌓여있던 지상 3층 바닥이 붕괴되며, 지상 3층에서 살수작업을 하던 재해자가 매몰되어 사망함.</t>
  </si>
  <si>
    <t>기타가설구조물</t>
  </si>
  <si>
    <t>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t>
  </si>
  <si>
    <t xml:space="preserve">안전대 미착용한 근로자가 낙하물 방지망 설치 해체를 위해 일부 체결부 해체 작업 중  갑작스런 낙하물방지망 낙하로 몸의 중심을 잃고 추락 </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</si>
  <si>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</si>
  <si>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t>
  </si>
  <si>
    <t>차량탑재형 고소작업대에 탑승하여 교량슬래브 하부 낙하물방지망 철거작업 중 기존구조물 일부가 탈락되어 재해자와 함께 떨어지며 탈락된 구조물에 깔림</t>
  </si>
  <si>
    <t>▶ 사전 조사 및 작업계획서 작성
▶ 주기적으로 계측을 실시하고 계측 결과에 따른 보강조치 실시</t>
  </si>
  <si>
    <t>2016년 1월경 OO냉장 사업장에서 재해자가 신규로 설치한 수직반송기 시운전 중 운반구에서 추락하여 사망</t>
  </si>
  <si>
    <t>신규로 설치한 수직반송기 운반구에 탑승하여 시운전 중 운반구에서 떨어져 바닥으로 추락</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</si>
  <si>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</si>
  <si>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</si>
  <si>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</si>
  <si>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</si>
  <si>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</si>
  <si>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</si>
  <si>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2021년 1월경 OO보수공사 현장에서 재해자가 측면 골프망과 바닥 골프망을 고정하는 작업 중(와이어로프를 밟고 이동하면서 작업)추락(H≒10m)하여 사망</t>
  </si>
  <si>
    <t>2017년 5월경 OO(주) OO 신축공사 현장에서 OO산업(주) 소속 재해자(PC조립공)가 지하주차장 PC조립과정에서 PC기둥 수직도 조정 작업중 PC기둥이 전도 되면서 협착되어 사망</t>
  </si>
  <si>
    <t xml:space="preserve">PC기둥 수직도 조정 작업 중 PC기둥 슬리브에 매입 길이가 부족한 철근(약 5mm)이 X열 방향으로 휘면서 PC기둥 하부 피복 콘크리트가 파괴 및 PC기둥이 전도되어 협착 </t>
  </si>
  <si>
    <t>▶ PC기둥 등 중량물을 취급하는 경우 전도 및 협착에 의한 위험 방지를 위해 버팀대 및 지지대 설치
▶ PC기둥을 조립하는 경우 인양장비에 매단 상태에서 수직도 확인 작업 진행</t>
  </si>
  <si>
    <t>2016년 4월경 OO미장공사에서 외벽 미장작업 후 발판으로 사용하던 벽돌더미에서 내려오던 중 발을 헛디뎌 약 0.9m 높이에서 추락하여 사망</t>
  </si>
  <si>
    <t>외벽 미장작업 후 발판으로 사용하던 벽돌더미에서 내려오던 중 발을 헛디뎌 떨어짐</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</si>
  <si>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</si>
  <si>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2021년 3월경 OO방음벽 설치공사에서 교량 하부 암거(BOX,4.0m×4.5m×91.5m) 박스 옹벽 경사배면 상단부 미장작업 중 실족하여 높이 약 3.5m 아래 지상바닥으로 추락하여 사망</t>
  </si>
  <si>
    <t>교량 하부 암거박스 옹벽 경사배면에서 미장작업 중 법면 단부에서 몸의 중심을 잃고 실족하여 바닥으로 추락</t>
  </si>
  <si>
    <t>2020년 9월경 OO타워 누수 하자보수공사 현장에서 재해자가 건물 우측 하부 벽면의 방수시트 제거 및 정리작업 중, 건물 외벽에 부착되었던 간판베이스(110㎝×360㎝)가 넘어지면서 재해자의 머리를 가격하여 사망</t>
  </si>
  <si>
    <t>벽면 하부의 방수시트 제거 및 정리작업 중 발생한 진동에 의해 불안전한 상태로 벽면에 부착(간판 지지대의 파손으로 하부에 돌을 받쳐놓는 등) 되어있던 간판구조물이 넘어지면서 맞음</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</si>
  <si>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</si>
  <si>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2016년 7월경 OO초등학교 외부도색공사 현장에서 재해자가 현관 출입구 캐노피 위에서 고압세척기로 청소작업 중 약 3m 아래 바닥으로 추락하여 사망</t>
  </si>
  <si>
    <t>추락방지조치 없이 현관 출입구 캐노피 위에서 고압세척기로 청소작업 중 약 3m 아래 바닥으로 떨어짐</t>
  </si>
  <si>
    <t>▶ 추락위험 장소에는 안전난간, 추락방호망 설치 등 추락방지조치 철저
▶ 안전난간의 설치가 곤란할 경우 안전대 부착설비를 설치하고 안전대 체결 후 작업토록 관리감독</t>
  </si>
  <si>
    <t>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t>
  </si>
  <si>
    <t>달비계를 이용하여 건물외벽 도장작업을 하던 중 달비계 로프를 고정한 구조물 등이 파손되며 지상1층 바닥으로 떨어짐</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</si>
  <si>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</si>
  <si>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2021년 1월경 OOOOO 도장공장 주설비 공사현장에서 덕트 설치작업 과정에서 협력업체 소속 재해자가 신호작업을 위하여 BC(Base Coat) 중간 건조로 부스 상부에 올라가 있던 중 공장2층 바닥면(H≒8.4m)으로 추락하여 사망</t>
  </si>
  <si>
    <t>구조물 상부에서 신호작업 중 발을 헛디뎌 안전난간이 설치되지 않은 구조물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</si>
  <si>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</si>
  <si>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t>
  </si>
  <si>
    <t>발코니에서 철제난간을 손으로 잡고 창 바깥으로 몸을 내밀어 동료를 부르던 중 노후호된 철제난간의 고정부가 탈락되면서 바닥으로 추락</t>
  </si>
  <si>
    <t>▶ 리모델링 등 공사 시, 작업 전 기존 건물의 노후된 난간, 창틀 등의 설치 상태를 점검
▶ 작업자의 개인보호구, 안전대 체결여부 점검 및 관리감독</t>
  </si>
  <si>
    <t>2018년 11월경 노화 상가주택 신축공사 현장에서 재해자가 지붕 판넬 설치작업을 한 후 2층 발코니 단부에서 실족하여 약 3.45m 아래 콘크리트 바닥으로 떨어져 사망</t>
  </si>
  <si>
    <t>이동하던 중 발코니 단부에서 발을 헛디뎌 안전난간이 설치되지 않은 단부로 추락</t>
  </si>
  <si>
    <t>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t>
  </si>
  <si>
    <t>옹벽 상부에서 이동하던 중 밟고 있던 옹벽 블록이 이탈되면서 바닥으로 추락</t>
  </si>
  <si>
    <t>2020년 7월경 재해자가 건물 우측면에서 외벽 금속판넬 줄눈 코킹작업 중 고소작업대(차량탑재형) 작업대를 벗어나 캐노피 상부에서 작업하다 추락(H≒5.2m)하여 사망</t>
  </si>
  <si>
    <t>고소작업대에서 벗어나 캐노피 상부에서 작업하던 중 발을 헛디뎌 바닥으로 추락</t>
  </si>
  <si>
    <t>2020년 12월경 OO공사에서 재해자가 급배기휀 전기 배선작업 중 몸의 중심을 잃고 지상1층 바닥으로 추락하여(H≒3.1m) 사망</t>
  </si>
  <si>
    <t>2019년 8월경 OO공사에서 재해자 등이 가로등에 올라가 암(arm) 교체작업을 하던 중 가로등이 지지력을 잃고 넘어지면서 지면으로 추락하여(H≒5m) 2명 부상</t>
  </si>
  <si>
    <t>가로등에 올라가 암(arm) 교체작업을 하던 중 가로등이 지지력을 잃고 넘어지면서 지면으로 추락</t>
  </si>
  <si>
    <t>▶ 노후화된 구조물에 승주하여 작업할 경우, 작업 전 구조물의 균열 및 내부 강선의 상태 등 안전성에 대한 안전성 평가 실시 후 넘어짐 방지 조치 실시</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</si>
  <si>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</si>
  <si>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</si>
  <si>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</si>
  <si>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</si>
  <si>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</si>
  <si>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</si>
  <si>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</si>
  <si>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</si>
  <si>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</si>
  <si>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</si>
  <si>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</si>
  <si>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</si>
  <si>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</si>
  <si>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</si>
  <si>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</si>
  <si>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</si>
  <si>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</si>
  <si>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</si>
  <si>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</si>
  <si>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</si>
  <si>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</si>
  <si>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</si>
  <si>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</si>
  <si>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</si>
  <si>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</si>
  <si>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t>
  </si>
  <si>
    <t>L형 담장 설치를 위해 터파기한 바닥을 정리하던 중 기존 주택 철거 후 남아있던 조적조 벽체가 넘어지면서 하부에 깔림</t>
  </si>
  <si>
    <t>▶ 굴착작업 중 인접 구조물의 전도위험 방지(견고한 지지대 설치 등) 조치 실시
▶ 노후된 담장에 근접하여 작업할 경우 진동 및 충격 등에 의한 위험성을 사전조사 실시로 파악</t>
  </si>
  <si>
    <t>2017년 10월경 도로건설공사 현장에서 재해자가 굴착기를 이용하여 화물차 적재함의 PC 방호벽 하자 작업 중 PC 방호벽이 적재함에서 떨어지며 하반신이 깔려 사망</t>
  </si>
  <si>
    <t>굴삭기를 이용한 화물차 하차작업 중 자재가 충격으로 흔들리며 적재함에서 떨어져 근로자 깔림</t>
  </si>
  <si>
    <t>2019년 5월경 항만개발 사업현장에서 재해자가 자재 하역하던 중 자재가 적재함 측면 모서리에 걸려 제거하던 중 자재에 깔려 사망</t>
  </si>
  <si>
    <t>연약지반개량 포설용 PET MAT를 반입하여 하역하던 중 PET MAT가 화물자동차의 적재함에 걸려 근로자가 걸린것을 제거 중 PET MAT에 깔림</t>
  </si>
  <si>
    <t>▶ 하역작업 시 끼인 자재를 인력으로 무리하게 제거하는 등의 근로자 단독작업 금지
▶ 하역작업 시 작업계획서를 작성하여 작업계획에 맞게 하역작업 실시</t>
  </si>
  <si>
    <t>2019년 11월 철도 노반건설공사현장에서 재해자가 이동을 위해 안전난간에 체중을 지지하자 난간기둥이 탈락되면서 6m 아래 농로바닥으로 추락하여 사망</t>
  </si>
  <si>
    <t>안전난간이 체중을 못이겨 난간기둥이 탈락되어 안전난간 자재와 농로 바닥으로 추락</t>
  </si>
  <si>
    <t>▶ 안전모 지급 및 착용관리
▶ 추락에 의한 위험이 있는 경우 근로자 투입 통제
▶ 작업전 안전난간 상태 확인 후 튼튼하게 설치</t>
  </si>
  <si>
    <t>2021년 6월경 다세대주택 신축공사 현장에서 재해자가 담장하부에서 골재 고르던 중 굴착법면 및 상부 담장이 붕괴되어 사망</t>
  </si>
  <si>
    <t>담장 굴착저면 하부에서 골재 고르기 중 굴착법면 및 상부 담장이 붕괴</t>
  </si>
  <si>
    <t>▶ 인근 구조물이 인접한 굴착면의 경우 주기적 계측을 통해 굴착사면 붕괴 관리
▶ 굴착면 계측 시 특이사항이 발생할 경우 즉시 작업중단 및 인근 사면 보강 및 지보공 설치</t>
  </si>
  <si>
    <t>8.3 PSC 교량 작업</t>
  </si>
  <si>
    <t>8.3.1 PSC 교량 거더 인양 및 거치</t>
  </si>
  <si>
    <t>2020년 11월경 교량 보수공사 현장에서 상부 강연선 긴장작업을 완료하고 재해자가 공구 운반 작업을 도와주는 과정에서 상부 강연선의 정착구가 탈락하면서 두부를 타격하여 사망</t>
  </si>
  <si>
    <t>상부 강연선의 정착구가 탈락하면서 이탈한 장착구 또는 연결된 강봉이 근로자의 두부를 타격함</t>
  </si>
  <si>
    <t>▶ 강연선 긴장력 등 정착구에 부가되는 하중으로 인해 정착구 및 강봉이 탈락할 위험이 있는 경우 강연선 긴장력 증가, 정착구 및 콘크리트 간 접촉면의 마찰력 감소 등 안전성 평가 실시</t>
  </si>
  <si>
    <t>동바리</t>
  </si>
  <si>
    <t>2017년 9월경 복합시설 신축 공사 현장에서 형틀목공인 재해자와 동료 근로자 3명이 1층 기둥 거푸집 밴드 설치 작업을 진행하던 중, 높이 3.5m지점에서 콘크리트 바닥으로 추락하여 병원에서 치료 중 사망한 재해임.</t>
  </si>
  <si>
    <t>추락 방지조치를 미실시한 상태에서 기둥 거푸집 밴드 설치 작업 중 중심을 잃고 근로자 추락</t>
  </si>
  <si>
    <t>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t>
  </si>
  <si>
    <t>낙하물에 의한 위험 방지조치 미실시한 상태에서 자재 인양구 위 임시 자재 적치대 위에서 거푸집 쌓기 작업 중 지상 바닥보 하부에 설치된 동바리가 낙하하여 근로자의 머리 타격</t>
  </si>
  <si>
    <t>▶ 자재 인양용 개구부에 대해 낙하물방지망 등 설치
▶ 낙하물방지망 등 설치 불가 시 근로자 출입 통체
▶ 멍에제에 동바리 고정상태 확인 철저</t>
  </si>
  <si>
    <t>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</si>
  <si>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거푸집 작업구간으로 이동통로 미확보한 상태에서 시스템동바리 상부에서 장선재 및 합판거푸집 설치 작업 후 하부로 내려오던 중 중심을 잃고 추락</t>
  </si>
  <si>
    <t>▶ 추락 위험이 있는 시스템동바리 상부 작업인 경우 이동식사다리 또는 이동식비계 등 안전한 통로를 설치
▶ 추락 위험이 있는 작업 시, 안전방망, 안전난간, 안전대 부착설비 등 안전방호조치 실시</t>
  </si>
  <si>
    <t>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t>
  </si>
  <si>
    <t>시스템 동바리 설치작업을 위한 작업발판 설치 불량 및 고정 미실시한 상태에서 하수처리장 지상층 벽체 거푸집 내벽 및 상부 Slab 거푸집 설치작업 중 고정되지 않은 작업발판이 뒤집힘에 따라 근로자 추락</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</si>
  <si>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</si>
  <si>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2018년 7월경 OO건설(주) OO아파트 건설공사 현장에서, 협력업체 소속 재해자가 시스템동바리 수평재에서 벽체 유로폼에 플랫타이(Flat tie)*와 웨지핀(Wedge pin)**을 고정하는 작업을 하던 중, 지상 바닥(H≒2.0m)으로 추락하여 사망</t>
  </si>
  <si>
    <t>추락방지조치 미실시한 상태에서 시스템동바리 수평재에서 벽체 유로폼에 플랫타이와 웨지핀을 고정하는 작업 중 중심을 잃고 근로자 추락</t>
  </si>
  <si>
    <t>2018년 8월경 OO동 지하 1층 벽체 거푸집 플랫타이 체결 작업 중 동료작업자가 바닥에 쓰러져 있는 재해자를 발견 후 병원에서 사망</t>
  </si>
  <si>
    <t>시스템동바리 수평재에 올라서서 작업 중 추락</t>
  </si>
  <si>
    <t>▶ 작업장 주변 정리정돈 및 작업에 적합한 작업발판 설치
▶ 넘어짐 또는 추락방지를 위해 안전대 착용
▶ 개인보호구 지급 및 착용</t>
  </si>
  <si>
    <t>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t>
  </si>
  <si>
    <t>2019년 10월경 OOOO(주)에서 시공하는 OO신축공사 현장에서 지상 10층 1,2구간을 연결하는 통로의 시스템동바리 해체 작업을 실시하던 중 재해자가 약 4M 아래 지상 9층 바닥으로 추락하여 사망</t>
  </si>
  <si>
    <t>2017년 10월경 (주)OO 다세대 신축공사 현장에서, 지상6층 외벽 거푸집을 해체하고 윈치를 이용하여 옥상 바닥으로 인양하려는 중, 한쪽 윈치 지지대가 균형을 잃고 넘어져 재해자가 지지대에 맞아 1명 사망, 1명 부상</t>
  </si>
  <si>
    <t>변형·부식 및 손상이 발생된 거푸집 재료를 사용한 상태에서 지상층 외벽 거푸집을 윈치에 고정하고 해체하던 중 한쪽 윈치 지지대가 균형을 잃고 전도되어 근로자 가격, 다른 근로자는 가격에 의해 추락</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</si>
  <si>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</si>
  <si>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t>
  </si>
  <si>
    <t>슬래브 콘크리트 타설작업 중 시스템 동바리가 자중 및 작업하중 등을 견디지 못하고 붕괴되면서 바닥으로 추락, 매몰</t>
  </si>
  <si>
    <t>▶ 구조검토 및 조립도 작성하고 견고한 구조로 조립 및 설치
▶ 시스템 동바리는 하중에 의한 변위가 발생하지 않도록 가새재 설치 등 상세도 준수</t>
  </si>
  <si>
    <t>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</si>
  <si>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슬래브 및 보 전체에 대해 콘크리트 타설 중 데크플레이트와 하부시스템 동바리가 붕괴되어 데크블레이트 슬래브가 보에서 탈락되어 근로자에게 낙하</t>
  </si>
  <si>
    <t>▶ 데크플레이트를 사용시 구조검토 및 조립도 등 작성하고 견고한 구조로 조립 및 설치
▶ 시스템 동바리는 하중에 의한 변위가 발생하지 않도록 가새재 설치</t>
  </si>
  <si>
    <t>리프트</t>
  </si>
  <si>
    <t>리프트 해체작업을</t>
  </si>
  <si>
    <t>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t>
  </si>
  <si>
    <t>건설용 리프트 해체를 위해 운반구에서 작업 중 운반구가 기 적재된 마스트로 과상승 및 낙하하여 추락</t>
  </si>
  <si>
    <t>▶ 리프트 해체작업 시, 근로자의 추락 방지를 위한 안전대 부착설비 설치 및 안전대 착용 및 체결 철저
▶ 리프트 해체작업 시, 운반구의 과상승 및 이탈 위험 방지를 위해 권과방지장치 설치
▶ 리프트 사용 및 해체 시, 작업자에게 조작 스위치 작동방법에 관한 교욱실시</t>
  </si>
  <si>
    <t>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t>
  </si>
  <si>
    <t>건설용 리프트 해체를 위해 케이지 상부에서 작업중 몸의 중심을 잃고 추락</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</si>
  <si>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</si>
  <si>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t>
  </si>
  <si>
    <t>건설용 리프트 연장 설치를 위해 운반구 지붕상판에서 작업 중, 몸의 중심을 잃고 추락</t>
  </si>
  <si>
    <t>▶ 건설용 리프트 연상설치 작업 시 별도의 안전대 부착설비 설치 및 안전대 체결 등 추락방지조치 실시
▶ 건설용 리프트 연상설치 작업 시, 운반구 지붕상판 전면에 안전난간 설치</t>
  </si>
  <si>
    <t>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</si>
  <si>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건설용 리프트를 이용하여 하차 후 계속 상승중인 리프트에 재탑승 하려던 중 운반구과 출입구 상부 골조에 협착</t>
  </si>
  <si>
    <t>▶ 건설용 리프트의 안전인증 실시 여부 파악 및 조치
▶ 건설용 리프트의 조작 스위치의 명칭 및 관련내용의 표시 여부 확인
▶ 건설용 리프트 이외의 작업자들이 안전하게 이동할 수 있는 가설 계단 등을 설치</t>
  </si>
  <si>
    <t>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t>
  </si>
  <si>
    <t>건설용 리프트 해체작업 중 마스트 연결볼트 선해체로 인한 붕괴</t>
  </si>
  <si>
    <t>▶ 마스트 해체작업 시, 마스트 연결볼트의 선해체 및 불완전체결 금지
▶ 추락 방지를 위한 별도의 안전대 부착설비 설치</t>
  </si>
  <si>
    <t>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t>
  </si>
  <si>
    <t>리프트 해체작업 후 적재를 위한 운반구 상승 중 운반구 과상승에 의해 기해제된 마스트와 함께 바닥으로 추락</t>
  </si>
  <si>
    <t>▶ 과상승으로 인한 이탈방지를 위한 임시 안전장치 조치 실시
▶ 추락할 위험이 있는 작업 시, 안전대 부착설비, 안전난간대 등의 안전방호조치 실시</t>
  </si>
  <si>
    <t>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</si>
  <si>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t>
  </si>
  <si>
    <t>▶ 위험구간 작업시 사용기계 장비 정지 등 위험요소 배제후 작업실시
▶ 작업지휘자 배치 및 근로자 출입 통제 실시</t>
  </si>
  <si>
    <t>2017년 2월경 ㈜OO 공동주택 공사 현장에서 ㈜OO건설 소속 재해자(타설공)이 101동 필로티층 난간벽체 콘크리트 타설 후 난간상부 면정리 작업 중 내려오는 건설용리프트 운반구(케이지)와 난간벽체 사이에 끼어 사망</t>
  </si>
  <si>
    <t>필로티층 난간벽체 콘크리트 타설 후 난간상부 면정리 작업 중 내려오는 건설용 리프트 운반구와 난간벽체 사이에 끼임</t>
  </si>
  <si>
    <t>▶ 건설용리프트의 운반구가 오르내려 근로자의 출입 시 위험이 있는 경우 방책 설치 등 출입금지 조치 실시
▶ 부득이하게 방책 해체 시 건설용리프트의 전원 차단 조치 실시</t>
  </si>
  <si>
    <t>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t>
  </si>
  <si>
    <t>설치가 완료되지 않은 건설용리프트를 임의로 운전하여 미장 자재를 운반하던 중 이상소음 발생으로 머리를 내밀고 상황을 확인하던 근로자가 움직이는 리프트의 레일브라켓과 리프트브라켓 사이에 끼임</t>
  </si>
  <si>
    <t>▶ 건설용리프트의 설치ㆍ조립ㆍ수리ㆍ해체 작업을 하는 경우 관계자외 출입금지 조치 및 표지판 설치 
▶ 건설용리프트 출입구 및 조작반(스위치) 잠금장치 설치
▶ 근로자 내용 주지 및 필요시 전원차단하여 건설용리프트 임의조작 방지 조치</t>
  </si>
  <si>
    <t>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t>
  </si>
  <si>
    <t>건설용리프트의 고장을 인지하지 못한 채 조적운반 작업을 위해 리프트에 탑승하여 하강하던 중 건설용리프트와 구조물 슬래브 사이 개구부로 추락</t>
  </si>
  <si>
    <t>▶ 건설작업용 리프트 고장시 출입금지조치 철저
▶ 안전인증기준ㆍ안전검사기준에 적합한 건설작업용 리프트 사용
▶ 건설작업용 리프트 정비 및 고장 시 대응체계 수립</t>
  </si>
  <si>
    <t>2016년 6월경 OO신축공사에서 16층 건물 내부의 견출작업 후 정리하고 내려오는 과정에서 지상 14층 건설용 리프트 출입구에서 지상 1층 바닥(H≒36m)으로 추락하여 사망</t>
  </si>
  <si>
    <t>견출작업을 마치고 이동하기 위해 건설용리프트를 탑승하였으나 리프트가 오작동으로 정지하자 안전문의 잠금장치를 해제하는 등 임의로 리프트를 조작하다가 몸의 균형을 잃고 추락</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</si>
  <si>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</si>
  <si>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t>
  </si>
  <si>
    <t>내부 견출작업을 위해 리프트에 탑승하여 하차하던 중 리프트 운반구가 갑자기 하강하면서 근로자가 몸의 중심을 잃고 넘어져 리프트 운반구와 구조물 외벽사이에 끼임</t>
  </si>
  <si>
    <t xml:space="preserve">▶ 작업 전 리프트 방호장치 및 브레이크 등의 기능에 대한 정상작동 여부 확인을 위한 안전 점검 실시
▶ 이상유무 점검 시 이상이 발견 즉시 보수ㆍ수리 후 작업 실시 </t>
  </si>
  <si>
    <t>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t>
  </si>
  <si>
    <t>옥상 배수로 방수를 위해 이삿짐운반용 리프트의 운반구에 탑승한 상태로 상승 도중 운반구가 기울어짐에 따른 근로자 추락</t>
  </si>
  <si>
    <t>▶ 고소작업차량을 작업발판으로 사용할 경우 4면에 안전난간 설치
▶ 이삿짐운반용 리프트를 사용하여 화물 양중작업 시 운반구에 근로자 탑승 금지
▶ 추락 위험이 있는 장소에서 작업 시 안전모, 안전대 등 작업조건에 맞는 보호구 지급 및 착용</t>
  </si>
  <si>
    <t>2016년 9월경 OO건설 아파트 신축공사 현장에서 재해자가 건설작업용 리프트를 타고 이동하던 중 건물과 리프트 사이 개구부로 추락하여(높이 약 15m) 사망</t>
  </si>
  <si>
    <t>리프트 운반구의 출입문이 개방된 상태로 상승하던 중 보조발판이 열리며 건물 외벽과 충돌하였으며 건물외벽과 리프트 사이 발생한 개구부를 통해 바닥으로 추락</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</si>
  <si>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</si>
  <si>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2021년 9월경 oooo부지 복합개발사업 현장에서 도시가스배관 자재 인양작업에 투입된 재해자가 리프트를 이용하던 중 16층에서 1층 리프트 방호울 내부로 추락하여 사망</t>
  </si>
  <si>
    <t>건설용리프트를 이용하여 자재 운반 중 리프트 고장으로 출입문을 임의 개방하다가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</si>
  <si>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</si>
  <si>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2017년 9월경 OOOO 오피스텔 건설현장에서 재해자가 주차타워 내부에서 월 브라켓(Wall Brackets) 용접 작업 중 하강하는 카 리프트 카운터 웨이트(Counter Weight)에 부딪혀 사망</t>
  </si>
  <si>
    <t>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t>
  </si>
  <si>
    <t>운행 중 정지된 건설용 리프트의 안전문을 열고 건물 내부로 이동하던 중 건물과 승강로 사이로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</si>
  <si>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</si>
  <si>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2018년 3월경 ㈜OO 아파트 건설공사 1공구 현장내 103동 건설작업용 리프트에서 7~8층 사이에 정지시킨 재해자(일용직)가 103동 7층 발코니로 이동하던 중지면에 떨어져(H≒19m) 사망</t>
  </si>
  <si>
    <t>2020년 1월경 ㈜OO 공동주택 신축공사 현장에서 재해자가 104동 13층에서 건설작업용 리프트를 타던 중 건물과 리프트 사이 개구부로 추락(높이 약 33m)하여 사망</t>
  </si>
  <si>
    <t xml:space="preserve">건설용리프트 탑승 시 보조발판을 내리지 않은 상태에서 무리하게 탑승하던 중 리프트와 구조물 사이 개구부로 추락 </t>
  </si>
  <si>
    <t>▶ 건설용 리프트 사용하는 작업자를 대상으로 리프트의 이동순서, 동작원리, 방호장치 기능 및 사용 등을 포함한 특별교욱을 실시
▶ 건설용 리프트와 구조체 사이에는 보조발판을 설치하여 건물 내부로 통행하는 근로자의 추락 방지 조치를 하고 통행 시 보조발판을 내려 이동하도록 근로자에게 교육</t>
  </si>
  <si>
    <t>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t>
  </si>
  <si>
    <t>건설용 리프트 탑승과정에서 건설용 리프트 방호장치 불량으로 운반구가 상승한 것을 인지하지 못하고 뒷걸음으로 이동하던 도중 바닥으로 추락</t>
  </si>
  <si>
    <t>▶ 작업 전 건설용 리프트의 인터록 장치 안전점검을 통한 정상작동 여부 확인
▶ 작업 시 건설용 리프트의 사용자 임의조작 금지조치 실시</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</si>
  <si>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</si>
  <si>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</si>
  <si>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 작업도구 등의 제조 당시의 목적 외의 용도로 사용금지
▶ 추락할 위험이 있는 작업 시, 안전대 지급 및 체결상태 관리</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</si>
  <si>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</si>
  <si>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</si>
  <si>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</si>
  <si>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</si>
  <si>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</si>
  <si>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</si>
  <si>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</si>
  <si>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마감재</t>
  </si>
  <si>
    <t>천장(판넬 등 마감재)</t>
  </si>
  <si>
    <t>2015년 11월</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</si>
  <si>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</si>
  <si>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</si>
  <si>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</si>
  <si>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지붕(처마,홈통)</t>
  </si>
  <si>
    <t>2016년 1월경 OO건설(주) OO철거공사 현장에서 재해자가 정미소 지붕(슬레이트+칼라강판)해체 작업을 하던중 미끄러지면서 슬레이트가 파손되어 높이 약 7.2m 아래 지상 바닥으로 추락하여 사망</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</si>
  <si>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</si>
  <si>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지붕(채광판,선라이트)</t>
  </si>
  <si>
    <t>2016년 5월경 OO보수공사 현장에서 재해자가 지붕 선라이트 등의 해체작업 중 지상으로 추락하여(H≒7.4m) 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</si>
  <si>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</si>
  <si>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</si>
  <si>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2016년 6월경 OO해체공사 현장에서 재해자가 1층 지붕 위에 올라가 지붕판넬 해체작업 중 몸의 중심을 잃고 3.5m 아래 바닥으로 추락하여 사망</t>
  </si>
  <si>
    <t>지붕철거 작업 중 넘어 이동을 하다 중심을 잃고 바닥으로 추락</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</si>
  <si>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</si>
  <si>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</si>
  <si>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외부마감재</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</si>
  <si>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</si>
  <si>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</si>
  <si>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</si>
  <si>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</si>
  <si>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2017년 10월경 OO석면해체 공사 현장에서 재해자가 지붕 석면 슬레이트 해체 작업을 하던 중 밟고있던 지붕 슬레이트가 부서지면서 약 5.6m 높이에서 공장동 바닥으로 추락하여 사망</t>
  </si>
  <si>
    <t>2017년 11월경 OO철거공사 현장에서 재해자가 노후창고의 지붕재 해체작업 중 지붕마감재인 밤라이트가 파손되면서 높이 약4m 아래 창고 콘크리트 바닥으로 추락하여 사망</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</si>
  <si>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</si>
  <si>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</si>
  <si>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</si>
  <si>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2018년 3월경 OO개량공사 현장에서 재해자가 지붕 철거작업 중 밟고 있던 노후된 썬라이트가 파손되면서 약 3.5m 아래 축사 바닥으로 추락하여 사망</t>
  </si>
  <si>
    <t>2018년 3월경 OO교체공사 현장에서 재해자가 썬라이트 재질의 축사 지붕위에서 썬라이트 교체 작업 중 밟고 있던 노후된 썬라이트가 파손되며 바닥으로 추락하여(H≒4m) 사망</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</si>
  <si>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</si>
  <si>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</si>
  <si>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2018년 8월경 OO공장 지붕 위에서 작업(이동) 중이던 재해자가 지붕 슬레이트 파손으로 공장내부 지상 1층 콘크리트 바닥으로 추락하여(H≒4.7) 사망</t>
  </si>
  <si>
    <t xml:space="preserve"> 2018년 8월</t>
  </si>
  <si>
    <t xml:space="preserve"> 2018년 8월경 OO현장에서 지붕판넬 해체작업을 하던 재해자가 이동 중 중심을 잃고 지상 1층 바닥으로 추락(H≒6.2m)하여 사망</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</si>
  <si>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</si>
  <si>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</si>
  <si>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</si>
  <si>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</si>
  <si>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</si>
  <si>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</si>
  <si>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</si>
  <si>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</si>
  <si>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2020년 5월경 OO보수공사 현장에서 재해자가 축사 지붕 자재인 성형강판을 철거하던 중 밟고 있던 성형강판 자재가 꺾이면서 약 4.3m 아래 축사 바닥으로 추락하여 사망</t>
  </si>
  <si>
    <t>2020년 5월경 OO보수공사 현장에서 재해자가 지붕 위에서 지붕 해체작업을 하던 중 노후된 슬레이트 밟는 순간 파손되면서 하부 콘크리트 바닥으로 추락(H≒8m)하여 사망</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</si>
  <si>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</si>
  <si>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</si>
  <si>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</si>
  <si>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</si>
  <si>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</si>
  <si>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2021년 10월경 OO보수공사 현장에서 지붕개량(철거) 공사를 위해 재해자가 최상부 철물(함석)을 제거한 지붕을 밟고 이동하던 중 지붕구조물이 깨지면서 바닥(H≒11.6m)으로 추락하여 사망</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</si>
  <si>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</si>
  <si>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</si>
  <si>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</si>
  <si>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축사 철거 현장에</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</si>
  <si>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</si>
  <si>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재해자가 경사 슬</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</si>
  <si>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</si>
  <si>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</si>
  <si>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</si>
  <si>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12.3.2 가설전기(전선)</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</si>
  <si>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</si>
  <si>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</si>
  <si>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</si>
  <si>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2015년 1월경</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</si>
  <si>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</si>
  <si>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</si>
  <si>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</si>
  <si>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</si>
  <si>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</si>
  <si>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</si>
  <si>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</si>
  <si>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옥탑층 지붕 슬라브 단부에서 옥탑층 방수턱 면 보수작업을 위해 하부에서 전달된 유로폼을 받아 지붕 바닥에 적재 후 몸의 중심을 잃고 옥탑층 지붕 슬라브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</si>
  <si>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</si>
  <si>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2017년 5월경 ㈜OO에서 시공중인 OO신축공사 현장에서 직영근로자인 재해자(콘크리트 타설공)가 지상5층 경사지붕 콘크리트 타설 후 평탄화 작업을 하던 중 몸의 중심을 잃고 지상1층 바닥(H≒13.5m)으로 떨어져 사망</t>
  </si>
  <si>
    <t>안전난간이 미설치된 경사지붕 콘크리트 타설 후 평탄화 작업을 하던 중 근로자가 몸의 중심을 잃고 추락</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</si>
  <si>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</si>
  <si>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t>
  </si>
  <si>
    <t>바닥의 얼음을 녹이기 위해 휘발유를 뿌리고 점화한 불이 천장의 단열재에 옮겨 붙어 일어난 화재에 대피하지 못하고 근로자 사망</t>
  </si>
  <si>
    <t>▶ 건축물에서 인화성 유류 등 폭발이나 화재원인물질 취급장소에는 규모, 넓이, 취급물질 종류에 적합한 소화설비 설치
▶ 난로 등의 화기 사용 후 불티가 남지 않도록 후처리 실시</t>
  </si>
  <si>
    <t>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t>
  </si>
  <si>
    <t>2017년 10월경 재해자(용접공)가 우사신축공사 현장에서, 지붕마감용 강판을 부착하기 위하여 지붕강구조물에 부착된 C형강 위에 올라서서 강판을 옮기던 중 균형을 잃고 콘크리트 바닥(높이 : 약5.8M)으로 떨어져 사망</t>
  </si>
  <si>
    <t>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t>
  </si>
  <si>
    <t xml:space="preserve">천장의 철골보 하부에 구조보강용 부재 설치를 위해 이산화탄소 용접작업 중, 천장 및 철골보에 도포된 우레탄단열재에 용접불티가 비산되어 화재가 발생해 연기 과다흡입으로 사망 </t>
  </si>
  <si>
    <t>▶ 구조보강용 T-BAR에 대하여 웨브와 플렌지가 일체형으로 시공된 후 내화피복과 우레탄단열재 시공
▶ 화재 위험이 있는 장소에서 용접 작업을 실시 할 때에는 화기 사용 전 사전에 가연물에 대한 정리 제거 실시
▶ 화재감시자 배치</t>
  </si>
  <si>
    <t xml:space="preserve">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t>
  </si>
  <si>
    <t>2021년 4월경 OO㈜ OO 아파트 신축공사」 현장에서 협력업체 OO건설(주) 소속 재해자(철골공)가 지하주차장 램프 지붕 위에서 철골 보수작업 중 바닥(H≒5.8m)으로 떨어져 사망</t>
  </si>
  <si>
    <t>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t>
  </si>
  <si>
    <t>철골 보에서 외벽 판넬 설치를 위해 이동 중 중심을 잃자, 안전대를 걸어둔 C형강에 하중이 가해져 C형강의 고정부가 탈락하며 바닥으로 추락</t>
  </si>
  <si>
    <t>▶ 추락할 위험이 있는 작업 시, 추락방호망, 안전난간대, 안전대 부착설비 등의 안전방호조치 실시
▶ 지지로프 등 적절한 안전대 부착설비 설치
▶ 작업 전 개인보호구 지급 및 착용상태 관리 실시</t>
  </si>
  <si>
    <t>2019년 7월경 OO도로공사에서 터널 무인관리소(지하1층, 지상1층) 출입구 오른편에서 미장작업중 무너지는 1층 캐노피(2,050*4,800, t=150~135)와 벽체에 끼어 사망</t>
  </si>
  <si>
    <t>무인관리소 출입구 인근에서 미장작업 중 상부 캐노피 구조물(시공불량)이 무너지면서 캐노피와 벽체 사이에 끼임</t>
  </si>
  <si>
    <t>2016년 3월경 OO산업 공장동 지붕 방수공사현장에서 재해자(보통인부)가 공장지붕 위에서 정리작업 중 선라이트를 밟아 파손되며 약 15m 아래 공장바닥으로 떨어져 사망</t>
  </si>
  <si>
    <t>공장지붕 위에서 정리작업 중 별도의 작업발판을 설치하지 않고 이동 중 선라이트를 밟아 파손되며 근로자 추락</t>
  </si>
  <si>
    <t>▶ 선라이트 등 강도가 약한 재료로 덮은 지붕 위에서 작업 시 작업발판 설치 및 안전방망 설치
▶ 지붕 위에서 작업 시 추락방지를 위해 폭 40cm 이상의 발판 설치
▶ 높이 2m 이상에서 작업 시 안전대 부착설비 설치 및 안전대 착용</t>
  </si>
  <si>
    <t>2016년 3월경 다세대 신축공사 현장에서 재해자(코킹공)가 지상 4층 지붕 위에서 지상 5층 벽체(4~5층으로 이루어진 건물임)와 지붕 연결부 코킹작업 중 지붕 끝단에서 하부 약 10.5m 바닥으로 떨어져 사망</t>
  </si>
  <si>
    <t>지붕위에서 별도의 작업발판을 설치하지 않고, 안전대 체결도 하지 않은 상태로 방수 등 작업을 진행 중 미끄러지며 바닥으로 추락</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</si>
  <si>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</si>
  <si>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2016년 8월경 OO창고신축공사 현장에서 재해자가 경량철골 상부에서 처마홈통에 선홈통을 설치 후 실리콘으로 실링(방수)작업을 마치고 이동하던 중 약 6m 아래 콘크리트 바닥으로 떨어져 사망</t>
  </si>
  <si>
    <t>추락방지 조치를 하지 않은 상태로 경량철골 상부에서 처마홈통에 선홈통을 설치 후 실리콘으로 실링작업을 마치고 이동하던 중 근로자가 몸의 중심을 잃고 추락</t>
  </si>
  <si>
    <t>▶ 안전대 부착설비, 추락방지망 등 추락방지조치 실시
▶ 작업방법 변경(차량탑재형 고소작업대 사용 등)</t>
  </si>
  <si>
    <t>2017년 7월경 OO근린생활시설 신축공사 현장에서, 재해자가 건물 2층 경사지붕 상부에서 지붕 누수 확인 중 몸의 중심을 잃고 지상으로 떨어져(H≒7.8m) 사망</t>
  </si>
  <si>
    <t>지붕위에서 별도의 작업발판을 설치하지 않고, 안전대 체결도 하지 않은 상태로 방수작업을 진행 중 미끄러지며 바닥으로 추락</t>
  </si>
  <si>
    <t>2017년 9월경 ㈜OO 기숙사 증축고사 현장에서 재해자(판넬공)가 지붕층 단부에서 방수 및 마감작업 중 지상 바닥으로 떨어져(H≒11.4m) 사망</t>
  </si>
  <si>
    <t>2019년 3월경 ㈜OO산업 OO 교육관 리모델링 공사 현장에서, 재해자가 교육관 경사지붕에서 방수시트 설치작업 중 지붕 용마루쪽에서 처마쪽으로 미끄러지면서 건물 외부 콘크리트 바닥(H≒4.5m)으로 떨어져 사망</t>
  </si>
  <si>
    <t>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t>
  </si>
  <si>
    <t>상부 주차장 구간의 방수작업을 위해 바탕정리 중 불안전하게 적재되어 있던 단열재를 단독으로 이동시키다가 적재된 자재가 전도되며 작업자와 충돌</t>
  </si>
  <si>
    <t>▶ 현장 내 자재 적재 시, 단차가 있는 구간 등은 적재 금지 조치
▶ 중량물 적재작업 중 이탈, 구름 예방을 위한 구름멈춤대, 쐐기 등 설치를 통한 이탈, 구름 방지조치 실시
▶ 현장 내 무거운 자재를 옮길경우, 근로자의 단독 행동 금지 및 관련한 안전교육 실시</t>
  </si>
  <si>
    <t>2019년 4월경 아파트 옥상방수공사 현장에서 재해자(방수공)가 박공 형태의 경사지붕 방수작업을 위해 지붕 단부(배수로)에서 액체 방수재를 칠하던 중 단부 턱(약 9.5cm)에 걸려 몸의 중심을 잃고 떨어져(높이 약 41m) 사망</t>
  </si>
  <si>
    <t>2019년 6월경 아파트 옥상 방수공사 현장에서 재해자(방수공)가 105동 14층 옥상 경사 지붕에서 방수작업(부직포 설치) 중 몸의 중심을 잃고 지붕 단부에서 약 37m 아래 지상 흙바닥으로 떨어져 사망</t>
  </si>
  <si>
    <t>2019년 10월경 ㈜OO 창고 지붕 보수공사 현장에서 재해자(지붕보수공)가 가건물인 창고 지붕 위에서 수리 작업 중 높이 약 7.3미터 아래 바닥으로 떨어져 사망</t>
  </si>
  <si>
    <t>재해자가 가건물인 창고 지붕 위에서 수리 작업 중 지붕재질인 플렉스가 피재자의 하중을 견디지 못하고 찢어지면서  높이 약 7.3미터 아래 바닥으로 추락</t>
  </si>
  <si>
    <t>2020년 5월경 OO센터 건립공사 관급자재(특수지붕재)구매 현장에서 재해자(단순노무직)가 지붕 상부에서 누수 방지용 방수시트 부착 중 약 31.5m 아래로 추락하여 사망</t>
  </si>
  <si>
    <t>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t>
  </si>
  <si>
    <t>옥상(옥탑) 단부에서 방수작업 중 안전난간이 미 설치된 단부로 근로자가 몸의 중심을 잃고 추락</t>
  </si>
  <si>
    <t>▶ 슬래브의 단부 등 추락위험이 있는 장소에는 안전난간 등 방호조치 실시
▶ 높이 2m 이상에서 작업 시 추락방지를 위해 안전대 부착설비 설치 및 안전대 착용</t>
  </si>
  <si>
    <t>2020년 9월경 OO(주)이 시공하는 OO아파트 옥상 슁글지붕 전면보수공사 현장에서 재해자(방수공)가 411동 5, 6라인 옥탑에서 방수작업 중 옥탑의 경사 지붕에서 미끄러져 약 57m 아래 지상 화단으로 떨어져 사망</t>
  </si>
  <si>
    <t>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t>
  </si>
  <si>
    <t>아파트 옥상지붕의 방수작업 중 작업공간을 이동하는 과정에서 구조물 등에 걸려 중심을 잃고 근로자 추락</t>
  </si>
  <si>
    <t>▶ 지붕 경사로의 통행과 단부에서의 작업 시 추락위험이 있는 장소에서는 단부에 안전난간을 설치하는 등 방호조치 선행 후 작업 실시
▶ 추락 위험이 있는 높이 2m 이상의 장소에서 작업 시 안전대 부착설비 설치 및 안전대 착용</t>
  </si>
  <si>
    <t>2020년 11월경 아파트 하자보수공사 현장에서 재해자가 101동 아파트(7층) 3, 5라인 경사지붕 배수로 방수작업을 위해 휴대용 송풍기로 지붕 바닥을 청소하던 중 약 23m 아래 지상 화단으로 떨어져 사망</t>
  </si>
  <si>
    <t>2021년 9월경 OO식당 지붕방수공사 현장에서 재해자가 경사지붕 단부에서 방수시트 부착 및 이형필름 제거작업을 하던 중 콘크리트 바닥으로 추락(높이 약 6m)하여 사망</t>
  </si>
  <si>
    <t>4.3.3 석재 및 타일 줄눈, 코킹 시공</t>
  </si>
  <si>
    <t>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t>
  </si>
  <si>
    <t>베란다(발코니) 타일시공을 위해 마닥에 먹매김 작업 후 일어나던 중 몸의 중심을 잃고 안전난간이 해체된 발코니 단부를 통해 바닥으로 추락</t>
  </si>
  <si>
    <t xml:space="preserve">▶ 추락할 위험이 있는 슬라브 단부에는 안전난간을 견고하게 설치하고 작업여건 상 안전난간 설치가 어려운 경우에는 추락방호망 설치 및 안전대 체결 후 작업
▶ 외벽마감 등 작업을 위해 안전난간을 일시 해체한 경우 접근통제 조치하고 해당작업이 완료되는 즉시 안전난간 재설치 </t>
  </si>
  <si>
    <t>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t>
  </si>
  <si>
    <t>외벽 세척작업을 위해 옥상 경사지붕 단부에서 추락방지조치 없이 지상에 있는 외벽 세척작업용 고압호스를  로프를 이용하여 인양하던 중 실족하여 떨어짐</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</si>
  <si>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</si>
  <si>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2017년 5월경 OO경찰서 방수·도장공사 현장에서 재해자가 가건물 지붕 슬래브에서 방범순찰대 건물 북측면 외벽 도장작업 중, 발을 헛디뎌 지상 바닥으로 추락하여(약 3.4m) 사망</t>
  </si>
  <si>
    <t>안전대 또는 구명줄 미설치 상태에서 지붕(옥상)에서 도장작업을 하던 중 몸의 중심을 잃고 추락</t>
  </si>
  <si>
    <t>2017년 10월경 OO보수사업 현장에서, 재해자가 간이 비가림막 지붕 위(H≒2.5m, EPS패널)에 올라가 경로당 경사지붕 처마 도색을 하던 도중 실족하여 지상으로 떨어져 사망</t>
  </si>
  <si>
    <t>지붕 위에서 도장작업을 하던 중 안전난간이 설치되지 않은 구조물 단부로 몸의 중심을 잃고 추락</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</si>
  <si>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</si>
  <si>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t>
  </si>
  <si>
    <t>2019년 4월경 OO아파트 하자보수 공사현장에서 재해자가 아파트 옥상에서 외벽 도장 준비 작업 중 약 56m 아래 지면으로 추락하여 사망</t>
  </si>
  <si>
    <t>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t>
  </si>
  <si>
    <t>2021년 1월경 페인트 도장 보수공사 현장에서 재해자가 지붕슬래브에서 기존 페인트를 벗겨내는 작업 중 높이 약 6.8m 아래 바닥으로 추락하여 사망</t>
  </si>
  <si>
    <t>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t>
  </si>
  <si>
    <t>지붕에서 이동하던 중 밟고있던 마감재가 파손되면서 바닥으로 추락</t>
  </si>
  <si>
    <t>▶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
▶ 지붕재의 해체 또는 설치 작업 시, 고소작업대, 타워형 계단 등을 사용하여 지붕 위에서의 작업을 최소화할 수 있는 작업 방법을 검토</t>
  </si>
  <si>
    <t>2021년 12월경 OO공장 신축공사 현장에서 공장동 내부의 캣워크 설치작업 중이던 재해자가 자재를 운반하던 도중 추락하여 사망</t>
  </si>
  <si>
    <t>작업을 위해 점검통로를 이동하던 중 안전난간이 설치되지 않은 단부로 추락</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</si>
  <si>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</si>
  <si>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2017년 10월경 OO공장 신축공사 현장에서 재해자가 외벽 상부에 지붕 물받이 홈통 설치 작업 중 몸의 중심을 잃고 지상 콘크리트바닥으로 떨어져(H≒5.7m) 추락</t>
  </si>
  <si>
    <t>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t>
  </si>
  <si>
    <t>고소작업대에서 벗어나 천정 하부 공간으로 이동하던 중 밟고 있던 천정 마감재가 파손되면서 추락</t>
  </si>
  <si>
    <t>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t>
  </si>
  <si>
    <t>지붕에서 철제난간을 밟고 옥상 바닥으로 내려오던 중 발을 헛디뎌 바닥으로 추락</t>
  </si>
  <si>
    <t>▶ 작업높이에 적합한 안전한 작업발판(비계, 고소작업대 등)을 설치하고 안전대를 체결한 후 안전하게 작업
▶ 작업장소로 이동하기 위한 작업통로(승강통로) 설치
▶ 추락할 위험이 있는 장소에서 작업하는 경우 안전모, 안전대 등 개인보호구 착용여부 관리감독 철저</t>
  </si>
  <si>
    <t>2020년 3월경 공장보수공사 현장에서 재해자(일용직)가 슬레이트 지붕 위에서 실리콘 작업을 하던 중 노후된 슬레이트 일부가 파손되면서 하부 콘크리트 바닥으로 추락(H≒4.5m)하여 사망</t>
  </si>
  <si>
    <t>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t>
  </si>
  <si>
    <t>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t>
  </si>
  <si>
    <t>▶ 지붕 위에서 지붕재의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</si>
  <si>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t>
  </si>
  <si>
    <t>비계 기둥에 기대어 세워놓은 자재(석재) 중 안쪽 자재를 꺼내기 위해 몸쪽으로 자재를 당기는 순간 전도되어 깔림</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</si>
  <si>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</si>
  <si>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t>
  </si>
  <si>
    <t>지붕에서 뒷걸음으로 이동하며 양중작업 신호를 하던 중 지붕 단부로 추락</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</si>
  <si>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</si>
  <si>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t>
  </si>
  <si>
    <t>2018년 11월경 OO(주) OO사이로 제작공장 토목 및 건축공사 현장에서 재해자가 지붕물받이 설치 작업을 하기위해 지붕에서 자재를 옮기던 중 지붕단부에서 실족하여 높이 약 14.2m 아래 지상 바닥으로 추락하여 사망</t>
  </si>
  <si>
    <t>지붕에서 자재운반 중 발을 헛디뎌 지붕 단부로 추락</t>
  </si>
  <si>
    <t>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t>
  </si>
  <si>
    <t xml:space="preserve"> 2019년 11월경 OO에서 시공하는 (유)OO 지붕 보수공사 현장에서 재해자(지붕재설치공)가 퇴비공장 B동 지붕위에서 이동하던 중, 채광용 선라이트(sunlight)를 밟아 선라이트가 파단되면서 바닥으로 떨어져(H:약7.3m) 사망</t>
  </si>
  <si>
    <t>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t>
  </si>
  <si>
    <t>지붕 상단에 적재된 자재가 자중에 의해 지붕 경사면을 따라 미끄러지면서 지붕 하단에서 작업 중인 재해자가 자재에 맞은 후 지붕 단부로 추락</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</si>
  <si>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</si>
  <si>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t>
  </si>
  <si>
    <t>2021년 4월경 OO 개인 신축공사 현장에서 조립식건축 소속 근로자가 신축주택 지붕 패널 설치작업 준비 중 지붕에서 바닥(H≒4.5m)으로 떨어져 사망</t>
  </si>
  <si>
    <t>지붕에서 작업 중 발을 헛디뎌 지붕 단부로 추락</t>
  </si>
  <si>
    <t>2021년 11월경 OO(주)는 ㈜OO 화재복구공사 현장에서 재해자는 고소작업대를 이용하여 지붕단부로 올라가 철골부재를 딛고 이동하면서 빗물받이 홈통을 해체하던중 몸의 균형을 잃고 5m 아래로 떨어져 사망</t>
  </si>
  <si>
    <t>2015년 5월경</t>
  </si>
  <si>
    <t>2015년 5월경 OO공사에서 재해자가 경량철골조 건물의 지붕판넬을 설치 하던 중 높이 4.5m 하부 1층 콘크리트 바닥으로 추락하여 사망</t>
  </si>
  <si>
    <t>지붕에서 작업 중 발을 헛디뎌 안전난간이 설치되지 않은 지붕단부로 추락</t>
  </si>
  <si>
    <t>2015년 12월경 OO공사에서 재해자가 지붕 위에서 판넬 설치 작업 준비 중 몸의 중심을 잃고 지상 1층 콘크리트 바닥으로 추락하여(H≒11m) 사망</t>
  </si>
  <si>
    <t>▶ 지붕 또는 천장 단부에서 작업할 경우 비계 설치를 통해 작업발판 및 안전난간을 구성하여 근로자 추락 방지
▶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
▶ 지붕 또는 천장의 마감재 해체 또는 설치 작업 시 고소작업대, 타워형 계단 등을 사용하여 상부에서의 작업을 최소화할 수 있는 작업 방법을 검토</t>
  </si>
  <si>
    <t>2016년 2월경 OO이 시공하는 OO 지붕보수공사 현장에서 지붕판넬공인 재해자가 공장지붕 상부에서 지붕 보수작업을 하던중 썬라이트가 파손되며 약 11m 아래 공장바닥에 떨어져 사망</t>
  </si>
  <si>
    <t>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t>
  </si>
  <si>
    <t>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t>
  </si>
  <si>
    <t>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t>
  </si>
  <si>
    <t>작업 중 이웃 창고의 지붕재가 순간 돌풍에 의해 파손되어 날아오면서 재해자가 맞음</t>
  </si>
  <si>
    <t>▶ 바람 등 기상상태 불안정으로 인하여 근로자가 위험해질 우려가 있는 경우 작업 중지
▶ 근로자 개인보호구 지급 및 착용상태 관리감독</t>
  </si>
  <si>
    <t>2016년 5월경 OO공사에서 재해자가 지붕슬레이트의 면적 실측위해 이동 중 슬레이트가 파손되면서 콘크리트 바닥으로 추락하여(H≒7.97m) 사망</t>
  </si>
  <si>
    <t>2016년 5월경 OO공사에서 재해자가 지붕패널(W≒182kg) 설치작업 중 발을 헛디뎌 지붕 개구부(약 15m×1.2m)에서 콘크리트 바닥으로 추락하여(높이 약 9m) 사망</t>
  </si>
  <si>
    <t>2016년 5월경 OO 물류창고 증축공사 현장에서 재해자(판넬조립공)가 외벽 상부에 물받이 홈통을 설치하기 위해 지붕 철골보 위에서 작업 준비 중 몸의 중심을 잃고 지상 1층 콘크리트 바닥으로 떨어져(H≒6.5m) 사망</t>
  </si>
  <si>
    <t>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t>
  </si>
  <si>
    <t>2016년 6월경 OO공사에서 재해자가 양식장 경사지붕 강판판넬 설치 작업 중 약 5.5m 아래 콘크리트 바닥으로 추락하여 사망</t>
  </si>
  <si>
    <t>2016년 6월경 OO공사에서 재해자가 지붕판넬 위에서 판넬을 설치하기 위해 상부에 있는 판넬을 옮기던중 미끄러지며 지붕 단부로 추락하여 사망</t>
  </si>
  <si>
    <t>지붕에서 작업 중 발이 미끄러지면서 안전난간이 설치되지 않은 지붕단부로 추락</t>
  </si>
  <si>
    <t>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</si>
  <si>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2016년 9월경 OO공사에서 재해자가 자전거보관소 지붕에서 마감판넬 설치 작업 중 몸의 중심을 잃고 지상1층 바닥으로 추락하여(H≒4.3m) 사망</t>
  </si>
  <si>
    <t>2016년 9월경 OO공사에서 재해자가 철골지붕 위에서 패널 설치작업 중 선라이트 설치예정인 개구부(약10m×1m)에서 콘크리트 바닥으로 추락하여(H:8.9m) 사망</t>
  </si>
  <si>
    <t>2016년 10월경 추가공사 현장에서 재해자(판넬공)이 가설임시창고 B동 지붕마감재 위에서 피스 고정작업 중 고정되지 않은 용마루 주변 지붕마감재의 탈락(꺽임 발생)과 함께 실족, 10.7m 아래 CON`C 바닥으로 떨어져 사망</t>
  </si>
  <si>
    <t>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t>
  </si>
  <si>
    <t>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t>
  </si>
  <si>
    <t>2016년 12월경 OO공사에서 재해자가 지붕위에서 지붕 샌드위치판넬 설치 작업 중 지붕판넬이 붕괴되면서 약 3m 아래 바닥으로 추락하여 부상</t>
  </si>
  <si>
    <t>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t>
  </si>
  <si>
    <t>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t>
  </si>
  <si>
    <t>하지철물 용접작업 중 근접하여 설치된 단열재에 용접 불티가 튀어 화재 발생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</si>
  <si>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</si>
  <si>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t>
  </si>
  <si>
    <t>2017년 3월경 OO현장에서 재해자가 지붕틀 설치작업을 돕기 위해 선라이트(PC: Polycarbonate) 지붕 위에서 이동 중, 약 3m 아래 2층 바닥으로 추락하여 사망</t>
  </si>
  <si>
    <t>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t>
  </si>
  <si>
    <t>▶ 노후화 되거나 강도가 약한 재료의 마감재 위에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 또는 천장재의 해체 또는 설치 작업 시, 고소작업대, 타워형 계단 등을 사용하여 위에서의 작업을 최소화할 수 있는 작업 방법을 검토</t>
  </si>
  <si>
    <t>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t>
  </si>
  <si>
    <t>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</si>
  <si>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t>
  </si>
  <si>
    <t>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</si>
  <si>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2017년 7월경 OO 축사 보수공사 현장의 지붕에서 선라이트를 흑강판으로 교체하는 작업을 하던 재해자(조력공)가 선라이트가 파손되어 콘크리트 바닥(H≒5.1)으로 떨어져 사망</t>
  </si>
  <si>
    <t>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t>
  </si>
  <si>
    <t>2017년 9월경 OO공사에서 재해자가 지붕 좌측면 벽체 판넬 설치작업을 위해 지붕 철골 보(Beam) 위에서 기 설치되어 있던 판넬부재를 밟고 이동하던 중 약 7.5m 아래의 지상 콘크리트 바닥으로 추락하여 사망</t>
  </si>
  <si>
    <t>지붕에서 이동하던 중 발을 헛디뎌 안전난간이 설치되지 않은 지붕단부로 추락</t>
  </si>
  <si>
    <t>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t>
  </si>
  <si>
    <t>2017년 9월경 OO공사에서 재해자가 지붕 후레싱(Flashing) 마감을 위해 핸드그라인더를 사용하여 지붕 패널의 전면부 잔여부분 절단작업 중 몸의 중심을 잃고 지상 바닥으로 추락하여(H≒약 3.5m) 사망</t>
  </si>
  <si>
    <t>2017년 10월경 OO이 시공중인 OO아파트 탁구장 증축공사 현장에서 직영 근로자인 재해자(보통인부)이 휘트니스클럽 옥상층에서 퍼린(purlin)을 운반 중 몸의 중심을 잃고 지상2층 바닥(약 3.6m)으로 떨어져 사망</t>
  </si>
  <si>
    <t>지붕에서 자재운반 중 발을 헛디뎌 안전난간이 설치되지 않은 지붕단부로 추락</t>
  </si>
  <si>
    <t>2017년 11월경 축사에서 지붕개량작업을 실시하던 중, 선라이트를 밟고 약 5m 아래 축사 바닥(콘크리트)으로 떨어져 사망</t>
  </si>
  <si>
    <t>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t>
  </si>
  <si>
    <t>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t>
  </si>
  <si>
    <t>2018년 1월경 OO공장 신축공사 현장에서 재해자(판넬공)가 공장동 지붕의 기계 반출입용 개구부 판넬 설치작업 중, 고정되지 않은 판넬을 밟아 뒤집어지며 판넬과 함께 공장동 콘크리트 바닥으로 떨어져(H≒14.2m) 사망</t>
  </si>
  <si>
    <t>2018년 2월경 OO공사에서 재해자가 경사지붕 위에서 지붕판넬 설치작업 중 약 7m 높이 아래 지상 바닥으로 추락하여 사망</t>
  </si>
  <si>
    <t>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t>
  </si>
  <si>
    <t>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t>
  </si>
  <si>
    <t>2018년 3월경 개인이 시공하는 축사보수공사현장에서 재해자(보통인부)가 축사지붕위에 올라가 선라이트 교체작업 중 낡은 선라이트를 밟아 파손되면서 축사 콘크리트 바닥으로 떨어져 (h=6m) 사망</t>
  </si>
  <si>
    <t>2018년 3월경 OO공사에서 재해자가 지붕 위에서 FRP채광판 덧씌움 작업을 하던 중 지붕 슬레이트가 파손되면서 약 8.4m 아래 바닥으로 추락하여 사망</t>
  </si>
  <si>
    <t>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t>
  </si>
  <si>
    <t>2018년 5월경 OO공사에서 재해자가 지붕 위에서 지붕마감재(칼라강판) 설치를 위해 이동하던 중 노후화된 슬레이트를 밟는 순간 파손되면서 약 13.2m 아래 바닥으로 추락하여 사망</t>
  </si>
  <si>
    <t>2018년 5월경 ㈜OO OO공장에서 재해자가 지붕 보수 공사 중 선라이트 판넬이 파손되어 17.5m 아래 정반으로 떨어져 사망</t>
  </si>
  <si>
    <t>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t>
  </si>
  <si>
    <t>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t>
  </si>
  <si>
    <t>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t>
  </si>
  <si>
    <t>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t>
  </si>
  <si>
    <t>지붕 철골 보 상부에서 작업 중 발을 헛디뎌 바닥으로 추락</t>
  </si>
  <si>
    <t>▶ 지붕 단부에서 작업하는 경우 건물 외부에 쌍줄비계를 설치하고 안전난간대, 작업발판을 마련하여 작업자 추락 방지 조치
▶ 고소작업대, 타워형 계단 등을 사용하여 지붕 위에서의 작업을 최소화할 수 있는 작업 방법을 검토
▶ 작업 전 안전대 부착설비를 설치하고, 근로자가 안전대 체결한 상태로 작업할 수 있도록 관리감독</t>
  </si>
  <si>
    <t>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t>
  </si>
  <si>
    <t>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t>
  </si>
  <si>
    <t>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</si>
  <si>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</si>
  <si>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</si>
  <si>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지붕에서 작업 중 순간적인 돌풍에 의해 자재가 뒤집히면서 부딪힌 후 지붕단부로 추락</t>
  </si>
  <si>
    <t>▶ 지붕 위에서 지붕재의 해체 또는 설치 작업 시, 지붕 단부에서 작업하는 경우 건물 외부에 쌍줄비계를 설치하고 안전난간대, 작업발판을 마련하여 작업자 추락 방지 조치
▶ 추락 위험이 있는 구간에는 추락방지망 및 안전대 부착설비를 작업 전에 설치하고, 근로자 개인보호구 착용 및 안전대 체결여부를 관리감독
▶ 지붕 위에서 지붕재의 해체 또는 설치 작업 시, 지붕재를 인력 및 단독으로 운반하는 행위를 지양하고 크레인을 사용하여 설치 위치로 자재를 운반하도록 계획</t>
  </si>
  <si>
    <t>2018년 12월경 OO사업장 지붕 천막 덧씌우기 작업을 하던 재해자가 천막 위로 올라가 이동하던 중, 노후 열화된 지붕 천막이 찢어지면서 높이 12.3미터 아래 콘크리트 바닥으로 떨어져 사망</t>
  </si>
  <si>
    <t>2018년 12월경 OO공사에서 재해자가 전기실 옥상에서 징크 강판 보호필름 제거 작업 중 몸의 중심을 잃고 지붕 단부 아래 지상 바닥으로 추락하여(H≒8.4m) 사망</t>
  </si>
  <si>
    <t>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t>
  </si>
  <si>
    <t>2019년 2월경 OO공사에서 재해자가 철골 구조물 위에서 지붕패널 판개작업을 위해 이동 중 패널 묶음(8장)과 함께 약 5.8m 아래 콘크리트 바닥으로 추락하여 사망</t>
  </si>
  <si>
    <t>2019년 2월경 OO공사에서 재해자가 지상 5층 건물 옥상의 증축구간인 지붕에서 건축 중 폐자재를 지상으로 내리던 중 몸의 균형을 잃으면서 폐자재와 함께 지상 1층 콘크리트 바닥으로 추락하여(H≒17m) 사망</t>
  </si>
  <si>
    <t>2019년 2월경 자동차 부품을 생산하는 ㈜OO공장에서 재해자가 지붕 선라이트 판넬 보수 공사를 위해 이동하던 중 밟고 있던 선라이트가 파손되어 약 15.5m 아래 바닥으로 떨어져 사망</t>
  </si>
  <si>
    <t>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t>
  </si>
  <si>
    <t>▶ 지붕 위에서 작업할 경우 지붕 전용 안전덮개 및 발판을 견고하게 설치하여 근로자 이동 중 발 빠짐, 미끄럼 방지, 추락 등에 대한 안전 조치 실시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</si>
  <si>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2019년 3월경 OO신축공사 현장에서 재해자가 건축물 배면부에 위치한 1층 경사지붕 위에서 2층 외부 벽체합판 부착작업 중 몸의 중심을 잃고 높이 3.1m 아래 보강토옹벽 갓돌 위로 떨어져 사마</t>
  </si>
  <si>
    <t>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t>
  </si>
  <si>
    <t>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t>
  </si>
  <si>
    <t>이동식 크레인으로 자재를 양중하던 중 체결된 슬링벨트가 풀리며 낙하하는 자재와 충돌</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</si>
  <si>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</si>
  <si>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2019년 4월경 OO공사에서 재해자가 철골 구조물 위에서 지붕판넬 위치 이동 중 13m 아래 콘크리트 바닥으로 추락하여 사망</t>
  </si>
  <si>
    <t>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t>
  </si>
  <si>
    <t xml:space="preserve"> 2019년 4월</t>
  </si>
  <si>
    <t xml:space="preserve"> 2019년 4월경 ㈜OO 공장동 지붕보수공사 현장에서 재해자(판넬공)이 지붕 판넬 C형강 고정작업 중 기존 노후화된 선라이트(투명 채광판)를 밟는 순간 파손되면서 약 9m 아래 공장동 지상 바닥으로 떨어져 사망</t>
  </si>
  <si>
    <t>2019년 4월경 조립식건물 철거 현장에서 해체공인 재해자가 경사지붕 상부에서 판넬 해체 작업중 선라이트(Sunlight)를 밟아 파단되면서 약 10.4m 아래 콘크리트 바닥으로 추락하여 사망</t>
  </si>
  <si>
    <t>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t>
  </si>
  <si>
    <t>2019년 4월경 OO(주) 지붕보수공사 현장에서 재해자가 슬레이트 지붕 위에서 실리콘 작업 중 노후된 슬레이트 일부가 파손되어 약 10m 아래 공장 바닥으로 추락하여 사망</t>
  </si>
  <si>
    <t>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</si>
  <si>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5월경 OO공사에서 재해자가 지붕 샌드위치 패널 철거 작업을 위해 지붕 위에서 이동하던 중 고정되지 않은 패널이 이탈하면서 약 7.5m 아래 바닥으로 추락하여 사망</t>
  </si>
  <si>
    <t>2019년 5월경 OO공사에서 재해자가 지붕 철골 보 끝단에 걸터앉아 외벽 마감재 지지철물 용접을 위한 준비작업 중 몸의 중심을 잃고 약 9.2m 아래 콘크리트 바닥 슬래브로 추락하여 사망</t>
  </si>
  <si>
    <t>2019년 5월경 OOO 축사 신축공사 현장에서 재해자가 축사 지붕판넬 설치 작업 중 고정되지 않은 지붕판넬(선라이트)을 밟자 선라이트가 꺽이면서 높이 약 5.9m 아래 콘크리트 바닥으로 추락하여 사망</t>
  </si>
  <si>
    <t>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</si>
  <si>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2019년 6월경 OO공사에서 재해자가 지붕에서 이동하던 중 밟고있던 지붕이 부서지면서 약 4.8m 아래 바닥으로 추락하여 사망</t>
  </si>
  <si>
    <t>2019년 6월경 OO공업사의 슬레이트 지붕 상부에서 칼라강판을 덧씌우기 작업을 위해 재해자가 지붕 위에서 작업 중 슬레이트가 파단되면서 콘크리트 바닥(H≒6m)으로 떨어져 사망</t>
  </si>
  <si>
    <t>2019년 7월경 OO농장내 OO가 시공하는 퇴비사 지붕교체 현장에서 판넬공인 재해자가 퇴비사 노후 지붕판넬을 밟는 순간 지붕판넬이 깨지면서 6m아래 콘크리트 바닥으로 떨어져 사망</t>
  </si>
  <si>
    <t>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t>
  </si>
  <si>
    <t>2019년 7월경 OO공사에서 재해자가 지붕 마감재(썬라이트) 교체를 위해 기존에 설치된 고정용 나사를 풀던 중 밟고있던 노후된 썬라이트가 파손되면서 약 5.2m 아래 바닥으로 추락하여 사망</t>
  </si>
  <si>
    <t>2019년 8월경 OO공사에서 재해자가 지상3층 주차장 지붕 처마 물받이 설치작업 중 배면의 지상1층 하역장 지붕공사 작업 구간으로 이동하다가 개구부(폭45cm)를 통해 약 13.3m 아래 지하2층 바닥으로 추락하여 사망</t>
  </si>
  <si>
    <t>2019년 8월경 OO공장 보수공사 현장에서 재해자(판넬공)가 공장지붕 위에서 보수공사 작업도 중 공장지붕의 채광판이 깨지며 약 8.2m 높이의 공장 내부 1층 바닥으로 떨어져 사망</t>
  </si>
  <si>
    <t>2019년 8월경 OO공사에서 재해자가 지붕 위에서 지붕판넬 설치작업 중 발을 헛디뎌 바닥으로 추락하여(H≒7.8m) 사망</t>
  </si>
  <si>
    <t>2019년 9월경 OO공사에서 재해재가 지붕재(유리패널) 설치작업 중 지붕재가 설치되어 있지 않은 개구부에 발을 헛디디면서 콘크리트 바닥으로 추락하여(H=9.5m) 사망</t>
  </si>
  <si>
    <t>2019년 9월경 OO공사에서 재해자가 지붕 위에서 지붕패널 고정작업을 하던 중 추락하여 공장 내부 구조물 및 크레인 등에 부딪혀 사망</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</si>
  <si>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t>
  </si>
  <si>
    <t>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t>
  </si>
  <si>
    <t xml:space="preserve">   2019년 </t>
  </si>
  <si>
    <t xml:space="preserve">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t>
  </si>
  <si>
    <t>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t>
  </si>
  <si>
    <t>2019년 10월경 OO공사에서 재해자가 지붕위로 이동 중 투명 PC판넬을 밟아 파손되면서 약 8m 아래 콘크리트 바닥으로 추락하여 사망</t>
  </si>
  <si>
    <t>2019년 10월경 OO공사에서 재해자가 지붕 위에서 실리콘 작업 중 지붕처마 단부에서 실족으로 옥상 콘크리트 바닥면으로 추락하여(H≒2.5m) 사망</t>
  </si>
  <si>
    <t>2019년 10월경 OO공사에서 재해자가 지붕 위에서 기와설치 작업 후 기와골에 있는 분진 등을 빗자루로 청소하던 중 현관지붕 단부에서 지면으로 추락하여(H≒:3.5m) 사망</t>
  </si>
  <si>
    <t>2019년 10월경 OO이 시공하는 OO 우사 개량공사 현장에서, 재해자가 우사 지붕 위에서 패널 설치작업을 하던 중, 썬라이트 지붕재가 파손되며 지상 콘크리트 바닥으로 떨어져(H=4.0m) 사망</t>
  </si>
  <si>
    <t>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t>
  </si>
  <si>
    <t>2019년 11월경 개인 소유 축사 지붕 상부에 설치 완료된 태양광 발전설비의 사용 전 검사를 받기 위해 재해자가 축사 지붕 위에서 이동 중 밟고 있던 선라이트가 깨지면서 약 5.7m아래 축사 바닥으로 추락하여 사망</t>
  </si>
  <si>
    <t>2019년 11월경 OO공사에서 재해자가 경사지붕 위에서 지붕 패널 마감작업을 위한 패널 표면 물기제거 도중 발이 미끄러지면서 약 4m 높이 아래 바닥으로 추락하여 사망</t>
  </si>
  <si>
    <t>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</si>
  <si>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2019년 12월경 재해자가 OO공장 이전 이사 및 청소용역 현장의 공장동 지붕 위에서 회사 간판 시트지 교체작업을 위해 이동하던 중, 지붕재인 선라이트가 파손되면서 약7.3m 아래 공장바닥으로 추락하여 사망</t>
  </si>
  <si>
    <t xml:space="preserve"> 2019년 12</t>
  </si>
  <si>
    <t xml:space="preserve"> 2019년 12월경 OO농공단지 내 ㈜OO OO공장 지붕 보수공사현장에서 재해자가 동료 작업자와 함께 지붕 위에서 지붕판넬 운반 중 선라이트가 파손되어 약 11.5m 아래 지상바닥으로 추락하여 사망</t>
  </si>
  <si>
    <t>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t>
  </si>
  <si>
    <t>지붕에서 작업 중 이동식크레인으로 양중하던 자재에 부딪힌 후 바닥으로 추락</t>
  </si>
  <si>
    <t>▶ 추락 위험 구간에는 추락방지망, 작업발판 설치 등의 안전방호조치 실시
▶ 작업자의 개인보호구 착용여부 관리감독
▶ 안전방호조치가 현장 여건 상 어려울 경우, 별도의 안전대 부착설비를 설치하고 근로자 이동 및 작업 시 안전대 체결여부 관리감독
▶ 양중 작업 시 사고예방을 위한 사전 작업계획서를 수립하고, 그에 준하여 신호수 배치 및 신호체계구축</t>
  </si>
  <si>
    <t>2020년 1월경 OO축사 신축공사 현장에서 조립중인 지붕판넬(칼라강판)이 돌풍으로 인해 뒤집혀, 지붕판넬 위에서 휴식하던 재해자(지붕공)가 몸에 중심을 잃고 바닥으로 떨어져(H=8.1m) 사망</t>
  </si>
  <si>
    <t>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t>
  </si>
  <si>
    <t>2020년 2월경 ㈜OO OO공장 철거 현장에서 재해자가 지붕 철거작업을 위해 지붕 위에서 칼라강판을 들고 옮기던 중 노후화된 썬라이트(투명 채광판)를 밟아 부서지면서약 9.1m 높이에서 공장동 바닥으로 추락하여 사망</t>
  </si>
  <si>
    <t>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t>
  </si>
  <si>
    <t>2020년 3월경 OO공사에서 재해자가 슬레이트 지붕 위에서 칼라강판 정리 중 밟고있던 슬레이트 지붕 일부가 파손되며 약 7.5m 아래 건물 바닥으로 추락하여 사망</t>
  </si>
  <si>
    <t>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t>
  </si>
  <si>
    <t>2020년 4월경 OO농장 축산동에서 축사 지붕 썬라이트를 교체하는 작업 중 재해자가 노후된 썬라이트를 밟아 높이 약 6.6m 아래 흙바닥으로 추락하여 사망</t>
  </si>
  <si>
    <t>2020년 5월경 OO공사에서 재해자가 철골 지붕에서 판넬(칼라강판 및 선라이트) 설치 작업 중 철골 지붕 개구부에서 높이 약 5미터 아래 콘트리트 바닥으로 추락하여 사망</t>
  </si>
  <si>
    <t>2020년 5월경 OO공사에서 재해자가 지붕 위에서 샌드위치 패널(길이: 10.46m, 폭: 1m, 중량: 약 233.4㎏)을 설치하던 중 몸의 균형을 잃고 약 9m 아래 지상 4층 콘크리트 바닥으로 추락하여 사망</t>
  </si>
  <si>
    <t xml:space="preserve">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t>
  </si>
  <si>
    <t>2020년 6월경 OO공사에서 재해자가 경사지붕 위에서 샌드위치 패널을 설치하던 중 이동하며 발을 디딘 기존 샌드위치 패널의 단부가 아래로 구부러지며 약 13m 아래 지상층으로 추락하여 사망</t>
  </si>
  <si>
    <t>2020년 7월경 축사지붕 덧씌우기 보수공사 현장에서 재해자가 축사 지붕 위에서 지붕작업에 필요한 볼트를 운반하던 중, 채광용 선라이트(sunlight)를 밟아 선라이트가 파단되면서 바닥으로 떨어져(H≒6.8m) 사망</t>
  </si>
  <si>
    <t>2020년 7월경 OO공사에서 재해자가 1층에 설치된 조립식 구조물(샌드위치 판넬 구조) 천장 위에서 조명 배선확인 작업 중 조립식 구조물의 천장(샌드위치 판넬)이 탈락하며 1층 바닥으로 추락하여(H≒3m) 부상</t>
  </si>
  <si>
    <t>2020년 8월경 OO공사에서 재해자가 지붕 천막을 고정하기 위해 지붕 상부로 올라가서 C형강을 밟고 이동 중 실족으로 높이 약 3.7m 아래 바닥으로 추락하여 사망</t>
  </si>
  <si>
    <t>2020년 8월경 OO공사에서 재해자가 지붕 판넬 설치 작업 중 갑작스러운 비를 피해 이동하던 중 지붕 판넬 단부에서 지상1층 콘크리트 바닥으로 추락하여(H=3.5m) 사망</t>
  </si>
  <si>
    <t>2020년 8월경 OOO 축사 신축공사 현장에서 재해자(보통인부)가 지붕판넬을 설치하던 중, 채광창 구간 작은 판넬(하단)이 뒤집히면서 몸에 중심을 잃고 바닥으로 떨어져(H=5.5m) 사망</t>
  </si>
  <si>
    <t>2020년 8월경 OO 축사 지붕보수작업 현장에서 재해자가 축사 지붕에 올라가 채광창 교체작업 진행중 노후화된 선라이트를밟아 선라이트가 파손되면서 약 3.3m 아래 축사 바닥으로 떨어져 사망</t>
  </si>
  <si>
    <t>원인미상</t>
  </si>
  <si>
    <t>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t>
  </si>
  <si>
    <t>지붕에서 작업 중 원인미상의 이유로 쓰러짐</t>
  </si>
  <si>
    <t>▶ 원인 미상</t>
  </si>
  <si>
    <t>2020년 9월경 OO기업에서 시공하는 ㈜OO 사무동앞 지붕판 교체 및 물받이 보강공사 현장에서 재해자(지붕보수공)가 공장 지붕에서 이동하던 중 지붕 자재인 선라이트가 파손되면서 바닥으로 추락(H≒8.8m)하여 사망</t>
  </si>
  <si>
    <t>2020년 9월경 OO의 축사지붕 보수공사 현장에서 재해자(보통인부)가 노후된 슬레이트 환기구 해체 작업을 종료하고 이동 중, 선라이트를 밟고 약 4.7m 아래 콘크리트 바닥으로 추락하여 사망</t>
  </si>
  <si>
    <t>2020년 9월경 OO공사에서 재해자가 지붕에서 지붕재 보수작업 중 발을 헛디뎌 지상1층으로 추락하여(H≒5.3m) 사망</t>
  </si>
  <si>
    <t>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t>
  </si>
  <si>
    <t>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t>
  </si>
  <si>
    <t>2020년 10월경 OO공사에서 재해자가 지붕 C형강 위에서 지붕 샌드위치 판넬 판개작업 후 고소작업대로 내려오던 중 약 5.0m 아래 콘크리트 바닥으로 추락하여 사망</t>
  </si>
  <si>
    <t>지붕에서 고소작업대 난간을 밟고 작업대로 내려오던 중 발을 헛디뎌 바닥으로 추락</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</si>
  <si>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</si>
  <si>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t>
  </si>
  <si>
    <t>2020년 11월경 OO공사에서 재해자가 지붕 위에서 판넬 설치작업을 하던 중 약 3.4m 아래 콘크리트 바닥으로 추락하여 사망</t>
  </si>
  <si>
    <t>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t>
  </si>
  <si>
    <t>2020년 11월경 OO실내인테리어 현장에서 사업주와 재해자(보통인부)가 침실 돌출 발코니 천정 샌드위치패널 설치 중 바닥 샌드위치패널이 꺾이며, 1층 바닥(H≒7m)으로 함께 추락[사업주(부상), 재해자(사망)]</t>
  </si>
  <si>
    <t>2020년 11월경 OO공사에서 재해자가 지붕 위에서 지붕 샌드위치패널(100x480x22Cm) 설치 작업 중 샌드위치패널이 기울어지며 패널과 함께 지상 1층 주차장 바닥으로 추락하여(H≒18m) 사망</t>
  </si>
  <si>
    <t>2020년 11월경 OO공사에서 재해자가 지붕 위에서 지붕 기울기를 수정하기 위해 해체된 지붕 샌드위치패널을 운반하던 중 밟고 있는 패널이 꺾이면서 약 13.5m 아래 지상 1층 바닥으로 추락하여 사망</t>
  </si>
  <si>
    <t>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t>
  </si>
  <si>
    <t>2021년 3월경 OO가 시공중인「간판 철거 및 석면철거공사 등」 현장에서재해자(철거공)가 지붕 위에서 철거 작업 중 채광판이 깨지며 지상 1층바닥(H≒8.2m)으로 떨어져 사망</t>
  </si>
  <si>
    <t>2021년 4월경 OO에서 시공 중인 OO시설 철거 및 이전공사 현장에서, 재해자가 지붕 위에서 선라이트(Sunlight, 폴리카보네이트 재질의 지붕재)를 철거하던 중, 지면으로 떨어져(H≒3.9m) 사망</t>
  </si>
  <si>
    <t>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t>
  </si>
  <si>
    <t>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t>
  </si>
  <si>
    <t>2021년 6월경 OO공사에서 재해자가 지붕판넬 설치작업 중 실족하면서 추락(H≒10.2m)하여 사망</t>
  </si>
  <si>
    <t>2021년 8월경 노후 정비고 등 보수공사에서, 정비고 지붕 교체작업를 위한 준비작업 과정에 재해자가 지붕 위에서 이동 중 노후된 채광창 일부 탈락과 함께 약 10m 아래 바닥으로 떨어져 사망</t>
  </si>
  <si>
    <t>2021년 9월경 OO공사에서 재해자가 지붕에서 칼라강판 설치를 위한 먹매김 작업 중 지붕 단부로 이동하다가 3층 하역장 바닥으로 추락하여(H≒21m) 사망</t>
  </si>
  <si>
    <t>2021년 9월경 주유소 도색 공사 현장에서, 재해자가 주유소 캐노피 지붕 위에서 철골 도색 작업 중, 캐노피 지붕의 금이 간 유리를 밟고 바닥으로 떨어져(H≒6.6m) 사망</t>
  </si>
  <si>
    <t>2021년 10월경 OO목장 지붕판 교체공사 현장에서 재해자(판넬공)가 축사 지붕위에서 이동 중 선라이트(sunlight) 판넬이 파손되면서 바닥으로 떨어져(H≒5.6m) 사망</t>
  </si>
  <si>
    <t>2021년 10월경 OO공사에서 재해자가 지붕 샌드위치 패널 해체작업 중  하부가 지지되지 않은 패널부위를 밟고 6M 아래로 추락하여 사망</t>
  </si>
  <si>
    <t>2021년 12월경 축사 지붕 교체공사 현장에서 지붕 해체작업 중 재해자가 지붕 위에서 이동하다 선라이트(채광창) 일부가 탈락하며 바닥으로 추락(H≒6m)하여 사망</t>
  </si>
  <si>
    <t>2021년 12월경 OO공사에서 재해재가 지붕 위에서 천막 덧씌우기 작업 중 발을 헛디뎌 기존 노후 천막이 찢어지면서 바닥으로 추락하여(H≒9.8m) 사망</t>
  </si>
  <si>
    <t>OO축사 철거작업</t>
  </si>
  <si>
    <t>OO축사 철거작업 현장에서 재해자가 슬레이트 지붕에서 이동 중, 경사면 슬레이트 일부가 부서지면서 콘크리트 바닥으로 추락(H≒4m)하여 사망</t>
  </si>
  <si>
    <t>2017년 5월경 OO공사에서 재해자가 캐노피 상부에서 지붕 판넬 해체작업중 판넬 단부에서 실족하여 4.8m아래 지상 바닥으로 추락하여 사망</t>
  </si>
  <si>
    <t>캐노피 상부 지붕 판넬 해체작업 중 판넬 단부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</si>
  <si>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</si>
  <si>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2014년 5월경</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</si>
  <si>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</si>
  <si>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</si>
  <si>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</si>
  <si>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천장 마감재(텍스, 석고보드, 샌드위치 판넬 등) 상부에서 작업 중, 마감재가 파단되며 바닥으로 추락</t>
  </si>
  <si>
    <t>2016년 11월경 OO공사에서 재해자가 천장내부에서 전등설치를 위한 전선 배선작업 중 밟고 있던 샌드위치 패널(천장 마감재)이 탈락되면서 바닥으로 추락하여(H≒3.5m) 사망</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</si>
  <si>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</si>
  <si>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2020년 7월경 OO공사에서 재해자 등이 천장 판넬 상부에서 전기 배선작업 및 덕트 설치작업 중 판넬 자중 및 작업 하중을 견디지 못하고 천장이 붕괴되면서 추락하여 2명 부상</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</si>
  <si>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</si>
  <si>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</si>
  <si>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</si>
  <si>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2017년 2월경 OO작업 현장에서 재해자가 천장내부에 들어가 조명기구의 흔들림 방지를 위한 각파이프 용접작업을 준비하던 중 천장 바닥을 밟아 합판이 탈락하면서 약 7.5m 높이의 천장에서 떨어짐</t>
  </si>
  <si>
    <t>2017년 5월경 OO공사에서 재해자가 지붕 샌드위치판넬(두께 75mm) 위에서 전선 배관 설치 작업 중 지붕 샌드위치판넬이 탈락되면서 동시에 2.9m 아래 바닥으로 추락하여 사망</t>
  </si>
  <si>
    <t>지붕 샌드위치판넬 위에서 전선 배관 설치 작업 중 지붕 샌드위치판넬이 탈락되면서 추락</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</si>
  <si>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</si>
  <si>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</si>
  <si>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</si>
  <si>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</si>
  <si>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</si>
  <si>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</si>
  <si>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</si>
  <si>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</si>
  <si>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</si>
  <si>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</si>
  <si>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</si>
  <si>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 옥상지붕을 통한 이동금지조치 실시
▶ 옥상지붕 이동이 불가피한 경우, 안전난간, 추락방호망, 안전대 부착설비를 통한 추락방지조치 실시</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</si>
  <si>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</si>
  <si>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</si>
  <si>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</si>
  <si>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</si>
  <si>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</si>
  <si>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</si>
  <si>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</si>
  <si>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</si>
  <si>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</si>
  <si>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</si>
  <si>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 xml:space="preserve">  2019년 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</si>
  <si>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</si>
  <si>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 추락할 위험이 있는 작업 시, 추락방호망, 안전난간대, 안전대 부착설비 등의 안전방호조치 실시
▶ 작업 전 개인보호구 지급 및 착용상태 관리 실시</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</si>
  <si>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</si>
  <si>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</si>
  <si>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</si>
  <si>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</si>
  <si>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</si>
  <si>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</si>
  <si>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</si>
  <si>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</si>
  <si>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</si>
  <si>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</si>
  <si>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</si>
  <si>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t>
  </si>
  <si>
    <t>E/V 슬래브 해체를 위해 절단기로 작업하던 중 데크플레이트가 하중을 버티지 못하고 파손되면서 생긴 개구부를 통해 E/V PIT 바닥으로 추락</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</si>
  <si>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</si>
  <si>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2020년 11월경 재해자가 OO동 1~2호라인 승강기(11호기) 점검을 마치고 3~4호라인 승강기(12호기) 점검을 위해 옥상 경사지붕 위로 이동하던 중에 중심을 잃고 바닥으로 추락(H≒14m)하여 사망</t>
  </si>
  <si>
    <t>안전난간이 미설치된 옥상 경사지붕 이동 중 몸의 균형을 잃고 바닥으로 추락</t>
  </si>
  <si>
    <t>비계</t>
  </si>
  <si>
    <t>말비계</t>
  </si>
  <si>
    <t>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</si>
  <si>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</si>
  <si>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 말비계를 평탄한 바닥면에 견고하게 설치
▶ 추락위험이 있는 경우 안전대를 착용토록 하고 안전대 부착설비에 안전대를 체결한 후 작업</t>
  </si>
  <si>
    <t>2016년 10월경 OO신축공사에서 말비계위에서 해머드릴을 사용하여 12층 엘리베이터 출입구 상단 콘크리트 할석작업 중 몸의 중심을 잃고 엘리베이터 피트를 통해 지하 1층 바닥(H=38.7m)으로 추락하여 사망</t>
  </si>
  <si>
    <t>추락방지조치 미실시한 상태에서 말비계 위에서 견출 작업 중 몸의 중심을 잃고 추락</t>
  </si>
  <si>
    <t>2017년 8월경 OO신축공사에서 세대 발코니 천장 견출작업을 위해 말비계 위에서 핸드그라인더로 천장 면정리 작업 중 콘크리트 바닥으로 추락하여(H≒1.1m) 사망</t>
  </si>
  <si>
    <t>2017년 10월경 OO리모델링 공사에서 화장실 내부미장 작업 중 말비계(발판높이 75cm)상부에서 몸의 중심을 잃고 넘어지면서 콘크리트 벽에 머리를 부딪혀 사망</t>
  </si>
  <si>
    <t>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t>
  </si>
  <si>
    <t>미장작업을 마치고 말비계 답단을 밟고 내려오던 중 말비계 지주부재를 고정하는 보조부재가 이탈하면서 전도되어 몸의 중심을 잃고 추락</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</si>
  <si>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</si>
  <si>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2018년 1월경 OO신축공사에서 6층 발코니에 설치된 말비계 상부에서 실내 견출 작업을 진행하던 중 몸의 중심을 잃고 말비계에서 발코니 창호구간 바깥쪽 지상으로 추락하여(H≒17m) 사망</t>
  </si>
  <si>
    <t>2018년 5월경 OO신축공사에서 옥상 단부에 설치 된 말비계 위에서 계단실 옥탑 외벽을 핸드 그라인더로 견출작업(면갈이) 중 지상으로 추락하여(H≒70m) 사망</t>
  </si>
  <si>
    <t>2018년 5월경 OO신축공사에서 4층 전면 발코니에 설치된 말비계 위에서 견출작업 중 말비계에서 건물 외부 지상 1층 바닥으로 추락하여(H≒11.8m) 사망</t>
  </si>
  <si>
    <t>2021년 5월경 OO신축공사에서 5~6층 계단에 설치된 말비계 작업발판위에서 견출작업 중 5층 계단실 바닥(H≒1.8m)으로 추락하여 사망</t>
  </si>
  <si>
    <t>2021년 9월경 OO신축공사에서 8층 승강기 전실 창호 콘크리트면 견출 작업을 하던 중 약 25.5m 아래 지면으로 추락하여 사망</t>
  </si>
  <si>
    <t>2017년 8월경 OO신축공사 현장에서 재해자가 욕실 벽체 타일 줄눈작업을 위해 말비계(H=0.5m) 위로 올라가던 중 말비계가 넘어지면서 뒤로 떨어져 사망</t>
  </si>
  <si>
    <t>욕실 벽체의 타일 줄눈작업을 위해 말비계에 올라가던 중 말비계가 전도되며 뒤로 떨어짐</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</si>
  <si>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</si>
  <si>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2016년 7월경 OO공장 신축공사현장에서 재해자가 지상2층 내부 칸막이벽 도장작업 중 말비계(높이:약 73cm)에서 몸의 중심을 잃고 바닥으로 넘어져 사망</t>
  </si>
  <si>
    <t xml:space="preserve">설치가 불량한 말비계 위에서 내부 칸막이벽 도장작업 중 몸의 중심을 잃고 추락 </t>
  </si>
  <si>
    <t>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</si>
  <si>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안전난간을 설치하지 않은 작업발판 위에 말비계, 그 위에 페인트통을 두고 올라서서 작업하던 중 레버풀러를 조작하는 순간 훅이 탈락되며 튕겨져 나오면서 그 충격으로 몸의 균형을 잃고 바닥으로 추락</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</si>
  <si>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</si>
  <si>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2017년 4월경 OO병원 인테리어 공사현장 진료실에서 재해자(도배공)가 작업발판(말비계) 위에서 벽체 도배작업 중 중심을 잃고 바닥으로 떨어져 사망</t>
  </si>
  <si>
    <t>말비계 위에서 양손을 머리 위로 올린 자세로 작업하던 중 몸의 중심을 잃고 추락</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</si>
  <si>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</si>
  <si>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2021년 3월경 OO부대 관사동 도배·장판 인테리어 공사 현장에서 재해자가 거실 천장 도배작업을 위해 말비계(H=0.6m) 위로 올라가 작업 중 중심을 잃고 뒤로 떨어져 뒷편 벽체에 머리를 부딪혀 뇌출혈로 사망</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</si>
  <si>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</si>
  <si>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</si>
  <si>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</si>
  <si>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</si>
  <si>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물</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</si>
  <si>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</si>
  <si>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</si>
  <si>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</si>
  <si>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보호구 이상</t>
  </si>
  <si>
    <t>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t>
  </si>
  <si>
    <t>수중 작업을 하던 중 보호구의 이상 등 이상징후 발생으로 의식을 잃어 익사</t>
  </si>
  <si>
    <t>▶ 수중 작업자 비상 연락용구 지급
▶ 작업 전 잠수기구 송기관(공기호스) 연결부 점검을 통한 이상유무 확인
▶ 잠수 작업 시 작업자와의 연락을 담당하는 감시자 배치를 통한 안전방호조치 실시</t>
  </si>
  <si>
    <t>2016년 4월경 OO면 OO리 남서 약24km 해상 수심 67m에서 모래채취선의 샌드펌프 인양 작업 중 의식을 잃고 사망</t>
  </si>
  <si>
    <t>2016년 11월경 OO항 부근의 해저에서 재해자가 수중(수심 약 2m) 이식플레이트 설치 작업 중 호흡곤란으로 의식을 잃어 사망</t>
  </si>
  <si>
    <t>2016년 12월경 OO부두에서 선박 수중 검사 현장에서 ㈜OO 소속 재해자가 선박 하부 수중에서 육안 검사 중 의식을 잃고 사망</t>
  </si>
  <si>
    <t>2016년 12월경 OO항 먼 바다에서 잠수사인 재해자가 정박 중인 선박(LNG선)의 외판 수중 청소작업을 하던 중 선박 바닥(수심9m)에 있는 것을 긴급 구조하였으나 사망</t>
  </si>
  <si>
    <t>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t>
  </si>
  <si>
    <t>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t>
  </si>
  <si>
    <t>출렁다리 주탑 기초부 공사에서 악천 후 및 강풍 시 작업을 강행하였으나 작업철수시 너울성 파도로 인한 익사</t>
  </si>
  <si>
    <t>▶ 작업 전 기상상태를 파악하여 악천후 또는 강풍이 예상될 경우 작업중지 
▶ 해상 등에 빠질위험이 있는 경우 구명대 등을 곳곳에 배치하여 익사사고 예방</t>
  </si>
  <si>
    <t>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t>
  </si>
  <si>
    <t>집수정 설치를 위해 굴착해놓은 피트(우천으로 물이 고인상태)에 빠져 익사</t>
  </si>
  <si>
    <t>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t>
  </si>
  <si>
    <t>상수도관 내부에서 용접작업을 하던 중 상수도 임시 차단밸브가 파손되어 누수된 수돗물의 압력으로 상수도 관 밖으로 밀려나와 물이 차오른 피트에서 근로자가 익사</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</si>
  <si>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</si>
  <si>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익사</t>
  </si>
  <si>
    <t>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t>
  </si>
  <si>
    <t>준설작업 중 관로 내부에 고여 있던 오수가 유입되며 오수가 순식간에 차올라 익사</t>
  </si>
  <si>
    <t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t>
  </si>
  <si>
    <t>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t>
  </si>
  <si>
    <t>작업구를 통해 기존 노후 상수도관 내부로 들어가서 세관갱생작업 중 갑작스러운 집중호우로 인해 관로 안으로 물이 차오르자 뒤늦게 나오던 재해자가 빠져나오지 못하고 익사</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</si>
  <si>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</si>
  <si>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2021년 9월경, OOO시 OO구 OO동 소재 신축공사 현장에서 OOOO 긴급누수복구공사 연간단가 계약업체인 OOOOO(주) 소속근로자 재해자 OOO이 현장내부 물웅덩이에 빠져 익사한 재해임.</t>
  </si>
  <si>
    <t>상수도 긴급누수복구공사 현장에서 현장내부 물웅덩이에 빠져 익사</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</si>
  <si>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</si>
  <si>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</si>
  <si>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</si>
  <si>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2017년 7월경 OO구조물 보수공사 현장에서 협력업체 소속 재해자가 복개하천 내부에서 벽체 균열 보수작업을 하던 중 국지성호우로 빠르게 늘어난 하천 급류에 휩쓸려 사망</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</si>
  <si>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</si>
  <si>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</si>
  <si>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</si>
  <si>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2016년 6월경 OO보수공사에서 복개구조물 내부(시점+1,260지점)에서 보수작업을 하던 중, 집중호우로 복개구조물 내부에 우수가 빠르게 유입되면서 익사하여 사망</t>
  </si>
  <si>
    <t>복개구조물 내부에서 보수작업 중 집중호우로 복개구조물 내부에 우수가 빠르게 유입되면서 익사</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</si>
  <si>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</si>
  <si>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</si>
  <si>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</si>
  <si>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</si>
  <si>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이상온도 노출 접촉</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</si>
  <si>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</si>
  <si>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</si>
  <si>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</si>
  <si>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바닥(바닥에 걸려 넘어짐)</t>
  </si>
  <si>
    <t>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t>
  </si>
  <si>
    <t>근로자가 이동 중 제방 법면 사석위에서 저수지 토출조 내부로 미끄러져 추락</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</si>
  <si>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</si>
  <si>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</si>
  <si>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2020년 12월경 OO건설(주) OO근린생활 신축공사 현장에서 재해자가 지하 1층의 기둥 및 옹벽 콘크리트타설 준비를 위해 지하 1층으로 진입하여 작업 전 확인점검 과정에서 콘크리트 바닥으로 넘어져서 사망</t>
  </si>
  <si>
    <t>작업이동 통로 설치상태 불량한 상태에서 기둥 및 옹벽 콘크리트타설 준비를 위해 거푸집 조립상태를 점검하던 중 중심을 잃고 콘크리트 바닥으로 넘어짐</t>
  </si>
  <si>
    <t>▶ 이동통로 설치시 전도 및 넘어짐 위험조치 실시
▶ 근로자 이동통로에 자재 등 적치 금지</t>
  </si>
  <si>
    <t>2018년 1월경 OO인테리어 공사 현장에서 재해자가 지하1층 한증막 황토 슬래브를 지지하고 있던 목재 거푸집동바리를 해체하던 중 붕괴되는 황토 슬래브에 깔려 사망</t>
  </si>
  <si>
    <t>낙하 , 붕괴 등 위험조치 미실시한 상태에서 지하층 한증막 황토 슬래브를 지지하고 있던 목재 거푸집동바리를 해체하던 중 붕괴되는 황토 슬래브에 근로자 깔림</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</si>
  <si>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</si>
  <si>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t>
  </si>
  <si>
    <t>벽체 철근배근 작업 과정에서 이동 중, 수평철근에 발이 걸려 넘어지면서 수직철근에 근로자의 안면부가 찔림</t>
  </si>
  <si>
    <t>▶ 이동통로 및 작업구간 내 철근 돌출부 보호캡 설치 및 주변 접근통제 조치
▶ 벽체철근 조립 등의 현장 내의 작업 시 작업장으로 통하는 장소 또는 작업장 내에 안전한 통로 설치</t>
  </si>
  <si>
    <t>2018년 1월경 OO보강공사 현장에서 OO개발 소속 재해자가 지게차 옆에서 슬래브 보강용 철골부재(H-beam) 운반 작업을 보조하던 중 2층 바닥슬래브(1층 천장)가 무너지면서 슬래브 하부에 깔려 사망</t>
  </si>
  <si>
    <t>잭서포트 미설치 등 적절한 보강조치를 하지 않은 상태에서 슬래브 보강용 철골부재 운반 보조작업 중 2층 바닥슬래브 무너짐으로 슬래브 하부에 근로자 깔림</t>
  </si>
  <si>
    <t>▶ 구조물의 무게 등으로 인해 붕괴 등 위험이 있을 경우 안전성 평가 실시
▶ 기존 구조물 해체 전 잭서포트 등으로 지지하여 구조적 안정성 확보</t>
  </si>
  <si>
    <t>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t>
  </si>
  <si>
    <t>계단실 창문 외측에 석재를 설치하기 위해 지상에서 이동 중 넘어지면서 손수레에 적재되어 있던 석재 모서리에 부딪힘</t>
  </si>
  <si>
    <t>▶ 작업장에서 넘어지거나 미끄러지는 등의 위험이 없도록 작업장 바닥을 청결한 상태로 유지 및 정리정돈 철저
▶ 근로자가 안전하게 이동할 수 있는 작업통로 확보
▶ 개인보호구 지급 및 착용관리</t>
  </si>
  <si>
    <t>2019년 10월경 도장공사 현장에서 재해자는 당일 작업 마무리 후 정리 작업 중 발판(steel grating)과 함께 약 28m 아래로 추락하여 사망</t>
  </si>
  <si>
    <t>작업 중 고정되지 않은 발판을 밟아 발판과 함께 추락</t>
  </si>
  <si>
    <t>▶ 개구부로서 근로자가 추락할 위험이 있는 장소에는 덮개 등 방호 조치 설치 
▶ 덮개 설치 시 뒤집히거나 떨어지지 않도록 하며 어두운 장소에서 알아볼 수 있도록 개구부 표시</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</si>
  <si>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</si>
  <si>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말비계 지주 위에 올려놓았던 철근다발에서 철근 1본을 작업위치인 화장실 세대분전함 위치로 옮기던 중, 발을 헛디뎌 몸의 중심을 잃고 주저앉으며 조립된 벽체철근에 항문 관통</t>
  </si>
  <si>
    <t>▶ 슬래브 철근 상부에 실족방지망을 설치하여 이동통로를 구획 및 설치
▶ 찔림방지용 캡 설치 등을 통한 철근 찔림방지조치 실시</t>
  </si>
  <si>
    <t>형틀공인 재해자가</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</si>
  <si>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</si>
  <si>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</si>
  <si>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</si>
  <si>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2019년 12월경 지하보도 설치공사 중 재해자가 현장 내 이동 중 보도의 일부가 붕괴되어 2.5m 아래로 추락하여 토사에 묻히며 파단된 상수도에서 쏟아진 유출수에 수몰되어 사망</t>
  </si>
  <si>
    <t>재포장한 보도의 일부가 갑자기 붕괴되어 근로자가 추락하여 토사에 묻힌 후 파단된 상수도에서 쏟아진 유출수로 인해 수몰</t>
  </si>
  <si>
    <t>▶ 작업 전 보도블럭 등 작업구간의 이상여부를 확인하고 특이사항이 있을 경우 작업 즉시 중단
▶ 상수도관의 노후화에 따른 주기적인 점검을 통해 이상상태 유무 확인</t>
  </si>
  <si>
    <t>12.2.6 안전가시설(추락방지망)</t>
  </si>
  <si>
    <t>방망</t>
  </si>
  <si>
    <t>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t>
  </si>
  <si>
    <t>지붕 트러스구조물에 설치된 추락방호망 해체작업 중 고정로프 파단에 의해 개구부로 추락</t>
  </si>
  <si>
    <t>▶ 추락 위험이 있는 작업 시, 안전대 부착설비, 추락방호망 등 안전방호조치 실시
▶ 작업 전 클램프 체결상태 안전점검 실시
▶ 작업 전 안전보호구(안전대) 지급 및 체결상태 관리</t>
  </si>
  <si>
    <t>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t>
  </si>
  <si>
    <t>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t>
  </si>
  <si>
    <t>2016년 4월경 OO건설(주) OO대학교증축공사 현장에서 재해자가 낙하물방지망을 해체하는 작업 중 낙하물방지망 지지용 사다리를 고정하던 와이어로프가 풀리면서 떨어져 (H≒7.4m)사망</t>
  </si>
  <si>
    <t>2017년 4월경 OO종합건설㈜ OO신축공사 현장에서 재해자가 3층(높이 약8m) 옆에 설치되어 있던 낙하물방지망을 해체하는 과정에서 낙하물방지망이 탈락 되면서 지상으로 추락하여 사망</t>
  </si>
  <si>
    <t>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t>
  </si>
  <si>
    <t>2018년 2월경 OO건설(주) OO호텔 신축공사 현장에서, 협력업체 소속 재해자가 지상 3층 외벽(H=8.5m)의 안전방망(추락/낙하방지망 겸용) 설치 작업 중 몸의 중심을 잃고 지상바닥으로 떨어져 사망</t>
  </si>
  <si>
    <t>외벽의 안전방망 설치 완료 후 안전방망을 인양 고정하던 T/C크레인의 훅을 제거하기 위해 안전방망 사이를 이동하던 중 안전방망 사이로 떨어져 바닥으로 추락</t>
  </si>
  <si>
    <t>▶ 추락 위험이 있는 작업 시 추락방호망, 안전대부착설비 등 추락방호조치 실시
▶ 추락방호망 설치가 불가피한 경우, 안전대 부착설비 설치 및 이동시 안전대 체결 후 이동조치 실시</t>
  </si>
  <si>
    <t>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t>
  </si>
  <si>
    <t>낙석방지망 설치 작업 중 지지하는 와이어로프가 근로자를 타격하여 근로자가 몸의 중심을 잃은 충격으로 인해 안전대걸이설비가 체결되어 있던 낙석방지망철망이 파단되어 추락</t>
  </si>
  <si>
    <t>▶ 안전대 부착설비를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</si>
  <si>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2018년 12월경 (주)O건설에서 시공하는 아파트 신축공사 현장에서 재해자가 지상3층에서 창 밖으로 몸을 내밀어 외부 낙하물 방지망 1단 설치작업 중 몸의 중심을 잃고 지상1층 바닥(H=9m)으로 떨어져 사망</t>
  </si>
  <si>
    <t xml:space="preserve"> 2018년 12</t>
  </si>
  <si>
    <t xml:space="preserve">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t>
  </si>
  <si>
    <t>안전대 미착용한 상태에서 낙하물방지망 설치 작업을 위해 개구부 밖으로 몸을 내밀고 외벽 길이 확인을 하던 중 몸의 중심을 잃고 추락</t>
  </si>
  <si>
    <t>▶ 추락 위험이 있는 작업 시, 안전대 부착설비, 추락방호망 등 안전방호조치 실시
▶ 작업 전 안전보호구(안전대) 지급 및 체결상태 관리</t>
  </si>
  <si>
    <t>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t>
  </si>
  <si>
    <t>2019년 3월경 OOOO(주) 공동주택 신축공사 현장에서 재해자가 OO동 건설용리프트 설치구간 낙하물방지망 해체작업 중 건설용리프트 기초로 추락(H≒19.8m)하여 사망</t>
  </si>
  <si>
    <t>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t>
  </si>
  <si>
    <t>2020년 8월경 (주)OO건설  OO중학교 건설현장에서 지상 2층 외부 낙하물방지망 설치작업 중 낙하물방지망 상부지지대와 하부지지대를 체결한 클램프가 풀리면서 재해자가 지상1층 바닥으로 추락(H≒7m)하여 사망</t>
  </si>
  <si>
    <t>2020년 11월경 (주)OO건설에서 시공하는 OO오피스텔 신축공사 현장에서 재해자가 지상 14층 개구부 단부에서 낙하물방지망 설치작업 중 1층 바닥으로 약 47m 추락하여 사망</t>
  </si>
  <si>
    <t>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t>
  </si>
  <si>
    <t>교각에 설치된 방호선반 위에서 교량 상부슬라브 거푸집동바리용 멍에브라켓 등을 운반작업 중 방호선반이 무너지며 근로자 추락</t>
  </si>
  <si>
    <t>▶ 중량물 취급하는 작업 할 시 작업계획서를 작성하고 작업지휘자를 지정한 후, 계획에 따라 작업 준수
▶ 추락위험이 있는 장소에서 작업 시 안전대 부착설비 설치 및 안전대 착용</t>
  </si>
  <si>
    <t>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t>
  </si>
  <si>
    <t>안방 발코니 창호틀 코킹 작업을 위해 창호 단부에 설치된 수직형 추락방망에 기대어 작업하던 중 수직형 추락방망의 고정 스크류 앵커가 빠지며 근로자 추락</t>
  </si>
  <si>
    <t>▶ 창호 단부와 같이 추락의 위험이 있는 장소에는 안전난간, 수직형 추락방망 등 방호 조치 실시
▶ 근로자는 추락방망에 기대어 작업하지 않아야 하며, 작업 반경 내 안전대 부착설비 설치 및 안전대 착용ㆍ사용토록 하는 등 추락방호조치 실시한 상태에서 작업 실시</t>
  </si>
  <si>
    <t>배관</t>
  </si>
  <si>
    <t xml:space="preserve"> 2018년 5월</t>
  </si>
  <si>
    <t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t>
  </si>
  <si>
    <t>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t>
  </si>
  <si>
    <t>굴삭기로 관부설 작업 중 관이 이탈하며 근로자와 충돌</t>
  </si>
  <si>
    <t>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t>
  </si>
  <si>
    <t>PVC수도관 설치 작업 중 PVC관을 매달던 와이어로프가 손상(변형) 및 파단되어 근로자 베임</t>
  </si>
  <si>
    <t>▶ 작업 전 와이어로프의 손상여부를 확인하고, 작업 중 와이어로프 손상 시 즉시교체 후 작업 실시
▶ 자재 등 중량물 운반 중 작업자의 불필요한 접촉 금지</t>
  </si>
  <si>
    <t>2018년 12월경 OOO도 OO군 OO면 소재 OOOO보완사업 현장에서, 우수유도용 배수관(플륨관,400×400mm,L=2m,430kg)을 백호(06LC)로 양중하던 중, 플륨관이 낙하되면서 재해자 머리를 강타하여 사망한 것으로 추정되는 재해임.</t>
  </si>
  <si>
    <t>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t>
  </si>
  <si>
    <t>카고크레인 적재함에 있는 강관 하역 중 강관이 굴러 떨어지면서 충돌</t>
  </si>
  <si>
    <t>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t>
  </si>
  <si>
    <t>상수도관 이토변실 내부에서 제수밸브 교체 작업 중 주철관 접합부가 벌어지며 물이 터져 나와 수압으로 이토변실 밖으로 튕겨져 약 4m 떨어진 위치에 떨어져 사망</t>
  </si>
  <si>
    <t>2018년 1월경 OO철거공사 현장에서 재해자가 덕트에 배선된 전선의 상태를 확인하기 위해 덕트 철거 작업장소을 지나가다가 떨어지는(h=3.5m) 덕트와 바닥 슬래브에 협착되어 사망</t>
  </si>
  <si>
    <t>배관, 덕트 등 해체작업 중 배관이 바닥으로 떨어지며 근로자 맞음</t>
  </si>
  <si>
    <t>▶ 해체작업시 주변 근로자 통제</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</si>
  <si>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</si>
  <si>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</si>
  <si>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2016년 10월경 OO건설(주) OO신축공사 현장에서 재해자가 지하2층 냉각수 배관(Ø500) 수압시험 중 냉각수 배관을 지지하던 세트앵커(M12)가 천장에서 뽑히면서 떨어지는 냉각수 배관에 깔려 사망</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</si>
  <si>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</si>
  <si>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</si>
  <si>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</si>
  <si>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</si>
  <si>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</si>
  <si>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</si>
  <si>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</si>
  <si>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</si>
  <si>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</si>
  <si>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</si>
  <si>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</si>
  <si>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</si>
  <si>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</si>
  <si>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 xml:space="preserve">▶ 배관행거등 소방배관 고정철물은 앙카볼트 및 달대 시공시 충분한 깊이로 시공
    - 배관행거 등에 안전를 체결한 상태로 작업금지
    - 배관을 올라타서 작업하는 등 불안전한 행동 금지 </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</si>
  <si>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</si>
  <si>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</si>
  <si>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</si>
  <si>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</si>
  <si>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</si>
  <si>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</si>
  <si>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</si>
  <si>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벽체</t>
  </si>
  <si>
    <t>2015년 7월경</t>
  </si>
  <si>
    <t>2015년 7월경 OO공사에서 재해자 등이 급수관 교체 작업을 위해 굴착저면에서 바닥 평탄화 작업을 하던 중 인접해 있는 주택의 조적벽이 굴착부 방향으로 전도되면서 깔려 2명 부상</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</si>
  <si>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</si>
  <si>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</si>
  <si>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t>
  </si>
  <si>
    <t>관로 부설을 위한 굴착 중 굴착사면과 옹벽(담장)이 무너지면서 근로자 매몰</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</si>
  <si>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</si>
  <si>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</si>
  <si>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</si>
  <si>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t>
  </si>
  <si>
    <t>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t>
  </si>
  <si>
    <t>2016년 3월경 OO인테리어 공사 현장에서 조적벽체 철거작업 중 조적벽체가 재해자 측으로 전도되면서 머리를 부딪혀 사망</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</si>
  <si>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</si>
  <si>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</si>
  <si>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2016년 8월경 OO철거 작업장에서 재해자가 해체된 샌드위치 패널을 폐기물 처리를 위하여 정리하던 중 조적벽(높이 3.5m, 폭 18m)이 붕괴되며 재해자를 덮쳐 사망</t>
  </si>
  <si>
    <t>2016년 8월경 OO리모델링공사 현장에서 재해자가 건물 3층 내부벽체 일부를 해체하기 위해 해머로 타격하여 작업하던 중 지붕슬래브가 무너지며 매몰되어 사망</t>
  </si>
  <si>
    <t>2017년 5월경 OO철거공사 현장에서 재해자가 주택 2층 거실 창호틀을 떼어내던 중 창호틀과 맞닿아 있던 조적벽(콘크리트블록, 너비 0.4m*높이 2.3m)이 재해자 쪽으로 넘어지면서 깔려 사망</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</si>
  <si>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</si>
  <si>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2019년 7월경 OO철거공사 현장에서 재해자가 해머드릴로 샤워실 칸막이벽(시멘트블록 벽체) 철거작업 중 넘어지는 벽체(넓이 : 3?, 높이 : 2?, 중량 : 약1,404kg)에 맞아 사망</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</si>
  <si>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</si>
  <si>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2020년 2월경 OO 용도변경공사 현장에서 지상 1층 용도변경을 위한 내부 작업 중 주택이 붕괴되면서 재해자가 매몰되어 사망</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</si>
  <si>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</si>
  <si>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</si>
  <si>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</si>
  <si>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2020년 10월경 OO용도변경공사 현장에서 재해자가 지상 1층 내부 조적벽체(4.9m×3.6m) 해체작업 중 전도되는 조적기둥에 부딪혀 사망</t>
  </si>
  <si>
    <t>2020년 11월경 OO철거공사 현장에서 재해자가 블록 조적벽 철거 폐기물을 정리하는 과정에서 동료근로자가 해머로 철거중이던 블록 조적벽이 재해자 쪽으로 쓰러져 전신이 협착되어 사망</t>
  </si>
  <si>
    <t>2021년 9월경 OO철거공사 현장에서 굴삭기로 건물을 철거하던 중 남아있던 조적 벽체의 상단 일부가 재해자 쪽으로 넘어지면서 벽체에 깔려 사망</t>
  </si>
  <si>
    <t>2016년 11월경 OO다세대주택 신축공사 현장에서 재해자가 정화조 보호구조물 벽체 거푸집 해체작업 중 붕괴된 콘크리트 벽체와 토사에 깔려 사망</t>
  </si>
  <si>
    <t>2017년 10월경 (주)OO건설 OO개선사업 현장에서 재해자가 콘크리트 벽체 거푸집 해체작업 중 넘어지는 콘크리트 벽체 구조물(중량 약 6.8톤)에 깔려 사망</t>
  </si>
  <si>
    <t>2016년 11월경 (주)OO에서 시공 중인 OO물류센터 신축공사 현장에서 재해자가 맨홀 내부 토사를 청소하기 위해 맨홀 상부에서 작업하던 중 절토사면에 설치한 대형축조블럭(1000x500x750mm, 410kg)이 무너져 깔리면서 사망</t>
  </si>
  <si>
    <t>맨홀 내부 토사 청소를 위해 근로자가 맨홀 상부에서 작업하던 중 절토사면에 설치한 대형축조블럭이 무너져 깔림</t>
  </si>
  <si>
    <t>▶ 대형축조블럭 시공 시 기초콘크리트(900x500mm)를 시공한 후 블록을 쌓음
▶ 대형축조블럭 시공 시 입도가 양호한 40mm 이하의 굵은 골재로 뒷채움하며 속채움을 밀실하게 진행
▶ 대형축조블럭 시공 후 블록 최상단에 천단콘크리트(400x100mm)를 시공</t>
  </si>
  <si>
    <t>2017년 5월경 OO(주) OO고속도로 방음시설 설치공사 현장에서 재해자(방음벽공)이 상부 방음PC판 설치작업 중 7.7m 아래 도로 바닥으로 떨어져 사망</t>
  </si>
  <si>
    <t>방음시설 설치공사 현장에서 근로자가 상부 방음 PC판 설치작업 중 추락방지망 미설치구간의 도로 바닥으로 떨어짐</t>
  </si>
  <si>
    <t>▶ 근로자가 추락할 위험이 있는 장소에서 작업시 적업발판 또는 안전방망 등 추락방지조치 실시</t>
  </si>
  <si>
    <t>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t>
  </si>
  <si>
    <t>지게차를 이용한 ALC자재 운반작업 중 단차가 있는 바닥면에 전도방지조치 없이 적재한 자재가 무너지면서 충돌 후 안전난간이 설치되지 않은 캐노피 단부로 추락</t>
  </si>
  <si>
    <t>▶ 자재 하역 시 단차가 있는 바닥에 하역 금지 및 받침대 설치 등 전도방지조치 준수
▶ 추락의 위험이 있는 장소에 안전난간대 및 안전대 부착설비 설치 등 추락방지조치</t>
  </si>
  <si>
    <t>2020년 7월경 OO신축공사에서 이동식비계를 이용하여 조적벽체 해체작업 중 벽체 일부가 이동식비계 상부에서 작업 중인 재해자 방향으로 넘어지면서 맞아 사망</t>
  </si>
  <si>
    <t>이동식비계 위에서 핸드브레이커를 이용하여 조적벽체 해체작업 중 벽체 일부가 비계 방향으로 넘어지면서 맞고 추락</t>
  </si>
  <si>
    <t>2017년 12월경 OO신축공사에서 누름 콘크리트 바닥 미장작업을 하면서 작업구간을 넘어 이동하기 위해 옥상 난간벽 위로 올라가려던 중 발을 헛디뎌 지상 바닥으로 추락하여(H≒19.1m) 사망</t>
  </si>
  <si>
    <t xml:space="preserve">바닥 미장작업을 위해 장소이동 중 작업통로가 여의치 않아 옥상 난간벽 위로 올라가던 중 발을 헛디뎌 추락 </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</si>
  <si>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</si>
  <si>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2019년 11월경 OO시설공사에서 자동원형주조기 기초 구조물 벽체 미장작업을 위해 벽체 2단(기초 상부)에서 벽체 1단으로 내려온(H≒0.7m) 후 몸의 중심을 잃고 기초바닥으로 추락하여(H≒2.2m) 사망</t>
  </si>
  <si>
    <t>벽체 1단 상부에 안전난간대 및 측면 개구부에 개구부 덮개(통로발판) 등 추락방지시설을 설치 하지 않은 상태에서 몸의 중심을 잃고 추락</t>
  </si>
  <si>
    <t>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t>
  </si>
  <si>
    <t>슬래브 단부에서 작업을 준비하던 중 후면에 시공된 블록벽이 전도되면서 맞고 바닥으로 추락</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</si>
  <si>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</si>
  <si>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t>
  </si>
  <si>
    <t>작업을 위해 수직형 추락방망을 일시 해체 후 몸을 구조물 외부로 내민 자세에서 창호 부속철물을 설치하던 중 몸의 중심을 잃고 추락</t>
  </si>
  <si>
    <t>2017년 7월경 OO초등학교 외부창호교체 공사 현장에서 재해자가 창틀 하부에 올라서서 외벽에서 분리된 상부 창틀 해체(절단) 중 몸의 중심을 잃고 창밖 바닥으로 떨어짐(H≒7.4m)</t>
  </si>
  <si>
    <t>외벽 창틀 하부에 올라서서 창틀 해체작업 중 양손으로 해체물을 떼어내는 과정에서 몸의 중심을 잃고 안전난간이 설치되지 않은 단부로 추락</t>
  </si>
  <si>
    <t>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t>
  </si>
  <si>
    <t>운반작업의 편의를 위해 발코니 단부에 안전난간을 설치하지 않은 상태에서 고소작업대를 이용해 자재를 옮기던 중 발을 헛디뎌 발코니 단부로 추락</t>
  </si>
  <si>
    <t>▶ 고소작업대를 사용하여 발코니 등 단부를 통해 자재를 운반할 시, 운반의 편의성을 이유로 안전난간대를 해체하는 행위를 금지하며 고소작업대를 안전난간대 위로 상승시켜 자재를 운반하도록 조치
▶ 고소작업대를 사용하여 발코니 등 단부를 통해 자재를 운반할 시, 안전대 부착설비 설치하고 안전대를 체결한 후 작업하도록 조치</t>
  </si>
  <si>
    <t>2017년 6월 OOO 소재 개인(OOO)이 시공중인 주택 개축공사 현장에서 재해자(내장공)이 지붕층 창고 벽체 단열재 설치작업 중, 몸의 중심을 잃고 약 2.7m 아래 지상1층 바닥으로 떨어져 사망</t>
  </si>
  <si>
    <t>천정 구조물 위에 고정없이 올려둔 각재 위에서 작업하던 중 밟고 있던 각재가 움직이면서 몸의 중심을 잃고 바닥으로 추락</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</si>
  <si>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</si>
  <si>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</si>
  <si>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슬래브 단부에서 작업 중 절단한 구조물을 흔들어 제거하던 중 몸의 중심을 잃고 단부로 추락</t>
  </si>
  <si>
    <t>2017년 개인이</t>
  </si>
  <si>
    <t>2017년 개인이 시공하는 근생 및 다가구주택 신축공사 현장에서 재해자가 지상 2층 발코니에서 지붕 샌드위치 판넬을 해체하던 중, 몸의 중심을 잃고 약 3.5m 아래 지상 바닥으로 떨어져 사망</t>
  </si>
  <si>
    <t>발코니 단부에서 작업 중 발을 헛디뎌 안전난간이 설치되지 않은 단부로 추락</t>
  </si>
  <si>
    <t>2018년 2월경 조경공사에서 재해자가 콘크리트 벽체 배면에서 자연석쌓기 작업을 진행하던 중 콘크리트 벽체가 넘어지며 깔려 사망</t>
  </si>
  <si>
    <t>콘크리트 벽체 배면에 자연석쌓기 작업을 진행하던 중 콘크리트 벽체가 자연석 쌓기 작업 반대방향으로 넘어지며 벽체 뒷면에 위치한 근로자가 깔림</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</si>
  <si>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</si>
  <si>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2019년 11월경 담장설치공사에서 재해자가 옹벽 위를 이동하던 중 몸의 균형을 잃고 2.3m 아래 바닥으로 추락하여 사망</t>
  </si>
  <si>
    <t>옹벽 위를 이동하던 중 콘크리트 바닥으로 추락</t>
  </si>
  <si>
    <t>▶ 추락 위험이 있는 장소에서 안전방망 또는 안전대 착용 등 추락방지조치 실시
▶ 안전모 및 안전대 착용</t>
  </si>
  <si>
    <t>원인미상</t>
    <phoneticPr fontId="37" type="noConversion"/>
  </si>
  <si>
    <t>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t>
    <phoneticPr fontId="37" type="noConversion"/>
  </si>
  <si>
    <t>시트파일 인발 보조 및 삽을 이용한 뻘 제거, 흙막이용 띠장설치 보조작업을 하는 중 휴식장소로 이동하여 휴식 중 갑작스런 경련</t>
  </si>
  <si>
    <t>2021년 2월경 다세대주택 신축공사현장에서 일용직 근로자인 재해자가 미상의 사유로 현장내 실내 계단실 1~2층 계단참에서 쓰러져 사망</t>
  </si>
  <si>
    <t>외부 주차장 토사 평탄화 작업 중 미상의 사유로 현장내 계단참에서 쓰러진 채 발견</t>
  </si>
  <si>
    <t>▶ 근로자가 현장 투입시 건강검진 소견 결과 확인 등
   - 배치전 건강검진 결과 확인
   - 의사 유소견자는 구분하여 관리 (주기적 상담 등)
▶ 오전 일일 TBM시 근로자 건강상태 확인</t>
  </si>
  <si>
    <t>2017년 7월경 공공주택지구 조경공사에서 재해자가 자재 전달 작업을 하던 중 이상증세를 보여 쉬던 중 쓰러져 사망</t>
  </si>
  <si>
    <t>옹벽 거푸집 공사를 위해 사면에 걸쳐있는 무늬목을 형틀공에게 전달하는 작업 중 몸을 가누지 못하는 등 이상증세를 보여 들고 있던 무늬목을 놓고 앉은 상태에서 바로 쓰러짐</t>
  </si>
  <si>
    <t>분류불능</t>
  </si>
  <si>
    <t>2017년 12월경 산사태 개량공사 현장에서 재해자가 절토사면 상부 60m 지점에서 낙석방지용 고정 와이어로프 설치작업 중 50m 아래 절토사면으로 추락하여 사망</t>
  </si>
  <si>
    <t>안전대를 착용하지 않고 낙석방지망 고정용 와이어로프 설치작업 중 절토사면으로 추락</t>
  </si>
  <si>
    <t>▶ 추락 위험이 있는 작업 시 안전대 부착설비 설치를 통한 추락방호조치 실시
▶ 작업 전 안전대 지급 및 체결상태 관리</t>
  </si>
  <si>
    <t>11.5 특수댐 작업</t>
  </si>
  <si>
    <t>11.5.1 양수발전용 댐</t>
  </si>
  <si>
    <t>2018년 6월경 OO소류지에서 재해자가 잠수상태(수심 9~10m)로 수문밸브 확인 작업 중 왼쪽다리가 배수구(직경 약 40㎝)에 빨려 들어가익사</t>
  </si>
  <si>
    <t>잠수상태로 배수구 수문 및 권양기 상태 확인 및 보수작업 중 왼쪽다리가 배수구에 빨려 들어가 고립됨</t>
  </si>
  <si>
    <t>▶ 스쿠버 잠수작업 시 비상기체통, 수중시계, 수중압력계 등 구비 등 안전조치 철저
▶ 배수구 입구에 접근 시 철망 또는 그물망 등을 설치하여 방호 조치</t>
  </si>
  <si>
    <t>고정식크레인</t>
    <phoneticPr fontId="37" type="noConversion"/>
  </si>
  <si>
    <t>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t>
  </si>
  <si>
    <t>컨테이너 야적장 내부로 이동하는 과정에서 크레인으로 인양중이던 컨테이너를 발견하지 못하고 컨테이너 하부에 깔림</t>
  </si>
  <si>
    <t>▶ 자재인양 등 중량물 취급작업 시 낙하위험 지역에 대해 근로자 출입 통제
▶ 하역작업 등 장비 사각지대 발생가능성이 높은 작업 시 근로자 출입금지 및 유도자 배치</t>
  </si>
  <si>
    <t>열사병</t>
    <phoneticPr fontId="37" type="noConversion"/>
  </si>
  <si>
    <t>폭염</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</si>
  <si>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</si>
  <si>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</si>
  <si>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</si>
  <si>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2017년 2월경 OO보수작업 현장에서 재해자가 OO냉각시설 입구에 합판과 함께 원인미상으로 쓰러져 사망</t>
  </si>
  <si>
    <t>높이 2미터 이상되는 곳에서 작업 또는 이동을 하다 추락</t>
  </si>
  <si>
    <t>▶ 추락단부 등 추락위험구간에 안전난간대 설치 등 추락방호조치 실시
▶ 사다리 넘어짐을 방지하기 위해 2인 1조로 작업 투입</t>
  </si>
  <si>
    <t>2017년 8월경 OO사옥 신축공사 현장에서 OO건설(주) 소속 재해자가 강당동 2층 복도에 의식을 잃고 쓰러져 사망</t>
  </si>
  <si>
    <t>원인미상의 사유로 쓰러진 재해자를 발견, 병원으로 이송 후 사망</t>
  </si>
  <si>
    <t>개구부</t>
    <phoneticPr fontId="37" type="noConversion"/>
  </si>
  <si>
    <t>개구부(바닥개구부)</t>
    <phoneticPr fontId="37" type="noConversion"/>
  </si>
  <si>
    <t>12대 기인물</t>
    <phoneticPr fontId="37" type="noConversion"/>
  </si>
  <si>
    <t>2017년 10월경 OO건설(주)에서 시공하는 OO아파트 신축공사 현장에서 재해자가 안전순찰 업무 중 아파트 세대내(상세위치 불명) 발코니 개구부를 통해 지상 1층 외부 리프트 지붕 위로 추락하여 사망</t>
  </si>
  <si>
    <t>2018년 1월경 OO 교체 및 OO 개선공사 현장에서 재해자가 청소차 적재함(암롤박스) 상부의 해체된 폐기물 정리작업 후 지상으로 내려오던 중 추락하여(H≒1.7m) 사망</t>
  </si>
  <si>
    <t>2018년 4월경 OO에서 시공하는 2층 단독주택 도장공사 현장에서 재해자가 단독주택 2층 북·서향쪽 벽체의 표면 및 바탕처리 작업을 진행하던 중 계단(주택2층↔옥상용)옆에 엎드려 쓰러져 사망</t>
  </si>
  <si>
    <t>2018년 7월경 OO도로조성공사 현장에서 재해자가 폭염 속에서 화단정리, 청소 등의 작업을 수행하던 중 휴식을 취하기 위하여 주변건물로 이동한후 열사병으로 쓰러져 사망</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</si>
  <si>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</si>
  <si>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</si>
  <si>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</si>
  <si>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</si>
  <si>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</si>
  <si>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</si>
  <si>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2018년 8월경 OO현장에서 퇴근 시 재해자가 출구방향이 아닌 반대편으로 이동 중 비탈면에서 넘어진 후 OO현장 밖에서 열사병으로 사망</t>
  </si>
  <si>
    <t>2019년 3월경 OO건설(주)가 시공하는 OO근린생활시설 신축공사 현장에서 재해자가 5층 베란다 바닥에 쓰러져 사망</t>
  </si>
  <si>
    <t>2019년 5월경 ○○프라자 지하4층 보일러실에서 재해자가 LED 전등 교체 및 누전 수리 작업 중 연락이 두절된 후 2일 뒤 ○○사우나 보일러실 천장쪽 공조 덕트 위에서 사망</t>
  </si>
  <si>
    <t>2019년 9월경 OO인테리어공사 현장에서 재해자가 넘어져 사망</t>
  </si>
  <si>
    <t>2020년 8월경 OO지장관로 이설공사 현장에서 현장 쓰레기 청소 등 정리정돈 작업 중 재해자가 더위에 탈진하여 현장에서 의식을 잃고 쓰러져 사망</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</si>
  <si>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</si>
  <si>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</si>
  <si>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</si>
  <si>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2021년 2월경 OO신축공사 현장에서 재해자가가 점심식사 후 13:10경 현장 인근 약 4.9m 옹벽 하부로 떨어져 사망</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</si>
  <si>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</si>
  <si>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2017년 7월경 ㈜OO건설이 시공하는 OO신축공사 현장에서, 협력업체 소속 재해자가 O동 3호라인 3층의 계단실 알루미늄 폼 설치작업을 수행하던 중 지하1층 엘리베이트홀 앞에서 쓰러진 채 발견되어 사망</t>
  </si>
  <si>
    <t>폭염 속 계단실에서 알폼 설치작업 중 지하 E/V 전면 계단실에 쓰러져 있는 채로 발견</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</si>
  <si>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</si>
  <si>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2017년 1월경, (주)OO건설 00아파트 신축공사 신축현장에서 협력업체  소속 재해자가 1층 계단실에서 바닥에 수평목을 설치하던 중 쓰러져 사망</t>
  </si>
  <si>
    <t>계단실에서 바닥에 수평목을 설치하던 중 알수없는 이유로 근로자 쓰러짐</t>
  </si>
  <si>
    <t>2021년 1월경 (주)OO건설에서 시공 중인 OO정비사업 현장에서, 재해자 가 지상 1층과 지하 1층을 연결하는 계단참 바닥 거푸집 설치 작업 중 알 수 없는 이유로 쓰러져 사망</t>
  </si>
  <si>
    <t>지상층과 지하층을 연결하는 계단참 바닥 거푸집 설치 작업 중 알 수 없는 이유로 쓰러짐</t>
  </si>
  <si>
    <t>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t>
    <phoneticPr fontId="37" type="noConversion"/>
  </si>
  <si>
    <t>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</si>
  <si>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</si>
  <si>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t>
    <phoneticPr fontId="37" type="noConversion"/>
  </si>
  <si>
    <t>피트 바닥으로 내려가기 위해 굴착면 단차 부위를 밟는 순간, 몸의 중심을 잃고 콘크리트 바닥으로 추락하면서 벽체 수직철근 이음을 위해 미리 시공한 바닥 슬래브 수직철근에 머리가 찔림</t>
  </si>
  <si>
    <t xml:space="preserve">▶ 찔림위험이 있는 경우 조립철근이 없는 방향에서의 작업 통로 설치
▶ 철근 돌출로 인해 찔림위험이 있는 경우 철근 돌출부에 보호캡 설치 </t>
  </si>
  <si>
    <t>2020년 8월경 (주)OO에서 시공하는 주택재개발 정비사업 현장에서 협력업체 소속 재해자가 작업을 마친 후 화장실 세면대 앞에서 쓰러져있는 것을 경비반장이 발견하여 119신고 후 병원으로 이송하여 치료 중 사망</t>
  </si>
  <si>
    <t>작업을 마친 후 화장실 세면대 앞에서 열사병으로 인한 다기관부전으로 쓰러진 후 발견</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</si>
  <si>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</si>
  <si>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2021년 7월경 ㈜OO이 시공중인 재개발 정비사업 현장에서 재해자(보통인부)가 콘크리트 타설 예정인 110동 15층 슬래브 청소 작업을 하던 중 바닥에 쓰러진 상태로 발견되어 병원으로 이송하여 치료 중 사망(추정)</t>
  </si>
  <si>
    <t>혹서기 콘크리트 타설 예정인 슬래브 청소 작업을 하던 중 바닥에 쓰러진 상태로 발견됨</t>
  </si>
  <si>
    <t>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t>
  </si>
  <si>
    <t>폭염 속 바닥 슬라브 콘크리트 타설 후, 심장질환을 갖고 있던 작업자가 콘크리트 면 마감 작업 중 정신을 잃고 쓰러짐</t>
  </si>
  <si>
    <t>▶ 하절기 작업 시, 현장 내 출입한 작업자를 대상으로 기 질환보유여부를 파악하여 필요시 해당 일에 작업을 제하는 등의 조치 실시
▶ 하절기 타설 작업 시, 파라솔 다수 개를 여러 개소에 설치하여 작업자들이 언제든 그늘에서 쉴 수 있도록 조치</t>
  </si>
  <si>
    <t>2020년 8월경 OO(주)이 시공하는 OO 공장동 건축공사 현장에서, 재해자(미장공)이 공장동 1층 콘크리트 타설구간 내 기계미장(휘니셔) 작업을 하던 중 갑자기 쓰러져 병원으로 이송 후 사망</t>
  </si>
  <si>
    <t>콘크리트 타설구간 내 기계미장 작업을 하던 중 갑자기 쓰러져 근로자 사망</t>
  </si>
  <si>
    <t>▶ 고열에 의한 건강장해 예방 조치 
▶ 적절한 휴게시설 운영
▶ 적절한 휴게시간 제공 및 관리</t>
  </si>
  <si>
    <t>2020년 2월경 OO(주) OO 아파트 건설공사 1공구 현장에서 협력업체 소속 재해자가 공동구 방수작업을 위해 핸드그라인더를 사용하여 면정리 작업을 하던 중 집수정(물 웅덩이)에 쓰러져 사망</t>
  </si>
  <si>
    <t>공동구 방수작업을 위해 핸드그라인더를 사용하여 면정리 작업을 하던 중 원인미상으로 집수정에 쓰러짐</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</si>
  <si>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</si>
  <si>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2017년 12월경 OO신축공사 현장에서 재해자가 계단실 내부의 균열보수 작업을 하기위해 계단답단에 말통을 세워 위에서 작업하던 중 중심을 잃고 계단참 아래로 넘어져 추락하여 사망</t>
  </si>
  <si>
    <t xml:space="preserve">계단실 내부의 균열보수 작업을 위해 계단 답단에 작업발판 없이 말통을 세워 작업하던 중 몸의 중심을 잃고 추락 </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</si>
  <si>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</si>
  <si>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t>
  </si>
  <si>
    <t>시스템비계에서 상부 및 중간 난간대 사이로 몸을 내밀어 자재를 아래로 내리던 중 무게중심이 앞쪽으로 쏠리면서 추락</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</si>
  <si>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</si>
  <si>
    <t>2017년 8월경 ㈜OO에서 시공하는 원예작물 배수개선사업 토목건축공사 현장에서, 재해자가 현장숙소(조립식 샌드위치 판넬)에서 쉬고 있던 중 원인 불명의 화재가 발생하여 숙소를 빠져나온 후 중증 화상으로 사망</t>
  </si>
  <si>
    <t>현장 숙소(조립식 샌드위치 판넬)에 누워서 쉬던 중 원인불명의 화재 발생으로 화상을 입고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</si>
  <si>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</si>
  <si>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t>
  </si>
  <si>
    <t>고소작업대에 탑승하여 작업 중 인근 전선케이블이 붐에 걸려 전선을 제거하던 중 감전</t>
  </si>
  <si>
    <t>▶ 사전 조사를 통해 작업계획서를 수립하여, 차량계 하역운반기계 배치 계획 등을 준수
▶ 전선케이블을 다뤄야 하는 작업이 있을 경우, 관계기관에 조치 요청
▶ 근로자에 절연보호구 등 개인보호구 지급 및 착용에 대한 관리감독</t>
  </si>
  <si>
    <t>2019년 11월경 OO공사에서 재해자가 케이블(전선) 포설작업 중 후속작업을 위해 이동하다가 의식을 잃고 쓰러져 사망</t>
  </si>
  <si>
    <t>포설작업 진행 후 이동 중 의식을 잃고 쓰러짐</t>
  </si>
  <si>
    <t>유해위험물질 노출 접촉</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</si>
  <si>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</si>
  <si>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</si>
  <si>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t>
  </si>
  <si>
    <t>산소절단 작업 중 발생하는 연기를 제거하기 위해 송풍기를 트는 순간 감전되어 바닥으로 추락</t>
  </si>
  <si>
    <t>▶ 전기기계 및 기구의 사용 시, 임시분전함 외함접지 실시, 접지극이 있는 코드 및 플러그 사용, 접지극에 접지선을 연결, 누전차단기 설치 등과 같은 감전재해 예방조치 실시 
▶ 기계장치 상부 등 추락위험이 있는 작업장소에 안전난간, 안전대 부착설비를 설치하여 작업자가 안전대를 체결한 상태로 작업 및 이동할 수 있도록 조치</t>
  </si>
  <si>
    <t>2017년 11월경 소나무 이식공사현장에서 재해자가 난로 앞에서 대기하던 중 착용한 작업복에 불이 옮겨 붙어 화상당하여 사망</t>
  </si>
  <si>
    <t>임시화구(난로) 앞에서 대기 중 작업자가 착용한 일회용 포켓형 작업복에 불이 옮겨 붙어 화상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</si>
  <si>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</si>
  <si>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2016년 4월경 근린생활시설 증축공사에서 재해자가 지상 2층 바닥위치의 외부비계에서 도장작업을 하던 중 몸의 중심을 잃고 지상 1층(높이 3.7m)으로 추락하여 사망</t>
  </si>
  <si>
    <t>외부비계 위에서 옥상 외벽 도장작업 중 몸의 중심을 잃고 안전난간이 설치되지 않은 작업발판 단부로 추락</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</si>
  <si>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</si>
  <si>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</si>
  <si>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</si>
  <si>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</si>
  <si>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</si>
  <si>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</si>
  <si>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</si>
  <si>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</si>
  <si>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</si>
  <si>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</si>
  <si>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</si>
  <si>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</si>
  <si>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</si>
  <si>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2015년 2월경</t>
  </si>
  <si>
    <t>2015년 2월경 OO건설이 시공하는 공장 신축공사 현장에서 재해자가 신축공장 사무동 외부쌍줄 비계 작업을 하던 중 지상높이 약 12.5m 작업발판에서 몸의 중심을 잃고 지상바닥으로 떨어져 사망</t>
  </si>
  <si>
    <t>안전대를 미착용하고 외부비계 작업발판을 설치해체하던 중 몸의 중심을 잃고 바닥으로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</si>
  <si>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</si>
  <si>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</si>
  <si>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안전난간이 미설치된 비계 작업발판, 가설계단 위에서 이동 또는 작업 중 추락</t>
  </si>
  <si>
    <t>2016년 4월경 OO빌딩 신축공사 현장에서 재해자가 건물 옥상 파라펫 상부에서 외부 강관비계 해체작업 중 몸의 중심을 잃어 22m 아래 콘크리트 바닥으로 떨어져 사망</t>
  </si>
  <si>
    <t>2016년 5월경 OO건설이 시공하는 국도건설공사 현장에서 재해자가 승강용 가설 비계 해체작업 중 약 19.1m 아래 콘크리트 바닥으로 떨어져 사망</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</si>
  <si>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</si>
  <si>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2016년 9월경 ㈜OO 지하철 고가 및 교량구조물 내진 보강공사 현장에서 재해자가 철교 박스 거더 하부에 설치되었던 이동 통로용 비계 해체 중 실족하여 약 11.0m 아래 중랑천으로 떨어져 사망</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</si>
  <si>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</si>
  <si>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</si>
  <si>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2016년 12월경 다세대주택 신축공사 현장에서 재해자가 외부 강관비계 해체 중 몸의 중심을 잃고 지상1층 바닥으로 떨어져(H≒3.4m) 사망</t>
  </si>
  <si>
    <t>2017년 1월경 OO건설 공사현장에서 재해자가 지하1층 계단실에 설치된 강관비계를 해체하던 중 비계에서 실족하여 높이 약 6m 아래 계단참으로 추락하여 사망</t>
  </si>
  <si>
    <t>2017년 4월경 ㈜OO 사무실 증축공사 현장에서 재해자가 건물의 우측면 외부 강관비계를 해체하던 중 중심을 잃고 3m 아래 지상 바닥으로 떨어져 사망</t>
  </si>
  <si>
    <t>2017년 6월경 단독주택 신축공사 현장에서 재해자가 외부 강관비계(좌측-정면 코너부) 3단에서 비계 해체작업 중, 몸의 중심을 잃고 약 5.4m 아래 지상1층 바닥으로 떨어져 사망</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</si>
  <si>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</si>
  <si>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</si>
  <si>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</si>
  <si>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</si>
  <si>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</si>
  <si>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</si>
  <si>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2017년 8월경 OO신축공사 현장에서 재해자가 외부비계(작업발판)를 해체하던 중 지상바닥으로 떨어져(H≒8.9m) 사망</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</si>
  <si>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</si>
  <si>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</si>
  <si>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외부비계의 작업발판 단부에 안전난간을 설치하려던 중 몸의 중심을 잃고 바닥으로 추락</t>
  </si>
  <si>
    <t>2018년 1월경 OO건설(주) 신축공사 현장에서 재해자가 외부 강관비계 해체 작업 중 몸의 중심을 잃고 지상 1층 바닥(H≒20m)으로 떨어져 사망</t>
  </si>
  <si>
    <t>2018년 1월경 OO 신축공사 현장에서 재해자가 동 외부비계 해체작업을 위해 작업발판 11단에서 10단으로 이동 중 몸의 중심을 잃고 자재 인양구 측 지상 바닥으로 떨어져(H≒21.2m) 사망</t>
  </si>
  <si>
    <t>2018년 5월경 다가구주택 신축공사 현장에서 건물 배면 외부 강관비계의 4단 작업발판 단부에 안전난간을 설치하려던 재해자가 몸의 중심을 잃고 지상 약 9.4m 높이에서 떨어져 사망</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</si>
  <si>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</si>
  <si>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2018년 6월경 주택 리모델링 공사현장에서 재해자가 3단 띠장에서 비계 조립작업을 위해 이동 중 떨어져(H≒6m) 사망</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</si>
  <si>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</si>
  <si>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</si>
  <si>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</si>
  <si>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</si>
  <si>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</si>
  <si>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</si>
  <si>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</si>
  <si>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</si>
  <si>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2019년 6월경 OO건설 근린생활 및 공동주택 신축공사 현장에서 재해자가 외부비계 해체작업을 위해 허리에 해체작업용 공구 주머니를 차고 비계 위를 올라가던 중 1층 바닥으로 떨어져(높이≒12m) 사망</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</si>
  <si>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</si>
  <si>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2019년 7월경 교회 증축공사 현장에서 재해자가 건물우측 외부비계 4단 띠장(H≒7.4m) 작업발판 위에서 5단 장선 조립 작업 중 발을 헛디뎌 7.4m 아래 콘크리트 바닥으로 떨어져 사망</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</si>
  <si>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</si>
  <si>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</si>
  <si>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</si>
  <si>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2019년 11월경 축사 신축공사 현장에서 재해자가 건물 외부의 강관비계 위에서 비계 설치작업을 하던 중, 몸의 중심을 잃고 지상으로 떨어져(H=7.6m) 사망</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</si>
  <si>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</si>
  <si>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</si>
  <si>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2020년 2월경 OO건설 오피스텔 신축공사 현장에서 재해자가 지상7층 높이 외부비계 위에서 시스템비계 분진망 설치 작업 중 발판 단부에서 실족, 높이 20.3m 아래 지상으로 추락하여 사망</t>
  </si>
  <si>
    <t>2020년 6월경 단독주택 신축공사 현장에서 재해자가 건물 동측면에 설치된 강관비계 2단 작업발판 해체작업 중 약 1.8m아래 콘크리트 바닥으로 떨어져 사망</t>
  </si>
  <si>
    <t>2021년 2월경 OO건립공사 현장에서 지상 1층 주출입구 앞 벽체 마감 작업을 위한 작업발판 설치 작업 중 재해자가 1단 작업발판 위에서 바닥으로 추락하여 사망</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</si>
  <si>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</si>
  <si>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</si>
  <si>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</si>
  <si>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</si>
  <si>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</si>
  <si>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2021년 8월경 OO건설 상가주택 신축공사 현장에서 재해자는 구조물 외부 시스템비계 4단 계단부위 상부에서 안전대 등 보호구를 착용하지 않고 비계 해체작업 중 8.3m 바닥으로 떨어져 사망</t>
  </si>
  <si>
    <t>2021년 9월경 단독주택 신축공사 현장에서 강관비계 철거 작업 중, 2단 작업발판 위에서 수평재를 잡고 있던 재해자가 발을 헛디디며 높이 약 3m 아래 바닥으로 추락하여 사망</t>
  </si>
  <si>
    <t>2021년 9월경 OO건설의 외벽 및 화장실 리모델링 공사 현장에서 비계 해체 작업 중인 재해자가 건물 외부 강관비계 작업발판에서 약 6m 바닥으로 떨어져 사망</t>
  </si>
  <si>
    <t>OO건설(주) 소</t>
  </si>
  <si>
    <t>OO건설(주) 소속 재해자가 지하주차장 램프 출입구 석공사 작업용 강관비계 설치작업 중 시스템 비계 2단에서 “쿵”소리와 함께 약 4m 아래 콘크리트 바닥으로 추락하여 사망</t>
  </si>
  <si>
    <t>12.2.5 안전가시설(달비계)</t>
  </si>
  <si>
    <t>2016년 4월경 OO교 내진보강공사 현장에서 재해자가 교각 코핑구조물에서 달대비계 해체작업 중, 지지 수직 현수재(와이어로프)가 풀리면서 작업발판이 기울어져 재해자가 강으로 떨어져(H=13.6m) 사망</t>
  </si>
  <si>
    <t>달비계</t>
  </si>
  <si>
    <t>2017년 9월경 OO건물 신축공사 현장에서 재해자가 달비계를 이용하여 건물 전면부 외벽 준공 청소를 진행 중 작업용 로프(∮20mm, P.P로프)가 파단되면서 약 10m 하부 바닥면으로 추락하여 사망</t>
  </si>
  <si>
    <t>달비계를 이용한 외벽 준공 청소 중 작업용 로프의 파단으로 근로자가 추락</t>
  </si>
  <si>
    <t>▶ 달비계 작업 시 구명줄 설치 및 안전대(추락방지대)를 걸고 작업 실시
▶ 작업용 로프의 상태 확인 후 노후되었을 시 교체 실시</t>
  </si>
  <si>
    <t>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t>
  </si>
  <si>
    <t>로프 재설치를 위해 옥상에서 이동 중, 근로자가 몸의 균형을 잃고 추락</t>
  </si>
  <si>
    <t>▶ 작업발판 및 통로의 끝이나 개구부로서 근로자가 추락할 위험이 있는 장소에는 안전난간 등 방호조치 실시
▶ 안전난간 설치가 곤란한 경우 안전대 부착설비 설치 실시</t>
  </si>
  <si>
    <t>2017년 5월경 ㈜OO에서 시공중인 공장 철거공사 현장에서 하청 소속 근로자 재해자가 좌측 외줄비계 4단에서 분진망 해체작업 중, 몸의 중심을 잃고 약 4.8m 아래 바닥으로 떨어져 사망</t>
  </si>
  <si>
    <t>12.2.9 안전가시설(방호선반)</t>
  </si>
  <si>
    <t>2018년 7월경 OO건설 교량 이설공사 현장에서 재해자가 교량 슬래브 하부 방호선반 해체작업을 하다가 발판을 지지하는 브라켓이 꺽이면서 발판과 함께 약 20m 아래의 바닥으로 추락</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</si>
  <si>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</si>
  <si>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</si>
  <si>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</si>
  <si>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</si>
  <si>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</si>
  <si>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</si>
  <si>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</si>
  <si>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안전난간이 미설치된 외부비계에서 바깥으로 몸을 내밀어 작업하다 바닥으로 떨어짐</t>
  </si>
  <si>
    <t>▶ 안전난간 설치 철저, 작업을 위해 안전난간을 해체하는 경우 안전대 체결 철저
▶ 작업자의 개인보호구, 안전대 체결여부 점검 및 관리감독</t>
  </si>
  <si>
    <t>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t>
  </si>
  <si>
    <t>고정이 불량한 외부비계 작업발판의 들림으로 근로자 추락</t>
  </si>
  <si>
    <t>▶ 외부비계 등 2m 이상의 추락위험장소에 설치되는 작업발판에 대해  둘 이상의 지지물에 고정 및 양단 걸림고리 체결 확인
▶ 외부비계 위에서 이동·작업 시 추락방지조치 실시</t>
  </si>
  <si>
    <t>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t>
  </si>
  <si>
    <t>근로자 이동통로 설치 불량에 따른 작업발판에서 콘크리트 타설 시 보 거푸집 터짐 방지작업에 필요한 철선을 가져 오기 위해 시스템동바리 부재를 밟고 바닥으로 내려가던 중, 근로자가 몸의 중심을 잃고 추락</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</si>
  <si>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</si>
  <si>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t>
  </si>
  <si>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</si>
  <si>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 거푸집 자재 양중 시 자재에 따라 알맞은 결속과 도르래 및 양중장비를 사용하여 작업
▶ 추락위험이 있는 장소에서 작업 시 단부에 안전난간 설치 등 추락방호조치 실시</t>
  </si>
  <si>
    <t>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</si>
  <si>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t>
  </si>
  <si>
    <t>승강통로가 미설치된 상태에서 외부비계 바깥으로 이동 중 실족하여 추락</t>
  </si>
  <si>
    <t>▶ 비계 상하단 작업발판 사이에는 사다리, 계단 등의 승하강 통로 설치
▶ 추락 위험이 있는 작업발판, 통로 끝 및 개구부에는 안전난간 또는 덮개 등 설치
▶ 개구부 덮개 설치 시 개구부임을 표기하여 추락 위험 방지</t>
  </si>
  <si>
    <t>2016년 6월경 OO개발(주)이 시공하는 OO단독주택신축공사 현장에서 OO개발(주) 소속 재해자가 외부 쌍줄비계 최상단(3단) 작업발판에서 3층 벽체 외부 거푸집 조립(또는 이동) 중 작업발판 외측 단부로 떨어져(H=5.0m) 사망</t>
  </si>
  <si>
    <t>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t>
  </si>
  <si>
    <t>▶ 비계와 구조물 사이 추락위험이 있는 구간에는 추락방호망 설치
▶ 추락 위험이 있는 작업 시 안전난간 설치 또는 안전대 부착설비 등 안전방호조치 실시</t>
  </si>
  <si>
    <t>2016년 08월</t>
  </si>
  <si>
    <t>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t>
  </si>
  <si>
    <t>2016년 10월경 근생 및 다가구주택 신축공사 현장에서 재해자가 외부 쌍줄비계 작업발판(5단) 위에서 지상 3층 벽체 거푸집 조립작업을 실시하던 중 작업발판이 탈락되면서 약 9m 아래로 떨어져 사망</t>
  </si>
  <si>
    <t>작업발판 미고정한 상태에서 외부 쌍줄비계 작업발판 위에서 지상층 벽체 거푸집 조립작업 중 작업발판의 탈락으로 근로자 추락</t>
  </si>
  <si>
    <t>▶ 비계에 설치된 작업발판은 뒤집히거나 떨어지지 않도록 둘 이상의 지지물에 고정(직교 클램프 등)
▶ 추락위험이 있는 구간에는 추락방호망, 안전난간 설치 또는 및 안전대 착용후 작업</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</si>
  <si>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t>
  </si>
  <si>
    <t>달비계 작업 시 수직구명줄 미설치한 상태에서 균열보수작업을 위해 달비계 작업대에 탑승하여 작업 준비 중 달비계의 작업용 로프가 고정용 앵커에서 이탈하면서 달비계와 함께 근로자 추락</t>
  </si>
  <si>
    <t>▶ 달비계 작업 시 로프고정용 고리의 이탈방지조치 및 앵커 설치
▶ 달비계 작업 시 수직구명줄 설치 및 추락방지대를 수직구명줄에 체결</t>
  </si>
  <si>
    <t>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t>
  </si>
  <si>
    <t>시스템비계 작업발판 단부 가설안전난간대 설치불량한 상태에서 시스템비계 작업발판 위에서 거푸집 조립작업 중 시스템비계 작업발판단부 안전난간대의 이탈로 근로자 추락</t>
  </si>
  <si>
    <t>▶ 시스템비계 작업발판 단부 등 추락위험이 있는 장소에서 작업 시 안전난간대을 견고히 설치
▶ 안전난간의 설치가 곤란할 경우 안전대 부착설비 및 안전대 착용</t>
  </si>
  <si>
    <t>비계(일체형비계)</t>
  </si>
  <si>
    <t>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</si>
  <si>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t>
  </si>
  <si>
    <t>▶ 작업발판 설치시 탈락방지를 위해 견고히 설치 및 설치 상태 관리감독자 확인
▶ 중량물 취급시 작업계획서를 사전에 작성하고 관리감독자를 배치하여 작업계획서에 맞게 작업행</t>
  </si>
  <si>
    <t>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t>
  </si>
  <si>
    <t>2021년 5월경 OO신축공사 현장 3층 정면 외부 시스템비계 작업발판에서 1층 바닥(H=7.7m)으로 떨어져 사망</t>
  </si>
  <si>
    <t>2021년 5월경 OO건설(주) OO근린생활시설 신축공사 현장에서 재해자가 구조물 지상 3층 외벽 거푸집 조립을 위해 외부비계상에서 작업중 작업발판상에서 실족하여 높이 11.3m 지상 바닥 아래로 추락하여 사망</t>
  </si>
  <si>
    <t>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t>
  </si>
  <si>
    <t>추락방지조치 미실시한 상태에서 외부비계 위 작업발판에서 지상층 외벽 거푸집 해체작업 중 건물 외벽과 비계 사이 개구부로 근로자 추락</t>
  </si>
  <si>
    <t>2016년 9월경 OO근생 및 다가구 주택 신축공사 현장에서 재해자가 지상 4층 높이에 설치된 외부 강관비계 작업발판 위에서 거푸집 해체 작업 중 바닥(H≒9.6)으로 떨어져 사망</t>
  </si>
  <si>
    <t>2016년 12월경 OO산업(주) OO신축사업 현장에서 협력업체 소속 재해자가 아파트 정문의 비계 위에서 동바리 자재 정리 작업을 하던 중, 안전난간이 해체된 작업발판에서 약 6m 아래 지상 바닥으로 떨어져 사망</t>
  </si>
  <si>
    <t>안전난간이 해체된 비계 작업발판 상부에서 동바리 자재 정리작업 중 근로자 추락</t>
  </si>
  <si>
    <t>▶ 작업발판 단부로 근로자 추락 위험이 있는 장소에 대해 안전난간대 설치 
▶ 안전난간대 설치가 곤란할 경우 작업면으로부터 설치지점까지의 수직거리는 10m 이내에 추락방지망 설치</t>
  </si>
  <si>
    <t>2019년 2월경 OOOO㈜ OO공장 신축공사 현장에서 협력업체 소속 재해자가 외부 강관쌍줄비계 작업발판(2단) 상부에서 건물 벽체 거푸집(유로폼) 해체 작업 중 몸의 중심을 잃고 약 4.7m 아래 콘크리트 바닥으로 떨어져 사망</t>
  </si>
  <si>
    <t>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</si>
  <si>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t>
  </si>
  <si>
    <t>▶ 통로의 주요 부분에 통로 표시 및 작업장 내 모든 근로자들이 이를 인지하고 사용하도록 지시
▶ 추락위험이 높은 장소에 가설통로 설치 시 단부에 안전난간 설치
▶ 단부 및 개구부 등 추락위험이 있는 장소에서 작업 시 안전대 부착설비 설치 및 안전대 착용</t>
  </si>
  <si>
    <t>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t>
  </si>
  <si>
    <t>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t>
  </si>
  <si>
    <t>▶ 대형폼 등 중량물 취급 작업 시 올바른 줄걸이 방법(수직/수평부재를 함께 엮어 매듭을 짓는 방법 등) 실시
▶ 건물 외부 비계 위와 같은 추락 위험 장소에서 작업 시 작업구간으로부터 가까운 지점에 작업발판 설치
▶ 작업발판 설치가 곤란한 경우 안전대 부착설비 설치 및 안전대 착용</t>
  </si>
  <si>
    <t>2.2.2 갱폼 조립</t>
  </si>
  <si>
    <t>2016년 10월경 OO개발(주) 주상복합빌딩 신축공사 현장에서 재해자가 지상6층 갱폼 모서리 벌어진 구간 철선으로 조이는 작업후 갱폼 수직재(각파이프)를 잡고 내려오는 중 지상으로 약22m 바닥으로 떨어져 사망</t>
  </si>
  <si>
    <t>추락 방지조치 미실시한 상태에서 지상층 외벽 모서리 갱폼 연결부위의 벌어진 틈을 철선으로 조이는 작업 이후 갱폼 수직재(각파이프)를 잡고 내려오는 중 떨어짐</t>
  </si>
  <si>
    <t>▶ 통로의 주요 부분에 통로 표시 및 작업장 내 모든 근로자들이 이를 인지하고 사용하도록 지시
▶ 추락위험이 높은 장소에 가설통로 설치 시 단부에 안전난간 설치</t>
  </si>
  <si>
    <t>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t>
  </si>
  <si>
    <t>갱폼의 안전조치 미실시한 상태에서 갱폼 인양작업을 위해 이동 중 갱폼 작업발판용 케이지가 벽체로부터 이탈되면서 근로자 추락</t>
  </si>
  <si>
    <t>▶ 갱폼을 인양 직후 최하부 전단볼트 9개소 모두 체결하고, 매입볼트와 전단볼트 연결부가 완전하게 체결될 수 있도록 고정
▶ 갱폼 조립도는 인양 시 고정볼트 위치, 부재의 이음 방법 등을 명시하여 근로자가 식별 가능하도록 작성 준수
▶ 갱폼 인양 후 와이어로프는 2개소 이상 지지하여 편심 발생 방지 및 수직도를 유지할 수 있도록 작업 준수</t>
  </si>
  <si>
    <t>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t>
  </si>
  <si>
    <t xml:space="preserve">갱폼 하부 케이지 작업발판 설치작업 중 미고정된 발판의 탈락으로 근로자 추락 </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</si>
  <si>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</si>
  <si>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t>
  </si>
  <si>
    <t>갱폼의 안전조치 미실시한 상태에서 지상층 갱폼 인양작업을 위해 갱폼간의 연결 핀 제거 후 갱폼 작업발판에서 대기 중 갱폼이 외벽으로부터 이탈됨에 따라 근로자 추락</t>
  </si>
  <si>
    <t>▶ 갱폼을 해체·인양 작업 시 갱폼을 인양장비에 매단 후 작업 실시
▶ 인양장비에 매달기 전 지지 또는 고정철물 우선 해체 금지</t>
  </si>
  <si>
    <t>2017년 6월경 공동주택 신축공사 현장에서 재해자가 세대에서 갱폼을 통해 3호 세대로 넘어가던 중, 미고정 되어있던 갱폼의 작업발판을 밟자 작업발판이 탈락되면서 바닥으로 떨어져(H≒6.3m) 사망</t>
  </si>
  <si>
    <t>2.2.4 갱폼 해체, 반출</t>
  </si>
  <si>
    <t>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</si>
  <si>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</si>
  <si>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</si>
  <si>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t>
  </si>
  <si>
    <t>갱폼의 안전조치 미실시한 상태에서 아파트 외벽 갱폼 해체∙상승을 위한 연결철물 해체 중 갱폼 작업발판의 탈락으로 근로자 추락</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</si>
  <si>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</si>
  <si>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</si>
  <si>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갱폼의 안전조치 미실시한 상태에서 지상층 갱폼 작업발판 위에서 타이볼트 해체작업 후 이동 중 타워크레인 고정용 월 브레싱과의 간선으로 일부 절단한 갱폼 작업발판 탈락에 의해 근로자 추락</t>
  </si>
  <si>
    <t>▶ 타워크레인 월 브레싱에 걸리는 갱폼의 작업발판 일부를 제거하여 개구부가 발생한 경우 갱폼 인상이 끝나는 즉시 덮개 설치 및 개구부 표기
▶ 추락 위험이 있는 2m 높이 이상의 장소에서 작업 시 작업발판을 둘 이상의 지지물에 고정</t>
  </si>
  <si>
    <t>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t>
  </si>
  <si>
    <t>추락 방지조치 미실시한 상태에서 옥상 전면부 발코니에 설치되어 있던 갱폼을 해체하기 위해 갱폼 작업발판에 올라가서 하부 고정볼트를 해체하던 중 갱폼과 함께 근로자 추락</t>
  </si>
  <si>
    <t>▶ 갱폼해체작업 시 전도방지를 위해 갱폼을 타워크레인에 매단 후 실시
▶ 추락 위험 장소에서의 작업 시 작업발판 설치 및 추락방호망 설치
▶ 추락방호망 설치가 곤란한 경우 안전대 부착설비 설치 및 안전대 착용</t>
  </si>
  <si>
    <t>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</si>
  <si>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2016년 11월경 OO상가 신축 현장에서 재해자가 건물 3층으로 자재(철근) 수직 운반 작업 중 몸의 중심을 잃고 약 8.6m 높이 외부비계 밖으로 떨어져 사망</t>
  </si>
  <si>
    <t>철근 운반중 안전난간이 미 설치된 외부비계에서 중심을 잃고 추락</t>
  </si>
  <si>
    <t>▶ 외부비계 작업발판 등 근로자 추락 위험 장소에 대해 상부, 중간 안전난간대 설치
▶ 추락위험이 있는 장소에서 작업 시 안전대 부착설비 설치 및 안전대 착용
▶ 개인보호구 지급 및 착용</t>
  </si>
  <si>
    <t>2021년 5월경 OO산업(주) OO센터신축공사 현장에서 협력업체 소속 재해자가 시스템비계(높이3.8m)에서 지상1층 바닥으로 추락하여 사망</t>
  </si>
  <si>
    <t>2016년 4월경 (주)OO건설 OO신축공사 현장에서 재해자가 지상 6층 외부비계에서 조립 중인 벽체 철근 및 창호 형틀을 밟고 건물 내부로 내려오다 몸의 중심을 잃고 실족하여 6층 콘크리트 바닥으로 떨어져(H≒1.2m) 사망</t>
  </si>
  <si>
    <t>외부비계에서 이동 중 조립 중인 벽체 철근 및 창호 형틀을 밟고 건물 내부로 내려오다 몸의 중심을 잃어 근로자 추락</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</si>
  <si>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</si>
  <si>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2017년 2월경, 도로 건설공사 현장에서 재해자가 수로암거 중앙부 벽체 철근조립을 위해 불안전한 강관틀비계 2단 발판 상부에 올라가 철근 조립 중, 발판 단부에서 지상 콘크리트 바닥으로 떨어져(H≒3.4m) 사망</t>
  </si>
  <si>
    <t>수로암거 중앙부 벽체 철근조립을 위해 가새재 및 수평재가 설치되지 않은 강관틀비계 발판 상부에 올라가 철근 조립작업 중, 몸의 중심을 잃고 근로자 추락</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</si>
  <si>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</si>
  <si>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2018년 10월경 OO(주) OO토목건축공사 현장에서 재해자가 외부비계 위에서 철근배근(이음) 작업 중 비계 외측의 상부난간대와 작업발판 사이로 떨어져(H≒5.7m) 사망</t>
  </si>
  <si>
    <t>외부비계 위에서 철근배근 작업 중, 근로자가 몸의 균형을 잃어 비계 외측의 상부난간대와 작업발판 사이로 추락</t>
  </si>
  <si>
    <t>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t>
  </si>
  <si>
    <t>안전난간이 설치되지 않은 시스템 비계 작업발판 위에서 벽체 철근 조립 작업을 하던 중, 중심을 잃고 뒤로 넘어지며 바닥으로 근로자 추락</t>
  </si>
  <si>
    <t xml:space="preserve">▶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t>
  </si>
  <si>
    <t>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t>
  </si>
  <si>
    <t xml:space="preserve">흘러내린 시멘트 페이스트를 닦기 위해 시스템비계에서 물청소를 하던 중 가설계단에서 내려오다가 물기에 미끄러져 근로자 추락 </t>
  </si>
  <si>
    <t>▶ 비계 승강계단의 개방 측면 및 상부 작업발판 미설치 구간 등의 개구부에는 안전난간 설치 및 수직형 추락방망 설치
▶ 추락위험이 있는 장소에서 작업 시 안전대 부착설비 설치 및 안전대 착용</t>
  </si>
  <si>
    <t>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t>
  </si>
  <si>
    <t>당일 콘크리트 타설한 슬라브 바닥을 밟지 않고 이동하기 위해 기계식 주차타워 내부 비계를 통해 이동하다가 기계식 주차타워 내부 비계와 벽체사이로 추락</t>
  </si>
  <si>
    <t>▶ 비계 상에서 작업 시 작업구간 전체에 걸쳐 작업발판 및 안전난간(상부, 중간난간대)을 견고하게 설치 후 작업 실시
▶ 작업발판 및 안전난간 설치가 곤란한 경우 안전대를 걸 수 있는 안전대 부착설비 설치
▶ 근로자가 추락할 위험이 있는 장소에서 작업 시 개인보호구 착용 철저 및 확인 감독 실시</t>
  </si>
  <si>
    <t>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t>
  </si>
  <si>
    <t>계단실 외벽 1번 갱폼을 인양하기 위해 인근 2번 갱폼발판에서 대기 중 인양 중인 1번 갱폼이 2번 갱폼에 부딪히는 충격에 의해 안전대 미착용한 근로자 추락</t>
  </si>
  <si>
    <t>▶ 갱폼 인양작업관련 근로자 출입금지조치
▶ 작업발판 일체형 거푸집의 경우 인양장비에 매달기 전 지지 또는 고정철물 해체 금지</t>
  </si>
  <si>
    <t>2016년 8월경 OO신축공사에서 지상 2층 외벽 미장(띠장 2단 위치 : 높이 3.6m~3.8m) 작업 중 자재가 들어있는 통을 지상 바닥으로 내리다가 몸의 중심을 잃고 지상 1층 바닥으로 추락하여(약 3.7m) 사망</t>
  </si>
  <si>
    <t>외부 비계에서 외벽 미장작업 중 승하강 통로가 확보되지 않아 비계 파이프를 밟고 이동하다가 몸의 중심을 잃고 추락</t>
  </si>
  <si>
    <t>▶ 비계 내 승하강을 위한 안전한 구조의 작업통로(승하강통로) 확보
▶ 작업통로 이외의 장소로 이동하지 않도록 근로자 주지</t>
  </si>
  <si>
    <t>2016년 11월경 OO신축공사에서 옥탑층 북측 외벽 견출작업 후 지상으로 내려오던 중 6층(h≒18m) 높이에서 지상바닥으로 추락하여 사망</t>
  </si>
  <si>
    <t>달비계를 이용해 외벽 견출작업 중 로프길이 부적합(짧음) 및 보조로프 고정상태 불량 등으로 추락</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</si>
  <si>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</si>
  <si>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t>
  </si>
  <si>
    <t>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</si>
  <si>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</si>
  <si>
    <t>2017년 1월경 OO시설 공사에서 지상4층 외부 쌍줄비계에서 조적작업 준비중 몸의 중심을 잃고 약 10m 아래 건물 외측 1층 바닥으로 추락하여 사망</t>
  </si>
  <si>
    <t>비계 작업발판에서 조적 작업 중 몸의 중심을 잃고 안전난간이 미설치된 작업발판 단부로 추락</t>
  </si>
  <si>
    <t>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t>
  </si>
  <si>
    <t>2020년 11월경 OO현대화 공사에서 외벽 마감 작업을 위해 비계 벽이음을 해체하고 조적 작업을 진행하던 중 비계가 전도되면서 재해자 3명이 지상으로 추락하여(H≒3.8m) 부상</t>
  </si>
  <si>
    <t>작업 간섭으로 인해 비계 벽이음을 해체하고 외벽 마감작업을 하던 중 비계가 전도되면서 바닥으로 추락</t>
  </si>
  <si>
    <t>▶ 비계 해체 시 까지 벽이음 임의 해체 금지
▶ 외벽마감 작업으로 인해 벽이음 해체가 부득이한 경우 비계 외측에 경사지지대(버팀대)를 설치하여 전도방지조치 준수</t>
  </si>
  <si>
    <t>2016년 12월경 OO이설공사에서 4층 탈의실 외벽부위 외부비계 위에서 옥상층 조적턱 하부 면처리 작업을 하던 중 외벽과 비계와의 사이로 공간으로 추락하여(H:약13.0m) 사망</t>
  </si>
  <si>
    <t>추락방호망, 안전대 미설치 상태에서 외부 비계에서 외벽 견출작업을 하던 중 몸의 중심을 잃고 구조물 외벽과 비계 사이의 개구부로 추락</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</si>
  <si>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</si>
  <si>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t>
  </si>
  <si>
    <t>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t>
  </si>
  <si>
    <t>2018년 3월경 OO재개발공사에서 외벽의 견출작업을 하기 위하여 옥상 청소고리 등에 주 로프를 묶어서 고정하고 달비계로 내려가던 중 주 로프 및 달비계와 함께 지상으로 추락하여(H=65m) 사망</t>
  </si>
  <si>
    <t>달비계를 이용해 외벽 견출작업 중 고정상태가 불량한 주로프가 풀어지면서 바닥으로 추락</t>
  </si>
  <si>
    <t>2018년 4월경 OO신축공사에서  5층 기둥 외측 견출작업을 진행 하던 중 몸의 중심을 잃고 외벽과 외부비계 작업발판 사이로 추락하여(H=17m) 사망</t>
  </si>
  <si>
    <t>2018년 9월경 OO공사에서 외부비계에서 건물 외벽 견출 작업을 하던 중 작업발판(높이 약 3.7m)에서 지상1층 바닥으로 추락하여 사망</t>
  </si>
  <si>
    <t>2018년 11월경 OO보수공사에서 교각에 설치된 강관비계 작업발판에서 면처리 작업 중 난간이 미설치된 작업발판 단부에서 몸의 중심을 잃고 추락하여(H≒10m) 사망</t>
  </si>
  <si>
    <t>비계 작업발판에서 견출 작업 중 몸의 중심을 잃고 안전난간이 미설치된 작업발판 단부로 추락</t>
  </si>
  <si>
    <t>2019년 11월경 OO신축공사에서 비계 최상단에서 외벽 메시 미장 작업을 준비하던 중 약 11m 아래 지상 바닥으로 추락하여 사망</t>
  </si>
  <si>
    <t>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t>
  </si>
  <si>
    <t>옥상 방수작업을 위해 창호에서 외부 비계 작업발판을 통해 방수자재를 운반하던 중 작업발판과 중간난간대 사이로 근로자가 몸의 중심을 잃고 추락</t>
  </si>
  <si>
    <t>▶ 추락 위험이 있는 외부비계에서 작업 시 안전난간 등 보호조치 설치
▶ 안전난간 설치가 곤란할 경우 안전방망 설치 또는 안전대 부착설비 설치 및 안전대 착용
▶ 개인보호구 지급 및 착용</t>
  </si>
  <si>
    <t>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t>
  </si>
  <si>
    <t xml:space="preserve">외부 쌍줄비계에 설치된 작업발판 위에서 스프레이 건을 사용하여 방수 작업 중 중간난간대가 미설치된 곳을 통해 근로자 추락 </t>
  </si>
  <si>
    <t xml:space="preserve">▶ 비계 상부 작업발판 측면에 상부, 중간 안전난간대 설치
▶ 안전모 지급 및 착용 철저 
▶ 관리감독자 업무수행 철저 </t>
  </si>
  <si>
    <t>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t>
  </si>
  <si>
    <t>달비계를 타고 아파트 외벽에서 크랙으로 인한 세대 방수 하자 보수작업을 마치고 내려오던 중 작업용 로프가 짧아 달비계와 함께 근로자 추락</t>
  </si>
  <si>
    <t>▶ 달비계 작업 시 로프 길이 등 설치상태 점검
▶ 안전모, 안전대 및 추락방지대 등 착용 확인</t>
  </si>
  <si>
    <t>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t>
  </si>
  <si>
    <t>달비계 작업대에 탑승하여 아파트 외부 창호 방수(실리콘 코킹) 작업 중 달비계 작업용 로프의 매듭이 풀려 떨어지면서 동 출입구 캐노피위에 부딪친 후 지상 바닥으로 추락</t>
  </si>
  <si>
    <t>▶달비계 작업시 작업용 주로프와 안전대 체결로프를 각각 다른 청소용 고리등에 줄이 풀리지 않도록 견고히 고정 후 작업
▶ 달비계를 이용하여 외부 방수작업 시 작업용 주로프를 청소용 고리인 앵커에 견고하게 묶여 있는지 확인
▶ 달비계 작업 시 추락 위험을 방지하기 위해 달줄이 풀리지 않도록 견고히 고정 후 안전대 걸이시설에 안전대를 걸고 작업</t>
  </si>
  <si>
    <t>2015년 10월경 개인 직영 주택 신축공사 현장에서, 석재 보조공인 재해자가 외부비계 작업발판 위에서 석재판넬을 운반하던 중, 몸의 중심을 잃고 약 4.0m 아래 지상으로 추락하여 사망</t>
  </si>
  <si>
    <t>외부비계에서 석재작업 등 실시 중 몸의 중심을 잃고 안전난간이 설치되지 않은 비계 작업발판 단부로 추락</t>
  </si>
  <si>
    <t>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t>
  </si>
  <si>
    <t>외부비계 위에서 석재 인양작업 중 먼저 인양하여 비계기둥에 기대어 세워둔 석재가 비계 외측으로 떨어지면서 맞음</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</si>
  <si>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
▶ 비계 조립 시 상부, 중간 난간대 설치 철저</t>
  </si>
  <si>
    <t>2016년 11월경 OO종합건설에서 시공하는 파출소 신축공사 현장에서 협력업체 소속 재해자가 비계 작업발판에서 석재를 받아 올리던 중 몸의 중심을 잃고 실족하여 지상 1층 바닥으로 추락(높이 약 1.98m)하여 사망</t>
  </si>
  <si>
    <t>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t>
  </si>
  <si>
    <t>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t>
  </si>
  <si>
    <t>안전난간 미설치한 건물 후면의 외부 쌍줄비계위에서 마감 작업 된 돌(대리석) 표면의 먼지를 닦던 중 비계에서 지상 바닥으로 떨어짐</t>
  </si>
  <si>
    <t>2016년 3월경 개인이 시공하는 근생 및 다가구 신축공사 현장에서 재해자가 동료작업자 1명과 함께 지상 3층 외부 비계 상 작업발판에서 석공(돌붙임) 작업 중 지상바닥(콘크리트)으로 추락하여(H= 약 9.8m) 사망</t>
  </si>
  <si>
    <t>외부비계에서 돌붙임 작업 중 작업높이가 맞지 않아 작업발판 위에 스티로폼을 놓고 작업하던 중 몸의 중심을 잃고 비계 외측으로 추락</t>
  </si>
  <si>
    <t>▶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</si>
  <si>
    <t>2016년 5월경 OO단독주택 신축공사 현장에서 재해자가 지상2층 벽체 돌붙임 작업을 위하여, 2층 테라스에서 비계기둥에 부착된 클램프를 밟고 약4.7m 높이의 비계위로 올라가던 중 추락하여 사망</t>
  </si>
  <si>
    <t>외벽 돌붙임 작업을 위해 이동통로를 이용하지 않고 비계 클램프를 밟고 비계 위로 올라가던 중 몸의 중심을 잃고 추락</t>
  </si>
  <si>
    <t>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t>
  </si>
  <si>
    <t>외벽 석재마감 작업구간의 구조물과 비계 사이의 간격이 넓어 수평재 및 작업발판을 연장 설치하여 작업하던 중 수평재가 탈락하면서 작업발판과 함께 추락</t>
  </si>
  <si>
    <t>▶ 비계 조립 시 수직재‧수평재‧가새재‧작업발판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</si>
  <si>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2016년 6월경 개인 근린생활 신축공사 현장에서 재해자가 동료작업자 1명과 함께 지상 2층 외부 비계 작업발판에서 돌붙임 작업을 위한 준비 중 지상(콘크리트)으로 추락하여(H= 약 4.5m) 사망</t>
  </si>
  <si>
    <t>외부비계에서 돌붙임 작업 중 몸의 중심을 잃고 안전난간이 설치되지 않은 비계 작업발판 단부로 추락</t>
  </si>
  <si>
    <t>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t>
  </si>
  <si>
    <t>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t>
  </si>
  <si>
    <t>계단참 바닥 측벽 창호 개구부 단부에서 전동공구(해머드릴)의 전선을 정리하던 중 몸의 중심을 잃고 지상 바닥으로 추락</t>
  </si>
  <si>
    <t xml:space="preserve">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t>
  </si>
  <si>
    <t>2021년 5월경 OO숙박시설 신축현장에서 재해자가 외부 강관비계 작업발판 2단에서 외벽석재 마감을 위한 하지철물 설치 작업을 하던 중, 약 2.9m 아래 지상 1층 콘크리트 바닥으로 추락하여 사망</t>
  </si>
  <si>
    <t>공동주택 신축공사</t>
  </si>
  <si>
    <t>공동주택 신축공사 현장에서 석공인 재해자가 지상 7층 외벽 실외기 슬래브 상부에서 보강 앵커철물 작업 중 실족, 비계 외측으로 추락(H≒18.0m)하여 사망</t>
  </si>
  <si>
    <t>추락방지조치 없이 외벽 실외기 슬래브 상부에서 보강 앵커철물 작업 중 실족하여 비계 외측으로 추락</t>
  </si>
  <si>
    <t>2016년 3월경 OO병원 증축공사 현장에서 재하청업체인 소속 재해자가 로비동 옥상 외부비계에서 건물 외벽 석재 긴결재 고정 작업 중 높이 2.6m 아래 로비동 옥상 콘크리트 바닥에 추락하여 사망</t>
  </si>
  <si>
    <t>석재 긴결재 고정작업을 위해 외부비계에서 이동하던 중 가설계단과 비계 작업발판간 단차로 인해 발생한 개구부에서 몸의 중심을 잃고 추락</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</si>
  <si>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</si>
  <si>
    <t>2016년 4월경 OO신축공사 현장에서 재해자가 달비계를 사용하여 건물 외벽 석재 코킹작업을 하던 중 달비계를 지지하는 로프가 파단 되며 약 15m 아래 지상 1층 바닥으로 추락하여 사망</t>
  </si>
  <si>
    <t>달비계를 사용하여 외벽 석재 코킹작업 중 달비계 로프가 파단되며 바닥으로 추락</t>
  </si>
  <si>
    <t>▶ 달비계를 사용하여 작업 시, 지지용 로프의 손상‧부식 상태 등을 점검
▶ 달비계를 사용하여 작업 시, 지지용 로프 이외의 별도의 수직구명줄 설치</t>
  </si>
  <si>
    <t>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t>
  </si>
  <si>
    <t>외부비계에서 줄눈 시공 작업 중 몸의 중심을 잃고 안전난간이 설치되지 않은 비계 작업발판 단부로 추락</t>
  </si>
  <si>
    <t>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t>
  </si>
  <si>
    <t>2018년 4월경 OO다가구 및 근생 신축공사 현장에서 재해자가 옥상층 외벽 줄눈 시공을 위하여 외부비계에서 작업 중 몸의 중심을 잃고 지상 1층 바닥(9m)으로 추락하여 사망</t>
  </si>
  <si>
    <t>2019년 1월경 OO교회 신축공사 현장, 우측면 비계 위에서 석재 및 유리 코킹작업을 하던 중 갑작스러운 강풍으로 인해 비계가 좌굴되면서 도괴하자 재해자 2명이 3층 발코니로 뛰어내려 부상</t>
  </si>
  <si>
    <t>외벽 마감을 위해 벽이음 철물을 해체한 외부비계에서 석재 및 유리 코킹작업 중 갑작스러운 강품으로 인해 비계가 좌굴하면서 추락</t>
  </si>
  <si>
    <t>▶ 외벽마감 간섭 등에 의해 비계의 벽이음 철물을 제거하는 경우 비계 외측에 경사버팀대 등을 설치하여 전도방지조치
▶ 개인보호구 지급 및 착용관리</t>
  </si>
  <si>
    <t>2017년 7월경 OO학교 외벽 도색 공사 현장에서 재해자가 외벽 도장작업을 위해 옥상에서 달비계에 탑승하여 작업을 실시하려는 순간 달비계와 함께 추락하여(H≒18m) 사망</t>
  </si>
  <si>
    <t>달비계에 탑승하여 외벽 도장작업 중 청소용 고리(고정점)의 로프가 풀리면서 바닥으로 추락</t>
  </si>
  <si>
    <t>2018년 11월경 다세대주택 하자보수 현장에서 재해자가 달비계에 탑승하여 지상 5층 외벽 코킹 작업 중 추락하여 사망</t>
  </si>
  <si>
    <t>재해자가 구명줄을 별도로 설치하지 않고, 안전대를 미착용한 상태에서 달비계에 탑승을 시도하는 중에 실족하여 추락</t>
  </si>
  <si>
    <t>▶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
▶ 개인보호구 지급 및 착용</t>
  </si>
  <si>
    <t>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t>
  </si>
  <si>
    <t>달비계를 사용하여 외벽 균열보수(퍼티) 작업 중 작업로프가 파단되면서 추락</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</si>
  <si>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</si>
  <si>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</si>
  <si>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엘리베이터실 외벽의 먼지, 페인트 균열 등을 제거하는 작업을 하던 중 옥탑의 달비계 로프 체결 불량으로 한쪽으로 기울어지며 무게중심을 잃어 작업대와 함께 추락</t>
  </si>
  <si>
    <t>2015년 2월경 공동주택공사 현장에서 옥상 외벽 테두리면 도장작업을 위해 쌍줄비계 위에서 도장작업 중 몸의 중심을 잃고 약15.5m 지상1층 바닥으로 추락하여 사망</t>
  </si>
  <si>
    <t>2016년 2월경 OO아파트 신축공사 현장에서 협력업체 소속 재해자가 외벽 견출작업을 위해 달비계 작업발판에 탑승하던 중 몸의 중심을 잃고 약 53m 아래 지상바닥으로 추락하여 사망</t>
  </si>
  <si>
    <t>안전대를 체결하지 않은 상태에서 달비계에 탑승하던 중 실족 또는 몸의 중심을 잃고 추락</t>
  </si>
  <si>
    <t>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t>
  </si>
  <si>
    <t>달비계를 사용하여 외벽 도장작업 중 작업로프가 파단되면서 추락</t>
  </si>
  <si>
    <t>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t>
  </si>
  <si>
    <t>달비계에 탑승하여 외벽 도장작업 중 고정점에 결속한 로프가 풀리면서 바닥으로 추락</t>
  </si>
  <si>
    <t>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t>
  </si>
  <si>
    <t>2016년 4월경 OO아파트 외부 도장보수공사 현장에서 재해자가 아파트 외부측벽에서 달비계를 이용 도장초벌 작업도중 달비계의 지지로프와 보조로프가 끊어지면서 5층(높이 약14m)에서 지상으로 추락하여 사망</t>
  </si>
  <si>
    <t>안전대를 미착용하고 구명줄을 미설치한 상태에서 달비계를 사용하여 외벽 도장작업 중 작업로프가 파단되면서 추락</t>
  </si>
  <si>
    <t>2016년 7월경 아파트 신축현장에서 재해자 옥상층에서 외벽견출작업용 달비계를 타는 순간 달비계 지지용고리매듭이 빠지면서 높이 72m 아래 바닥으로 추락하여 사망</t>
  </si>
  <si>
    <t>2016년 7월경 OO아파트 하자보수공사 현장에서 재해자가 아파트 외벽의 로고 도장작업중 달비계용 로프를 고정한 청소 고리가 파단되면서 로프가 풀려 달비계와 함께 지상1층 바닥으로 추락(H≒50m)하여 사망</t>
  </si>
  <si>
    <t>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t>
  </si>
  <si>
    <t>2016년 10월경 아파트 발코니 외측에서 재해자가 발코니 창틀 실리콘 작업을 위해 달비계 로프를 타고 작업중 달비계를 고정한 로프가 풀리면서 3층 정원으로 추락하여 사망</t>
  </si>
  <si>
    <t>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</si>
  <si>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2016년 10월경 4층 건물(1층 상가, 2층 ~ 4층 주택)에서 재해자가 동료 작업자와 함께 건물 외벽 도장 작업 중 건물 2층 높이(약 6미터)에서 추락하여 사망</t>
  </si>
  <si>
    <t>2016년 10월경 OO아파트 균열 및 재도장공사 현장에서 재해자가 아파트 외벽 도장작업을 위해 옥탑 지붕에서 달비계에 탑승하던 중 실족하여 54m 아래 지상바닥으로 추락하여 사망</t>
  </si>
  <si>
    <t>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t>
  </si>
  <si>
    <t>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t>
  </si>
  <si>
    <t>달비계에 탑승하여 내려오던 중 작업줄을 체결했던 철재지지물이 작업하중을 견디지 못하고 이탈되어 근로자 추락</t>
  </si>
  <si>
    <t>▶ 달비계 작업 시작 전 로프의 부착상태 및 매단장치의 흔들림 상태 등 점검 및 보수
▶ 외벽 도장작업을 위해 달비계 작업 시 수직구명줄 별도 설치 및 안전대 착용</t>
  </si>
  <si>
    <t>2017년 5월경 OO아파트 도색공사 현장에서 재해자가 건물 4층 외벽 균열보수작업을 마치고, 4층 베란다에서 달비계 작업대에 탑승하던 중 몸의 중심을 잃고 지상 1층(약 10m) 바닥으로 추락하여 사망</t>
  </si>
  <si>
    <t>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t>
  </si>
  <si>
    <t>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t>
  </si>
  <si>
    <t xml:space="preserve">달비계에 탑승하여 외벽 도장작업 도중 우천으로 작업을 중단하고 하강하는 과정에서 로프길이가 짧게 설치된 것을 인지하지 못하고 달비계와 함께 바닥으로 추락 </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</si>
  <si>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</si>
  <si>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t>
  </si>
  <si>
    <t>2017년 9월경 OO아파트 방수·도장공사 현장에서 재해자가 달비계를 타고 외벽 퍼티작업 중, 달비계를 고정한 달줄이 풀리면서 지상 바닥으로 추락하여(약 28.4m) 사망</t>
  </si>
  <si>
    <t>2017년 10월경 OO모텔 외벽 재도장 공사 현장에서, 모텔 우측면 벽체 도장작업을 하던 재해자가 옥상 비 가림막용 간이 지붕 기둥에 고정되어있던 달비계 로프가 빠지면서 4m 아래 바닥으로 추락하여 사망</t>
  </si>
  <si>
    <t>2017년 10월경 OO유치원 외벽 균열보수 및 도장공사 현장에서 달비계를 이용하여 외벽 균열보수 작업을 진행하던 재해자가 1층 지붕 처마(높이 약4.8m)에서 바닥으로 추락하여 사망</t>
  </si>
  <si>
    <t>안전대 및 구명줄을 체결하지 않고 달비계에서 작업 중 몸의 중심을 잃고 추락</t>
  </si>
  <si>
    <t>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t>
  </si>
  <si>
    <t>2017년 11월경 OO건설에서 시공하는 아파트 신축공사 현장에서 재해자가 달비계에 탑승하여 도장작업 중 옥상조형물(콘크리트 가로보)에 고정 된 작업용 로프가 풀리면서 약 52m 아래로 떨어져 사망</t>
  </si>
  <si>
    <t>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t>
  </si>
  <si>
    <t>2018년 7월경 OO아파트 균열보수 및 재도장공사 현장에서 재해자가 옥상에서 균열보수 작업을 위하여 달비계 작업대에 탑승하는 과정에서 실족하여 지상 1층 바닥(H≒45m, 석축 및 화단)에 추락하여 사망</t>
  </si>
  <si>
    <t>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t>
  </si>
  <si>
    <t>2018년 11월경 균열보수 및 재도장 공사 현장에서 재해자가 아파트 지상 15층 옥상에서 외벽 도장 작업을 위해 달비계 작업대에 탑승하는 과정 중에 지상 바닥으로 추락(H≒45m)하여 사망</t>
  </si>
  <si>
    <t>도장작업을 위해 달비계에 탑승하는 과정에서 몸의 중심을 잃고 추락</t>
  </si>
  <si>
    <t>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t>
  </si>
  <si>
    <t>달비계를 이용하여 옥상에서부터 내려오며 작업도중 달비계의 작업대가 주로프에서 이탈하여 작업대와 함께 떨어짐</t>
  </si>
  <si>
    <t>▶ 작업로프와 달비계 연결부(샤클) 견고하게 결속하고 탑승 전 결속상태 확인점검
▶ 달비계 작업 시 주로프 외 보조로프(수직구명줄)를 설치하고 안전대를 체결한 후 작업
▶ 개인보호구 지급 및 착용</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</si>
  <si>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t>
  </si>
  <si>
    <t>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t>
  </si>
  <si>
    <t>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t>
  </si>
  <si>
    <t>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t>
  </si>
  <si>
    <t>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t>
  </si>
  <si>
    <t>2019년 11월경 아파트 외부도장 작업을 위해 옥상 환풍기 기둥에 작업로프를 결속시키고 작업 중, 주로프가 풀리면서 1층 화단으로 추락(H≒40m)하여 사망</t>
  </si>
  <si>
    <t>2020년 2월경 개인 상가 건물(2층) 외벽 도장 공사 현장에서 재해자가 외벽에서 도장 작업을 하던 중 달비계 작업대를 고정하는 로프가 풀려 콘크리트 바닥(H≒5.7m)으로 추락하여 사망</t>
  </si>
  <si>
    <t>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t>
  </si>
  <si>
    <t>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t>
  </si>
  <si>
    <t>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t>
  </si>
  <si>
    <t>2020년 5월경 OO학교 본관동 외부 도장 공사현장에서 재해자가 지상 4층 본관동 외부에서 달비계를 사용하여 도장작업 중, 작업의자의 연결로프가 파단되어 지상 1층 출입구 상부 차양 슬래브로 추락(H≒9m)하여 사망</t>
  </si>
  <si>
    <t>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t>
  </si>
  <si>
    <t>달비계에 탑승하여 외벽 도장작업 중 옥상 외부측벽에 설치된 장식용 구조물 일부가 파손되어 낙하하면서 낙하물에 맞은 후 달비계에서 추락</t>
  </si>
  <si>
    <t>▶ 달비계 작업 시 주로프 외 보조로프(수직구명줄)를 설치하고 안전대를 체결한 후 작업
▶ 달비계 작업구간에 낙하물 위험여부를 사전 점검하여 덮개 설치 등 조치</t>
  </si>
  <si>
    <t>2020년 9월경 아파트 균열보수 및 재도장 공사 현장에서 재해자가 아파트 외벽 도장작업을 위해 달비계에 탑승하여 하강하던 중 추락(H≒60m)하여 사망</t>
  </si>
  <si>
    <t>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t>
  </si>
  <si>
    <t>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t>
  </si>
  <si>
    <t>2020년 11월경 OO아파트 하자보수(재도장) 현장에서 재해자가 5층 아파트 외벽 균열보수작업을 하기 위하여 옥상에서 달비계 작업대에 탑승하던 중 몸의 중심을 잃고 지상 1층(약 19.5m) 바닥으로 추락하여 사망</t>
  </si>
  <si>
    <t>2020년 12월경 OO아파트 외부 재도장 공사현장에서 재해자가 지상 14층 외부에서 달비계를 사용하여 도장작업 중 작업용 로프가 절단되어 약 31m 아래 지상 5층 위치의 파라펫 바닥으로 추락하여 사망</t>
  </si>
  <si>
    <t>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t>
  </si>
  <si>
    <t>외벽 도장작업을 위해 지붕층 단부에 설치한 달비계 작업대에 앉아 달비계 연결로프를 조절하던 중 작업대와 로프의 연결부(샤클) 매듭이 풀리며 바닥으로 추락</t>
  </si>
  <si>
    <t>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t>
  </si>
  <si>
    <t>달비계를 이용하여 외벽작업을 하던 중 작업로프가 끊어지면서 바닥으로 추락</t>
  </si>
  <si>
    <t>▶ 작업용 로프 파단이 발생하지 않도록 모서리 구간 덧댐</t>
  </si>
  <si>
    <t>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t>
  </si>
  <si>
    <t>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t>
  </si>
  <si>
    <t>구조물 단부에서 안전대를 착용하지 않고 작업 준비 중 구조물 단부로 추락</t>
  </si>
  <si>
    <t>2021년 9월경 OO아파트 내·외부 재도장 공사현장에서 재해자(달비계공, 남)가 달비계를 이용하여 아파트 20층 외부창문 물청소 작업을 하던 중 달비계 작업로프가 끊어지면서 화단으로 추락하여 사망</t>
  </si>
  <si>
    <t>2021년 11월경 OO복지관 방수방음공사 현장에서, 재해자가 옥상 난간 위에 올라 달비계 위치를 조절하거나, 달비계 탑승준비 중 바닥으로 추락하여(H≒22m) 사망</t>
  </si>
  <si>
    <t>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t>
  </si>
  <si>
    <t>외부비계와 건물 외벽 사이에서 윈치를 이용하여 철제 창틀을 인양하던 중 창틀이 돌출물에 걸려 낙하하면서 맞음</t>
  </si>
  <si>
    <t>▶ 개구가 있는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</si>
  <si>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2016년 9월경 근생 및 다가구 신축공사 현장에서 재해자가 지상 2층 구간 외벽창호 설치작업을 위해 비계 발판 위로 이동 중 실족하여 지상 1층 바닥으로 떨어져(높이 약 3.7m) 사망</t>
  </si>
  <si>
    <t>비계 발판 위에서 이동 중 작업발판이 설치되지 않은 개구부에서 실족하여 추락</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</si>
  <si>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</si>
  <si>
    <t>2019년 8월경 상가주택 외벽 방수공사 현장에서 재해자가 달비계를 이용하여 경사지붕 하부 창틀 코킹작업 중 옥상 청소용 걸이와 지붕 피뢰침에 묶인 지지로프가 풀리면서 지상 바닥(높이 약16m)으로 추락</t>
  </si>
  <si>
    <t>달비계 작업 중 고정점의 지지로프가 풀리면서 추락</t>
  </si>
  <si>
    <t>2020년 11월경 재해자가 아파트 발코니 창틀 외부 코킹작업을 위해 옥상에서 달비계에 탑승하는 순간 달비계 로프 고정점이 파손되어 지상으로 추락 (H≒40m)</t>
  </si>
  <si>
    <t>달비계에 탑승하던 중 로프의 고정점이 파손되어 추락</t>
  </si>
  <si>
    <t>▶ 달비계 로프는 콘크리트에 매립된 고리, 건축물의 콘크리트 또는 철재 구조물 등 2개 이상의 견고한 고정점에 풀리지 않도록 결속
▶ 근로자의 하중을 견딜 수 있는 충분한 강도를 가진 로프, 구명줄 및 고정점 사용</t>
  </si>
  <si>
    <t>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t>
  </si>
  <si>
    <t>달비계 작업 중 지지로프가 풀리면서 지상 바닥으로 추락</t>
  </si>
  <si>
    <t>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</si>
  <si>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 외부비계 조립 시, 작업통로 작업발판을 밀실하게 설치하며 내, 외측에 안전난간대(2단) 설치 철저
▶ 안전난간이 미설치된 외부비계에서 작업 및 이동 시 안전대를 체결하도록 조치</t>
  </si>
  <si>
    <t>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t>
  </si>
  <si>
    <t>비계에서 작업 중 구조물과 비계 사이의 작업공간 확보를 위해 비계 안전난간을 외측으로 밀어내는 과정에서 난간을 고정한 클램프가 파단되어 안전난간과 함께 바닥으로 추락</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</si>
  <si>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안전난간 재료로 사용되는 파이프, 클램프 등은 안전인증품으로 사용
▶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
▶ 비계 작업발판 설치 시, 견고하게 고정하며 별도의 개구부가 발생하지 않도록 설치
▶ 작업자의 개인보호구 착용, 안전대 체결여부 점검 및 관리감독</t>
  </si>
  <si>
    <t>2020년 9월경 OO(주) OO공동주택 건설현장의 118동 지상28층 외부 발코니에서 재해자가 아파트 외부 환기구 캡 설치작업 중 달비계 작업용 로프가 파단되어 지상1층 흙바닥으로 추락(H≒78m) 사망</t>
  </si>
  <si>
    <t>달비계 작업 중 옥상 구조물 모서리 부위에서 로프가 파단되어 추락</t>
  </si>
  <si>
    <t>▶ 주 로프, 보조 로프는 작업 전 육안 점검을 실시하고 부적격 섬유로프 사용 금지
▶ 달비계 로프 사용 시 옥상 구조물 모서리 등에 보호패드를 설치
▶ 로프는 옥상 구조물(철골, 콘크리트 등) 2개소 이상에 견고하게 고정
▶ 추락방지대 선 체결 후 달비계 작업 실시
▶ 근로자 개인보호구 착용 등 관리감독 철저</t>
  </si>
  <si>
    <t>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t>
  </si>
  <si>
    <t>작업통로가 아닌 비계 외측으로 난간을 밟고 이동하던 중 발을 헛디뎌 바닥으로 추락</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</si>
  <si>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</si>
  <si>
    <t>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t>
  </si>
  <si>
    <t>달비계 작업 중 구조물 내부로 이동하기 위해 창틀에 걸터앉은 자세로 추락방지대를 해체하던 중 몸의 중심을 잃고 추락</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</si>
  <si>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</si>
  <si>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2018년 6월경 단독주택신축공사 현장에서 재해자가 외부 강관비계 1단 작업발판 상에서 주택지붕 자재(샌드위치 판넬)의 설치작업을 하던중 실족하여 높이 약 1.95m 아래 지상바닥으로 추락하여 사망</t>
  </si>
  <si>
    <t>2018년 12월경 근린생활시설 신축공사(개인) 현장에서 재해자가 달비계에 탑승하여 건물 외벽 선홈통 설치 작업 중 달비계 로프(ø16mm, P.P로프)가 파단되며 지상으로 떨어져(H≒14.3m) 사망</t>
  </si>
  <si>
    <t>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t>
  </si>
  <si>
    <t>비계에서 작업 중 발을 헛디뎌 안전난간이 설치되지 않은 작업발판 단부로 추락</t>
  </si>
  <si>
    <t>2020년 5월경 ㈜OO이 시공하는 OO 복합개발사업 현장에서 협력업체 소속 재해자(석공)이 102동 상가 외부비계에서 돌붙임용 하지철물 설치작업 중 외부비계와 상가건물 사이(40cm)로 떨어져(H≒4.8m) 사망</t>
  </si>
  <si>
    <t>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t>
  </si>
  <si>
    <t>2016년 6월경 ㈜OO 백필터 증설 및 개선공사(집진기 증축공사) 현장에서 재해자가 외부비계 작업발판 위에서 보온재 케이싱 고정용 너트커버 설치 작업 중 중심을 잃어 약 6.4m 아래 인도로 추락하여 사망</t>
  </si>
  <si>
    <t>안전난간이 미설치된 외부비계 작업발판에서 작업 중 비계 외부로 추락</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</si>
  <si>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</si>
  <si>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2016년 5월경 OO동 업무시설 및 공동주택 신축공사 현장에서 재해자가 건물 3층 높이(5.8m) 외부 비계발판 위에서 활선 작업(전신주에서 분기한 전선을 건물로 인입하는 작업)중 추락</t>
  </si>
  <si>
    <t>외부 비계발판 위에서 활선 작업(전신주에서 분기한 전선을 건물로 인입하는 작업) 중 추락</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</si>
  <si>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</si>
  <si>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</si>
  <si>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 작업 전 달비계의 상태(마모, 파단 등) 및 기능점검 준수
▶ 작업 전 개인보호구 지급 및 착용상태 관리</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</si>
  <si>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</si>
  <si>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</si>
  <si>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2017년 5월경 고속도로 시설개량공사 현장에서 재해자가 강교거더 걸침비계 해체를 위해 비계파이프 상부에 합판을 깔고 이동하면서 클램프를 해체하던 중 13m 아래 바닥으로 추락하여 사망</t>
  </si>
  <si>
    <t>비계파이프 상부에 합판을 깔고 이동하면서 클램프 해체작업 중 합판이 이탈되어 합판과 함께 교량 하부 바닥으로 추락</t>
  </si>
  <si>
    <t>▶ 추락 위험이 있는 작업 시, 견고한 작업발판 설치 또는 안전대 부착설비를 통한 추락방호조치 실시
▶ 교량 작업 전문 장비인 굴절스카이 사용을 통한 거더 하부 작업 실시</t>
  </si>
  <si>
    <t>사다리</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</si>
  <si>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</si>
  <si>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</si>
  <si>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</si>
  <si>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</si>
  <si>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</si>
  <si>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</si>
  <si>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12.2.7 안전가시설(가설통로 또는 가설계단)</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</si>
  <si>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</si>
  <si>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</si>
  <si>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</si>
  <si>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</si>
  <si>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</si>
  <si>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</si>
  <si>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</si>
  <si>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</si>
  <si>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</si>
  <si>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</si>
  <si>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2019년 2월경 OO비닐 설치작업 후 재해자가 천장 비닐 보수작업을 위해 이동식비계 위에 사다리를 올리고 작업을 하던 중 사다리와 함께 떨어져 사망</t>
  </si>
  <si>
    <t>사다리 위에서 시트지 제거 작업을 하던 중 몸의 중심을 잃고 바닥으로 추락</t>
  </si>
  <si>
    <t>▶ 사다리 보다 상대적으로 작업 안정성이 뛰어난 고소작업대, 이동식 비계 등을 사용하여 작업</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</si>
  <si>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</si>
  <si>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</si>
  <si>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</si>
  <si>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</si>
  <si>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2020년 11월경 OO사업장에서 재해자가 사무실 지붕 위로 병풍을 옮기기 위해 사다리(현장제작,철재)를 이용하여 사무실 지붕 위로 이동하던 중 사다리가 미끄러지면서 떨어져(높이≒1.42m) 사망</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</si>
  <si>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</si>
  <si>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2021년 2월경 OO건설(주)에서 시공하는 OO신축공사 현장에서 협력업체  소속 재해자가 사다리에 올라가 지하1층 보 측면 거푸집에 못 고정작업을 마치고 내려오던 중(추정) 약 1.5~2m 아래 콘크리트 바닥으로 떨어져 사망</t>
  </si>
  <si>
    <t>추락 방지조치 미실시한 상태에서 사다리에 올라가 지하층 보 측면 거푸집에 못 고정작업을 마치고 내려오던 중 추락</t>
  </si>
  <si>
    <t>▶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 사다리 작업지침 준수</t>
  </si>
  <si>
    <t xml:space="preserve"> 2019년 11월경 OO건설 OO주택신축 공사 현장에서 재해자가 이동식 사다리 위에서 천장에 있던 합판 거푸집 해체 작업을 하던 중 몸의 중심을 잃고 약 2m 아래 콘크리트 바닥으로 떨어져 사망</t>
  </si>
  <si>
    <t>작업발판 미설치한 상태에서 이동식 사다리 위에서 천장에 있던 합판 거푸집 해체 작업 중 중심을 잃고 근로자 추락</t>
  </si>
  <si>
    <t xml:space="preserve">▶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t>
  </si>
  <si>
    <t>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t>
  </si>
  <si>
    <t>일자형 알루미늄 사다리를 밟고 올라오던 중, 사다리 중간에서 균형을 잃고 근로자가 추락</t>
  </si>
  <si>
    <t>▶ 가설통로로 사다리 사용 시 유동이 없는 견고한 구조로 설치
▶ 사다리 설치 시에도 안전대 부착설비 설치 및 안전대 착용
▶ 깊이 2m를 초과하는 가설통로는 가설계단 등의 승강설비 설치</t>
  </si>
  <si>
    <t>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t>
  </si>
  <si>
    <t>사다리를 사용하여 이동 중 사다리 부재의 탈락으로 근로자가 추락</t>
  </si>
  <si>
    <t>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t>
  </si>
  <si>
    <t>철골 도장작업을 위해 사다리를 철골보에 걸쳐 놓고 사다리를 발판삼아 올라서서 도장 작업을 하던 중 사다리가 전도되면서 근로자 추락</t>
  </si>
  <si>
    <t>▶ 철골 도장 작업 시 추락위험이 있는 경우 사다리 사용은 지양하고 비계 조립등의 방법으로 작업발판 설치
▶ 부득이 사다리를 작업발판으로 사용 시 상부는 철골보에 고정 및 하부는 아웃트리거 설치</t>
  </si>
  <si>
    <t>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t>
  </si>
  <si>
    <t>집진기 주변에 방음벽 설치를 위해 사다리 상부에서 방음벽 철골구조물 용접작업 중 근로자 추락</t>
  </si>
  <si>
    <t>▶ 추락위험이 있는 장소에서 작업시 비계를 설치하여 작업 
▶ 구조물의 간섭 등으로 작업발판 설치가 곤란할 경우 고소작업대 활용
▶ 안전대 부착설비 설치 및 안전대 착용</t>
  </si>
  <si>
    <t xml:space="preserve">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t>
  </si>
  <si>
    <t>안전대를 미착용한 상태에서 공장 칼라강판 지붕 위에 올라가 사다리를 사용하여 철골보 조립 작업 중 중심을 잃고 근로자 추락</t>
  </si>
  <si>
    <t>▶ 경사지붕 위에서 안정적인 자세로 작업이 불가한 높이에서 작업 시 이동식 비계 등 작업여건에 적절한 작업발판 설치
▶ 개인보호구 지급 및 착용</t>
  </si>
  <si>
    <t>2021년 11월경 교회 첨탑 철거공사 현장에서 재해자가 첨탑 철거 완료 후 옥상으로 사다리를 이용하여 내려오던 중 2.1~2.4m 높이에서 떨어져 사망</t>
  </si>
  <si>
    <t>첨탑 철거 완료 후 옥상으로 고정되지 않은 사다리를 이용하여 내려오던 중 바닥으로 추락</t>
  </si>
  <si>
    <t>▶ 작업을 위해 이동할 경우 계단 등 가설통로 설치
▶ 사다리 설치 시 사다리의 상단이 걸쳐놓은 지점으로부터 60cm 이상 올라가도록 하며, 아웃트리거 또는 밀림방지판 설치
▶ 개인보호구 지급 및 착용</t>
  </si>
  <si>
    <t>2019년 5월경 OO신축공사에서 지하3층 스파기계실 출입구 상부벽체 배관구역 조적 설치작업을 위하여 이동식 사다리 상부에서 레미탈을 작업구역으로 올릴 수 있는 도르래 설치 구역 확인 중 추락(약 1.75M)하여 사망</t>
  </si>
  <si>
    <t>추락방지조치 없이 이동식 사다리 상부에서 조적작업 장소를 확인하던 중 몸의 중심을 잃고 추락</t>
  </si>
  <si>
    <t>2018년 6월경 OO신축공사에서 지상 1층 작업발판 위에서 조적작업 준비를 위한 먹줄 작업 중 바닥으로 추락하여(H≒2.8m) 사망</t>
  </si>
  <si>
    <t xml:space="preserve">작업발판 위에서 조적작업 준비를 위한 먹줄 작업 중 몸의 중심을 잃고 안전난간이 설치되지 않은 작업발판 단부로 추락 </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</si>
  <si>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</si>
  <si>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2016년 12월경 OO보수공사에서 접이식 A형 알루미늄 사다리를 펼쳐 만든  일자형 수직 사다리통로에서 이동중 중앙 연결부가 젖혀지면서 높이 약 3.5m 바닥으로 추락하여 사망</t>
  </si>
  <si>
    <t>접이식 A형 알루미늄 사다리를 펼쳐 만든 일자형 수직 사다리 통로를 통해 이동하던 중 사다리의 중앙 연결부가 젖혀지면서 바닥으로 추락</t>
  </si>
  <si>
    <t>▶ 이동통로로 사용되는 사다리는 심한 손상과 부식이 없고 용접흔적 및 부재파단 등 구조상의 불안전함이 없는 견고한 구조 사용
▶ 사다리식 통로의 기울기는 75° 이하로 설치하여 넘어짐 등에 대한 안전성 확보
▶ 사다리 상단은 걸쳐놓은 지점으로부터 60cm 이상 올라가도록 설치</t>
  </si>
  <si>
    <t>2018년 1월경 하천환경정비사업 현장에서 재해자가 A형 사다리 위에서 교각 면정리 작업 중 기초 콘크리트 바닥으로 떨어짐</t>
  </si>
  <si>
    <t>이동식 사다리 상부에서 작업 중 사다리의 흔들림으로 인해 몸의 중심을 잃고 추락</t>
  </si>
  <si>
    <t>2018년 6월경 OO타워 내부 인테리어 공사 현장에서 재해자가 이동식 사다리를 사용하여 세대 내 벽체 미장작업을 하던 중 추락</t>
  </si>
  <si>
    <t>2016년 9월경 근린생활시설 신축공사 현장에서 재해자가 옥탑 바닥 방수작업 후 이동식 사다리로 내려오던 중 사다리가 미끄러지면서 재해자가 사다리와 함께 옥상바닥으로 넘어짐</t>
  </si>
  <si>
    <t>지붕 방수공사를 위해 사다리로 이동중 미고정 사다리가 쓰러지며 근로자 추락</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</si>
  <si>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</si>
  <si>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t>
  </si>
  <si>
    <t>지하 정화조 방수작업 후 이동사다리를 통해 올라오던 중 손으로 짚은 최상층 답단의 한쪽이 탈락되면서 근로자가 몸의 중심을 잃고 추락</t>
  </si>
  <si>
    <t>▶ 이동통로로 사용되는 사다리는 심한 손상과 부식이 없고 용접흔적 및 부재파단 등 구조상의 불안전함이 없는 견고한 구조 사용
▶ 사다리식 통로의 기울기는 75° 이하로 설치하여 안전성 확보
▶ 사다리 상단은 걸쳐놓은 지점으로부터 60cm 이상 올라가도록 설치</t>
  </si>
  <si>
    <t>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t>
  </si>
  <si>
    <t>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t>
  </si>
  <si>
    <t>2020년 12월경 ㈜OO이 시공 중인 OO 신축공사 현장에서 재해자(방수공)가 옥탑 지붕 방수공사를 위해 사다리를 오르던 중, 캐노피에 걸쳐놓은 사다리가 미끄러지며 약 3m 아래 옥상 바닥으로 추락하여 사망</t>
  </si>
  <si>
    <t>2019년 1워경</t>
  </si>
  <si>
    <t>2019년 1워경 OO학교 외부 창호 개선공사 현장에서 하청업체 소속 재해자가 지상 4층 외부 발코니 A형사다리 위에서 외부 창호 상단부 코킹작업 중 몸의 중심을 잃고 지상 1층(H≒9.5m) 램프 측벽 상부로 추락하여 사망</t>
  </si>
  <si>
    <t>창호 외부 발코니에서 이동식사다리를 이용하여 창호코킹 작업을 하던 중 몸의 중심을 잃고 추락</t>
  </si>
  <si>
    <t>2020년 10월경 OO아파트 균열보수 및 재도장공사 현장에서 재해자가 벽면 균열보수를 위해 지하주차장 벽면(H=2m) 퍼티작업(면처리 &amp; 석고바름) 중 넘어져 사망</t>
  </si>
  <si>
    <t>이동식 사다리를 이용하여 벽면 균열보수 작업 중 몸의 중심을 잃고 추락</t>
  </si>
  <si>
    <t>2017년 1월경 개인 직영공사 현장에서 재해자가 지상 2층과 3층 사이 내부 계단참에서 A형 이동식 사다리 위에서 벽체 퍼티작업을 하던 중 지상 2층과 3층으로 사이 계단참으로 추락(H≒1.5m)하여 사망</t>
  </si>
  <si>
    <t>추락방지조치 없이 이동식 사다리에서 도장작업 등 진행 중 몸의 중심을 잃고 추락</t>
  </si>
  <si>
    <t>2017년 9월경 A형 사다리에서 건물 2층 내부벽체 도장작업 중, 사다리가 넘어지며 바닥으로 추락하여(높이 : 약 2.2m) 사망</t>
  </si>
  <si>
    <t>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t>
  </si>
  <si>
    <t>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t>
  </si>
  <si>
    <t>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t>
  </si>
  <si>
    <t>2020년 6월경 OO 리모델링 현장에서 재해자가 이동식(A형) 사다리 위에서 벽면 퍼티 작업 중, 사다리가 넘어지며 바닥으로 추락하여(H≒1.2m) 사망</t>
  </si>
  <si>
    <t>이동식 사다리를 이용하여 벽면 퍼티 작업 중 사다리가 넘어지며 바닥으로 추락</t>
  </si>
  <si>
    <t>2층 휴게공간 조</t>
  </si>
  <si>
    <t>2층 휴게공간 조성공사 현장에서 재해자가 A형 사다리 상부에서 천장면 도장작업을 위한 비닐 보양을 하는 중 실족하여 바닥으로 추락(H≒2.0m)하여 사망</t>
  </si>
  <si>
    <t>2016년 2월경 도장공인 재해자가 건물 1층 출입구 우측 기둥 도장을 위해 출입구 우측 기둥 측면 사다리 위에서 도장 작업중 사다리가 미끄러지면서 바닥으로 추락하여 사망</t>
  </si>
  <si>
    <t>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t>
  </si>
  <si>
    <t>추락방지조치 없이 이동식 사다리를 이용하여 벽면 균열보수 작업 중 몸의 중심을 잃고 추락</t>
  </si>
  <si>
    <t>2017년 7월경 OOOO 공동주택 신축공사 현장에서 재해자가 지하1층 휀룸 소방배관 도색작업 준비 중 A형 사다리(약 1.7m)에서 추락하여 사망</t>
  </si>
  <si>
    <t>2017년 8월경 아파트 신축공사 현장에서 도장 협력업체 소속 재해자가 1층 필로티 구간 천정 도장을 위한 비닐보양 작업중 접이식 사다리 위에서 미끄러져 바닥으로 추락</t>
  </si>
  <si>
    <t>사다리 위에서 작업 중 고정이 되지 않은 사다리가 넘어지며 추락</t>
  </si>
  <si>
    <t xml:space="preserve">▶ 추락에 의한 위험방지 조치 철저 
▶ 추락 위험이 있는 장소에서 작업 시, 비계 등을 이용하여 작업발판 설치
▶ 비계설치가 곤란한 경우 고소작업대 등을 사용하여 작업 진행 </t>
  </si>
  <si>
    <t>2016년 5월경 협력업체 소속 재해자가 지상2층 슬라브 단열재 철거를 위해 안전모의 턱끈을 조이지 않은 상태에서 이동식 사다리를 이용하여 작업 중, 몸의 중심을 잃고 지상2층 바닥으로(높이 약2m) 추락</t>
  </si>
  <si>
    <t>2016년 4월경 전시장 내 전시장치공사 현장에서 재해자가 사다리에 올라가 전시부스 상부 싸인물을 설치하고 내려오려던 중 몸의 중심을 잃고 지상 1층 콘크리트 바닥으로 떨어짐(높이 약 2.2m)</t>
  </si>
  <si>
    <t>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t>
  </si>
  <si>
    <t>이동식사다리에서 작업 중 몸을 기대고 있던 천정틀 고정부가 탈락되면서 몸의 중심을 잃고 추락</t>
  </si>
  <si>
    <t>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t>
  </si>
  <si>
    <t>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t>
  </si>
  <si>
    <t>이동식사다리에서 내려오던 중 지붕 기둥에 체결한 안전대 고리를 푸는 순간 몸의 중심을 잃고 추락</t>
  </si>
  <si>
    <t>2018년 10월경 OOOOO 신축공사 현장에서 일용직 근로자가 이동식사다리 위에 올라서서 방화셔터 설치작업을 보조하던 중 몸의 중심을 잃고 약 2.3m 아래 바닥(콘크리트)으로 추락하여 사망</t>
  </si>
  <si>
    <t xml:space="preserve">이동식사다리에서 양손으로 부재를 들어올려 받치던 중 몸의 중심을 잃고 바다으로 추락 </t>
  </si>
  <si>
    <t>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t>
  </si>
  <si>
    <t>이동식사다리를 일자형으로 펼쳐 벽체에 걸쳐놓은 상태에서 사다리에 올라가 작업상황을 확인하던 중 발을 헛디뎌 바닥으로 추락</t>
  </si>
  <si>
    <t>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t>
  </si>
  <si>
    <t>이동식사다리를 일자형으로 펼쳐 구조물에 걸쳐놓은 상태에서 사다리에서 내려가던 중 사다리가 미끄러져 전도되면서 주변 개구부로 추락</t>
  </si>
  <si>
    <t>2021년 4월경 공장 신축현장 인근에서 직영근로자가 사다리를 사용하여 철재구조물 망 해체작업 중 약 2.1m 아래 콘크리트 수로 바닥으로 추락하여 사망</t>
  </si>
  <si>
    <t>디딤대 폭이 좁은(80mm) 사다리에서 작업 중 발을 헛디뎌 바닥으로 추락</t>
  </si>
  <si>
    <t>2017년 8월경 아파트 신축공사 현장에서 재해자가 A형사다리 위에 서서 세대내부 대피공간 외측 피난창호 보양테이프를 제거하던 중, 창호 개구부를 통해 외부(H:8.0m)로 추락</t>
  </si>
  <si>
    <t>이동식사다리에서 작업 중 발을 헛디뎌 주변 개구부로 추락</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</si>
  <si>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</si>
  <si>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2020년 8월경 근린생활시설 신축공사 현장에서 재해자가 지상 2층에서 창호 상부에 L형 앵글을 설치하던 중 콘센트의 전선피복 손상부에 오른팔 손목 하부가 접촉·감전되어 A형 사다리에서 추락(H=2.0m)</t>
  </si>
  <si>
    <t>이동식사다리에서 작업 중 콘센트의 전선피복 손상부에 손목이 접촉되어 감전 후 추락</t>
  </si>
  <si>
    <t>▶ 현장 내 작업 시작 전, 당일 작업 공종을 대상으로 공도구 점검조치
▶ A형 사다리를 통해 고소작업 시, 하단부 미끄럼 방지패드, 아웃트리거 설치 등의 전도방지조치 실시</t>
  </si>
  <si>
    <t>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t>
  </si>
  <si>
    <t>이동식사다리에서 작업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</si>
  <si>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</si>
  <si>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2017년 5월경 ㈜OO 인테리어공사 현장에서 재해자가 이동식 사다리에 올라가 천정 가설전등 설치를 위한 소켓에 전선을 연결하는 작업 중 사다리가 전도되면서 바닥으로 떨어져 사망</t>
  </si>
  <si>
    <t>아웃트리거 없이 설치한 이동식사다리 위에서 양손을 머리 위로 올려 전등 설치작업 중 작업하중 등에 의해 사다리가 전도되어 추락</t>
  </si>
  <si>
    <t>▶ 사다리를 사용하여 고소작업을 하는 경우, 하부 아웃트리거 설치, 미끄럼방지패드 설치 등 전도방지조치를 실시하며 사다리 하부를 잡아줄 수 있도록 근로자 추가 배치하여 2인 1조 작업 실시
▶ 물기가 있는 바닥에 사다리를 설치할 경우, 바닥의 물기를 설치 전에 제거하여 미끄러짐을 방지 조치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</si>
  <si>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2018년 6월경 OO빌딩 신축공사 현장 13층 계단참에서 재해자가 A형 사다리 위에서 천정부에 비닐 보양작업을 하던 중, 몸의 중심을 잃고 높이 약 2.3m 아래 계단참 바닥으로 떨어짐</t>
  </si>
  <si>
    <t>A형 사다리에 탑승하여 작업 중 몸의 균형을 잃고 근로자 추락</t>
  </si>
  <si>
    <t>2018년 11월경 OO건설(주) OO신사옥 신축공사 현장에서 재해자가 사다리 위에서 소음 차단용 흡음천을 천정에 고정하는 작업을 하던 중, 약 1.4m아래 바닥으로 떨어져 사망</t>
  </si>
  <si>
    <t>2019년 3월경 OO건설에서 시공중인 OO 단독주택 신축공사 현장에서 재해자가 A형 사다리를 사용하여 1층 창고 천장 마감재인 석고보드 설치작업 중 몸의 중심을 잃고 떨어져(H ≒ 1.15m) 사망</t>
  </si>
  <si>
    <t>2019년 4월경 상가건물(준공전) 1층 내에서 인테리어 작업(가벽설치) 중 재해자가 A형 사다리위에서 몸의 균형을 잃고 바닥으로 추락하여 사망</t>
  </si>
  <si>
    <t xml:space="preserve">작업높이를 맞추기 위해 이동식사다리를 최대한 세워 벌어짐 방지장치(locking)가 체결되지 않은 상태에서 벽체설치 작업을 하던 중 발을 헛디뎌 사다리 전도와 함께 추락 </t>
  </si>
  <si>
    <t>▶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</si>
  <si>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2020년 3월경 커피전문점 실내 인테리어 (목공)공사 현장에서 재해자(목공)이 벽체 석고보드 위 몰딩 설치를 위한 먹선 표시 작업 중 A형 사다리 첫 번째 발판에서 바닥(H≒30cm)으로 떨어진 후 사망</t>
  </si>
  <si>
    <t>이동식사다리에서 내려오던 중 발을 헛디뎌 바닥으로 추락</t>
  </si>
  <si>
    <t>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t>
  </si>
  <si>
    <t xml:space="preserve">아웃트리거 없이 이동식사다리를 일자로 펼쳐 벽체에 기대어 설치한 사다리 상부에서 작업 중 작업하중 등에 의해 사다리 하부가 미끄러지면서 전도되어 추락 </t>
  </si>
  <si>
    <t>2021년 9월경 OO공장 건축공사 현장에서, 2동(공장) 내부벽체 판넬 설치 후 마감작업(L-Bar 설치) 중이던 재해자가 작업발판으로 사용하던 A형 이동식사다리가 전도되며 하부 바닥(H≒2.6m)으로 떨어져 사망</t>
  </si>
  <si>
    <t>작업 편의상 다리 양쪽의 길이를 서로 다르게 조정하고 아웃트리거 없이 설치한 이동식사다리에서 최상부 답단을 밟고 작업하던 중 작업하중 등에 의해 사다리가 전도되어 추락</t>
  </si>
  <si>
    <t>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t>
  </si>
  <si>
    <t>이동식사다리에서 자재를 운반 하던 중 발을 헛디뎌 추락</t>
  </si>
  <si>
    <t>2016년 9월경 창고판넬 설치공사 현장에서 재해자가이 1층 공장 외벽 판넬 설치 작업 후 사다리를 통해 하부로 내려오던 중 높이 약 3m 지점에서 몸의 중심을 잃고 지상 바닥으로 떨어짐</t>
  </si>
  <si>
    <t>고정상태가 불량한 사다리를 이용하여 이동 및 작업 중 근로자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</si>
  <si>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사다리가 아닌 별도의 위치에 안전대 부착설비를 설치하고 안전대를 체결한 상태로 작업할 수 있도록 관리감독
▶ 일자형 사다리를 통로로 사용하는 경우, 미끄러지는 것을 방지하기 위한 조치를 취하고 상단은 걸쳐놓은 지점으로부터 60cm 이상 올라가도록 설치할 것
▶ 작업자의 개인보호구 착용상태 점검</t>
  </si>
  <si>
    <t>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t>
  </si>
  <si>
    <t>이동식사다리에서 내려오던 중 발이 미끄러지며 바닥으로 추락</t>
  </si>
  <si>
    <t>2017년 6월경 OO 단독주택 신축공사 현장에서 직영근로자인 재해자가 경량철골 지붕 상부에서 샌드위치 판넬 설치 작업 중 콘크리트 벽체(높이 5m) 위에서 이동 중, 지상 1층 콘크리트 바닥으로 추락하여 사망</t>
  </si>
  <si>
    <t>벽체 상부에서 이동하던 중 발을 헛디뎌 바닥으로 추락</t>
  </si>
  <si>
    <t xml:space="preserve">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t>
  </si>
  <si>
    <t>이동식사다리에서 작업하던 중 발을 헛디뎌 바닥으로 추락</t>
  </si>
  <si>
    <t>2017년 12월경 OO 근린생활시설 신축공사 현장에서 협력업체 소속 재해자(판넬공)가 사다리에서 외벽 샌드위치 판넬 플래싱 설치 작업 중 미끄러지며 지상 바닥으로 떨어져(H≒6.0m) 사망</t>
  </si>
  <si>
    <t>이동식사다리에서 작업하던 중 발이 미끄러지며 바닥으로 추락</t>
  </si>
  <si>
    <t>2018년 3월경 OO 단독주택 신축공사 현장에서 재해자가 단독주택 경사지붕에 기와 설치작업을 마치고 사다리를 사용하여 내려오던 중 실족하여 테라스 콘크리트 바닥으로 떨어져(H≒3m) 사망</t>
  </si>
  <si>
    <t>2018년 8월경 OO교회 냉각탑실 방음벽 설치공사 현장에서 재해자가 샌드위치 판넬을 설치하기 위하여 A형 사다리 위에서 냉각탑실 방음벽 지붕 판넬 설치 작업중, 약 2.0m 아래 콘크리트 바닥으로 추락</t>
  </si>
  <si>
    <t>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t>
  </si>
  <si>
    <t>2019년 5월경 개인이 직영으로 시공하는 OO 단독주택 신축공사 현장에서 주택 지붕재인 샌드위치패널을 인력으로 지붕에 올리던 재해자(보조공)가 접이식 사다리에 오르던 중 바닥으로 떨어져(H:약1.4m) 사망</t>
  </si>
  <si>
    <t>이동식사다리를 올라가던 중 발을 헛디뎌 바닥으로 추락</t>
  </si>
  <si>
    <t>2019년 6월경 단독주택 신축공사 현장에서, 재해자가 건물 지붕 위에서 작업진행상황을 확인 후 A형 사다리로 지상으로 내려오던 중, A형 사다리가 넘어가면서 재해자가 콘크리트 바닥으로 떨어짐(H=2.5m)</t>
  </si>
  <si>
    <t>2019년 7월경 OO교회내 OO이 시공하는 지붕 판넬 보수공사 현장에서 재해자(판넬공)이 사다리를 이용하여 상부지붕에서 하부지붕으로 이동하던 중 사다리가 미끄러지며 6m 아래 콘크리트 바닥으로 떨어져 사망</t>
  </si>
  <si>
    <t>상부지붕과 하부지붕 사이에 걸쳐 세워둔 사다리에서 내려오던 중 사다리가 미끄러지면서 사다리와 함께 바닥으로 추락</t>
  </si>
  <si>
    <t>2017년 9월경 OO공사에서 재해자가 사다리 위에서 케이블트레이 인출 위치의 벽체(샌드위치패널) 구멍 상태 확인 중 콘크리트 바닥으로 추락하여(H≒2.6m) 사망</t>
  </si>
  <si>
    <t>이동식 사다리 위에서 벽체 전기 작업 중 추락</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</si>
  <si>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</si>
  <si>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2017년 5월경 OO관광호텔 신축공사 현장에서 재해자가 A형 사다리를 이용해 CCTV 입선 작업 중 작업을 마치고 내려오다가 약 1.4m 아래 콘크리트 바닥으로 떨어짐</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</si>
  <si>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</si>
  <si>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</si>
  <si>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</si>
  <si>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</si>
  <si>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</si>
  <si>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</si>
  <si>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2019년 6월경 OO공사에서 재해자가 천장 전등배관의 전기 입선작업 후 이동식 사다리에서 내려오던 중 몸의 중심을 잃고 바닥으로 추락하여(H≒1.95m) 사망</t>
  </si>
  <si>
    <t>전기배선 작업 후 A형 사다리(이동식 사다리)에서 이동중 몸의 중심을 잃고 추락</t>
  </si>
  <si>
    <t>2019년 7월경 OO공사에서 재해자가 전기선 교체를 위한 사전작업 중 우천으로 인해 이동식 사다리에서 지상으로 내려오던 중 몸의 중심을 잃고 약 3m 아스팔트 바닥으로 추락하여 사망</t>
  </si>
  <si>
    <t>2019년 11월경 OO공사에서 재해자가 전기실 배전반 상부에서 케이블 포설 작업 후 A형 사다리를 이용하여 내려오던 중 몸의 중심을 잃고 약 1.6m 아래 콘크리트 바닥으로 추락하여 사망</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</si>
  <si>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</si>
  <si>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</si>
  <si>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2016년 2월경 재해자가 통신주 위에서 광케이블 가설작업 완료 후 사다리를 이용 내려오던 중 아스팔트 바닥으로 떨어짐(h≒4m)</t>
  </si>
  <si>
    <t>사다리를 통해 내려오던 중 사다리 전도에 의해 바닥으로 추락</t>
  </si>
  <si>
    <t>▶ 지지각재, 로프 등 사다리 상〮하부 고정을 통한 사다리 전도방지 조치 실시
▶ 고소작업대, 3종 안전대 체결 등을 통한 추락방지조치 실시</t>
  </si>
  <si>
    <t>2017년 6월경 OO공사에서 재해자가 접이식사다리(높이 약3.0m) 위에서 등기구 설치 작업 중 갑자기 작업장 전체가 정전되면서 재해자가 몸의 중심을 잃고 바닥으로 추락하여 사망</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</si>
  <si>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</si>
  <si>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</si>
  <si>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</si>
  <si>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2017년 10월경 OO공사에서 재해자가 A형 사다리(높이 3m) 위에서 투광등(높이 약 4.6m) 배선작업 중 몸의 중심을 잃고 지상 콘크리트 바닥으로 추락하여 사망</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</si>
  <si>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</si>
  <si>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</si>
  <si>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2018년 12월경 창고칸막이 공사 현장에서 재해자가 A형 사다리 상부에서 천장에 고정된 전기트레이를 해체하는 중 실족(H≒2.0m), 떨어져 사망</t>
  </si>
  <si>
    <t xml:space="preserve"> 2019년 2월</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</si>
  <si>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</si>
  <si>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</si>
  <si>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</si>
  <si>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2019년 10월경 OO공사에서 재해자가 천정 등기구 먹매김 작업을 하기 위하여 한손에 먹매김 핀을 들고 이동식 사다리를 올라가던 중 몸의 중심을 잃고 바닥으로 추락하여(H≒2m) 사망</t>
  </si>
  <si>
    <t>2021년 7월경 OO공사에서 재해자가 A형 사다리에서 건물 좌측 외벽 전등 설치 작업 중 콘크리트 바닥으로 추락하여(H≒1.8m) 사망</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</si>
  <si>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</si>
  <si>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</si>
  <si>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2017년 12월경 OO 공장 증축공사 현장에서 재해자가 1층 천장내부 배관 보온작업을 위해 보온자재를 천장 점검구로 운반작업 중 사다리가 옆으로 넘어지며 1층 바닥(H≒3.2m)으로 떨어짐</t>
  </si>
  <si>
    <t>지하 기계실에서 사다리를 옹벽에 기대고 올라가 고압호스를 자르던 중 몸의 중심을 잃고 바닥으로 추락</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</si>
  <si>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</si>
  <si>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2014년 11월</t>
  </si>
  <si>
    <t>2014년 11월경 OO동 OOOO 업무시설 신축공사현장에서 재해자가 냉난방배관의 물을 빼기 위해 이동식사다리에 올라가던중 몸의 중심을 잃고 1.8m아래로 추락</t>
  </si>
  <si>
    <t>A형 사다리 위에서 배관 연결작업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</si>
  <si>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</si>
  <si>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2015년 8월경</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</si>
  <si>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</si>
  <si>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</si>
  <si>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</si>
  <si>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</si>
  <si>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</si>
  <si>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 xml:space="preserve">2017년 5월경, OOOO OOO 신축공사현장에서 지상 1층 천장 배관 작업을 마치고 사다리를 이용하여 내려오던 중 몸의 중심을 잃고 콘크리트 바닥(H≒70cm)으로 넘어져 사망한 재해임 </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</si>
  <si>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</si>
  <si>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</si>
  <si>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2018년 2월경 의료시설 증축공사 현장에서 재해자가 사다리 위에서 스프링클러 배관 작업 중, 약 0.6m아래 바닥으로 떨어짐</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</si>
  <si>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</si>
  <si>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</si>
  <si>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</si>
  <si>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</si>
  <si>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</si>
  <si>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</si>
  <si>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</si>
  <si>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</si>
  <si>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 xml:space="preserve"> 2019년 7월경 OO시 OO구 소재 OOOO 주상복합 신축공사 현장 지하 1층 기계실에서 ㈜OOOOOO 소속 보온공이 사다리 위에서 소방배관 보온작업 중 떨어져 후송후 치료도중 사망한 재해임.</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</si>
  <si>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</si>
  <si>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</si>
  <si>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</si>
  <si>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</si>
  <si>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</si>
  <si>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</si>
  <si>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</si>
  <si>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</si>
  <si>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</si>
  <si>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2017년 6월경 섬 조경공사에서 재해자가 조경사다리 위에서 전지작업을 마치고 내려오던 중 발을 헛디뎌 중심을 잃고 3m 바닥으로 추락하여 사망</t>
  </si>
  <si>
    <t>전지작업을 마친 후 내려오는 사다리에서 발을 헛디뎌 콘크리트 바닥으로 추락</t>
  </si>
  <si>
    <t>▶ 이동식사다리 위에서 근로자가 떨어질 위험이 있는 작업할 경우 안전모 착용 및 2인 1조로 작업 수행
▶ 이동식 사다리를 작업에 사용 시 경작업에만 A형 사다리의 형태로 사용하고, 일자로 핀 경우 이동통로만으로 사용 
▶ 추락할 위험이 있는 장소에서 작업 시 발판이 설치된 이동식 비계, 고소작업대 등을 활용</t>
  </si>
  <si>
    <t>2017년 6월경 정원 수목 전지작업 현장에서 재해자가 전지작업 중 조경용사다리에서 1.5m 바닥으로 추락하여 사망</t>
  </si>
  <si>
    <t>2018년 11월경 수목 수형교정공사에서 재해자가 이동식 사다리 위에서 나뭇가지에 밴드를 감는 작업을 하던 중 몸의 중심을 잃고 2.3m 바닥으로 추락하여 사망</t>
  </si>
  <si>
    <t>2019년 5월경 가로수 전지작업공사에서 재해자가 나무 위로 올라가 가지 절단작업을 하던 중 추락하여 사망</t>
  </si>
  <si>
    <t>수목</t>
  </si>
  <si>
    <t>2016년 10월경 부지조성공사에서 재해자가 벌목 작업을 하던 중 벌목 대상 나무에 기대어있던 나무가 넘어지면서 깔려 사망</t>
  </si>
  <si>
    <t>근로자가 벌목 작업을 하던 중 나무 밑둥 부분이 절단된 순간 나무가 넘어져 근로자가 깔림</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</si>
  <si>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</si>
  <si>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2019년 4월경 마을진입도로 개설공사에서 재해자가 느티나무를 벌목하던 중 쓰러지는 벌도목에 깔려 사망</t>
  </si>
  <si>
    <t>2019년 7월경 도로 사면정비공사에서 재해자가 로프에 의지하여 벌목작업을 하던 중 이동하다 20m 아래의 사면으로 추락하여 사망</t>
  </si>
  <si>
    <t>2020년 3월경 나들목 개량공사에서 재해자가 램프구간 벌도목을 베어 넘기던 중 인접 소나무에 걸려 부러진 소나무 가지(중량 47kg, 높이 11m)에 머리를 맞아 사망</t>
  </si>
  <si>
    <t>벌목작업 중 벌도목이 쓰러지며 부러진(또는 걸쳐져 있던) 나뭇가지가 낙하하여 인근 작업자의 머리를 강타</t>
  </si>
  <si>
    <t>▶ 나뭇가지 등 낙하물에 의한 위험 방지를 위해 낙하위험지역의 근로자 불필요한 출입 통제(출입 시 관리감독자 등 감독하에 출입)
▶ 안전모 및 개인보호구 지급 및 착용관리</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</si>
  <si>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</si>
  <si>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</si>
  <si>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</si>
  <si>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t>
  </si>
  <si>
    <t>벌목작업 중 쓰러지는 벌도목에 부딪혀 깔림</t>
  </si>
  <si>
    <t>2019년 12월경 태양광 발전시설 설치공사에서 벌목작업을 하던 중 나무에 부딪혀 사망</t>
  </si>
  <si>
    <t>2020년 8월경 부지조성 공사에서 재해자가 벌목작업 중 벌도목이 쓰러지면서 머리에 맞아 사망</t>
  </si>
  <si>
    <t>2020년 11월경 배수로 정비공사에서 재해자가 벌목작업 중 동료작업자가 절단한 벌도목이 쓰러지면서 머리에 맞아 사망</t>
  </si>
  <si>
    <t>2020년 12월경 경관보완 식재공사에서 재해자가 나무 밑동을 절단하던 중 수목이 쓰러지면서 덮쳐 사망함</t>
  </si>
  <si>
    <t>2021년 3월경 입목벌채 현장에서 재해자가 벌목작업을 하던 중 인접나무에 걸려 회전하면서 쓰러지며 두부를 가격하여 사망</t>
  </si>
  <si>
    <t xml:space="preserve">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t>
  </si>
  <si>
    <t>2021년 7월경 관광농원조성공사에서 재해자가 벌목하던 중 벌도목 가지가 부러지면서 두부를 강타하여 사망</t>
  </si>
  <si>
    <t>2021년 12월경 군부대 철조망 설치공사에서 재해자가 굴착기 버킷 위에 올라타 나무 자르던 중 벌도목이 넘어지면서 강타하여 사망</t>
  </si>
  <si>
    <t>2016년 1월경 OO농장에서 재해자가 불용수목 제거작업을 하던 중 기존에 벌목되어 걸쳐져 있던 나무가 떨어지면서 머리를 가격하여 사망</t>
  </si>
  <si>
    <t>2016년 5월경 공원시설물 정비공사에서 재해자가 경사면에 있는 수목을 제거하는 작업 중 넘어지는 벌도목에 깔려 사망</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</si>
  <si>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</si>
  <si>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 xml:space="preserve">▶ 벌목 작업 시 작업 반경 내 출입 금지 및 대피장소 지정
▶ 벌목 작업 시 신호방법을 정하여 근로자에게 주시 </t>
  </si>
  <si>
    <t>2016년 10월경 경계석 공사현장에서 재해자가 울타리 기둥 상부에서 기계톱을 이용하여 화단의 나무 절단 작업 중 절단된 나무에 맞아 몸의 중심을 잃고 6m 아래 바닥으로 추락하여 사망</t>
  </si>
  <si>
    <t>화단 나무절단 중 절단된 나무에 작업중인 근로자가 맞아 추락</t>
  </si>
  <si>
    <t>2016년 12월경 토지조성공사에서 재해자가 조재작업을 하던 중 소나무 가지가 부러지며 넘어진 잣나무에 맞아 사망</t>
  </si>
  <si>
    <t>벌목작업 중 완전히 넘어가지 않은 벌도목 주변에서 조재작업 중 벌도목을 지지하던 나뭇가지가 부러지며 넘어지는 벌도목에 맞음</t>
  </si>
  <si>
    <t>2018년 4월경 아파트 단지 내 조경공사에서 재해자가 소나무 상부 전지작업을 위해 고소작업대에서 가지로 이동하던 중 나뭇가지가 무게를 견디지 못하고 부러져 8.5m 아래 바닥으로 추락하여 사망</t>
  </si>
  <si>
    <t>전지작업을 위하여 나무 상부에 올라 작업 중 나뭇가지가 부러지면서 추락</t>
  </si>
  <si>
    <t>▶ 고소작업대에서 붐대를 상승시킨 상태에서 탑승자가 작업대를 벗어나는 경우 작업대에 안전대 부착설비 설치 밀 안전대 연결 후 작업 수행
▶ 근로자가 떨어질 위험이 있는 장소에서 작업 시 안전모, 안전대 등 보호구 지급 및 착용관리감독</t>
  </si>
  <si>
    <t>2018년 5월경 조경공사 현장에서 재해자가 화물차에 수목을 상차하는 작업 중 슬링벨트가 붐대 후크에서 이탈되어 떨어지면서 머리에 부딪혀 사망</t>
  </si>
  <si>
    <t>슬링벨트가 붐대 후크에서 이탈하여 수목이 떨어짐과 동시에 넘어져 근로자에 머리에 부딪혀 협착</t>
  </si>
  <si>
    <t>▶ 굴삭기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</si>
  <si>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2018년 9월경 부지조성공사에서 이식예정인 소나무 아래에서 쉬던 중 묶어놓은 로프가 풀리면서 소나무가 전도되어 1명 사망, 2명 부상</t>
  </si>
  <si>
    <t>이식예정인 소나무에 묶어놓은 로프가 풀리면서 쉬고 있던 작업자 쪽으로 전도되어 깔림</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</si>
  <si>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</si>
  <si>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2020년 2월경 골프장 수목이식공사에서 재해자가 느티나무 포장 작업 중 돌풍에 의해 쓰러진 나무에 깔려 사망</t>
  </si>
  <si>
    <t>수목이식공사를 위해 나무 분포장 작업 중 돌풍에 의해 나무가 쓰러져 이에 깔림</t>
  </si>
  <si>
    <t>2020년 12월경 가로수 개선공사에서 재해자가 소나무 가지 위에서 전정작업 또는 이동 중 소나무 가지가 부러지면서 4.1.m 아래 바닥으로 추락하여 사망</t>
  </si>
  <si>
    <t>2021년 1월경 수목유지관리 현장에서 재해자가 나뭇가지로 올라가 전지작업을 하던 중 나뭇가지가 부러지면서 3.5m 아래 바닥으로 추락하여 사망</t>
  </si>
  <si>
    <t>2021년 7월경 수목이식작업 현장에서 재해자가 경사로에서 나무뿌리를 철선으로 고정하는 작업 중 눕혀놓은 나무가 세워지면서 뿌리분에 깔려 사망</t>
  </si>
  <si>
    <t>나무 굴취 후 경사가 있는 지면에 비스듬히 눕혀놓고 뿌리 분매기 작업 중 눕혀놓은 나무가 세워지면서 뿌리분에 깔림</t>
  </si>
  <si>
    <t>슬라브단부</t>
  </si>
  <si>
    <t>2021년 12월경 OO호안축조공사 현장 동측호안 종점부에서 재해자가 복합매트 정리작업 중 3단 블록 상부에서 육측 기초사석(높이 약 5.5m) 으로 추락하여 사망</t>
  </si>
  <si>
    <t>호안 축조공사 현장에서 호안 종점부구간 복합매트 정리작업 중 단부에서 바닥으로 추락</t>
  </si>
  <si>
    <t>▶ 슬라브 등 추락단부 안전난간대 설치 등 추락방호조치 실시</t>
  </si>
  <si>
    <t>2016년 1월경 아파트 신축공사에서 재해자가 조립식 패널 옹벽을 설치하던 중 옹벽 소단부에서 이동 중 미끄러지면서 몸의 중심을 잃고 10m 아래 바닥으로 추락하여 사망</t>
  </si>
  <si>
    <t>안전난간이 설치되지 않은 소단부에서 이동 중 미끄러져 몸의 중심을 잃고 지면으로 떨어짐</t>
  </si>
  <si>
    <t>2017년 12월 수리시설 보수공사에서 재해자가 계단식 옹벽 위에서 보양작업 중 실족하여 6.6m 아래 바닥으로 추락하여 사망</t>
  </si>
  <si>
    <t>2021년 4월경 생활주택 신축공사에서 재해자가 옹벽단부에서 자재를 옮기던 중 몸의 중심을 잃고 3.5m 바닥으로 추락하여 사망</t>
  </si>
  <si>
    <t>2015년 4월경 하천 정비사업 현장에서 재해자가 폭 90cm 소단 위에서 석축쌓기 작업을 하던 중 몸의 중심을 잃고 2.3m 아래 하천바닥으로 떨어져 사망</t>
  </si>
  <si>
    <t>절토사면 보강을 위해 숏크리트가 시공된 사면에서 상부 요철을 제거하던 중 안전난간이 미설치된 사면 단부로 추락</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</si>
  <si>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</si>
  <si>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</si>
  <si>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</si>
  <si>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</si>
  <si>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2017년 11월경 OO철거공사 현장에서 재해자가 2층 슬라브 단부에서 바닥용 합판을 지상으로 내리던중 실족하여 6m아래 바닥으로 추락하여 사망</t>
  </si>
  <si>
    <t>2018년 3월경 OO철거공사 현장에서 구조물 철거 후 가림막으로 사용중이던 비계용 강관파이프를 철거하던 중 실족하여 약 3.1m 아래 바닥(인도)으로 추락하여 사망</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</si>
  <si>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</si>
  <si>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</si>
  <si>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</si>
  <si>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</si>
  <si>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</si>
  <si>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</si>
  <si>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</si>
  <si>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</si>
  <si>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2020년 10월경 OO개축공사 현장에서 재해자가 건물내부에서 해체된 고철 및 목재류를 3층 발코니에서 외부로 투하 하던 중 지하 1층 바닥(H≒6.8m)으로 추락하여 사망</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</si>
  <si>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</si>
  <si>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</si>
  <si>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</si>
  <si>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</si>
  <si>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</si>
  <si>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</si>
  <si>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</si>
  <si>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</si>
  <si>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</si>
  <si>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</si>
  <si>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작업발판에서 보양용 천막자재 하역작업 중 천막자재와 함께 바닥으로 추락하며 철근에 가슴 관통</t>
  </si>
  <si>
    <t>▶ 개구부 등 추락위험구간에 안전난간 등 추락방지조치 준수
▶ 작업 전 안전대 지급 및 체결상태 관리
▶ 작업 중 안전대 체결여부 및 체결상태 확인</t>
  </si>
  <si>
    <t>2020년 2월경 아파트 공사현장에서, 재해자가 낙하물 방지망(시스템형)을 추가 설치하기 위하여 4층 에어컨 실외기 설치용 바닥(1.2×0.6m)에서 와이어 로프 길이를 조절하던 중 지상 콘크리트 바닥으로 추락(H≒9.5m)</t>
  </si>
  <si>
    <t>2021년 12월경 OO건설 다세대 신축공사 현장에서 재해자가 윈치 상태를 파악하기 위해 외부 강관비계 작업발판 상부에 올라갔다가 약 14.4m 아래 바닥으로 떨어져 사망</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</si>
  <si>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</si>
  <si>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</si>
  <si>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</si>
  <si>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2018년 1월경 OO변경공사 현장에서 재해자가 2층 장비반입구(H≒6.5)에서 폐기물(판넬) 반출작업 중 중심을 잃고 건물외부 바닥으로 추락하여 사망</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</si>
  <si>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</si>
  <si>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</si>
  <si>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</si>
  <si>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</si>
  <si>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2020년 8월경 OO주택 신축공사 현장에서 재해자가 2층 단부에서 우천대비 점검을 하던 중 실족하여 1층 콘크리트 바닥으로 떨어져(높이 약 3.1m) 사망</t>
  </si>
  <si>
    <t>2021년 7월경 폐수처리시설 신축공사 현장에서 협력업체 소속 재해자가 차량진출입 램프의 캐노피 알루미늄 패널 하자(누수) 상태를 확인 중 램프 옹벽 구조물 상부에서 떨어짐(H≒5.9m)</t>
  </si>
  <si>
    <t>2021년 10월경 OO건설공사 현장에서 재해자가 교량 상부 콘크리트 바닥판 파손부위 보수 작업 후 이동 중 교각 상부에서 추락하여 사망</t>
  </si>
  <si>
    <t>2018년 7월경 OO소하천 수해복구 현장에서 재해자가 수로암거 벽체 상부에서 하천 바닥으로 거푸집을 던져 내려 놓던 중 하천 바닥으로 떨어져 사망</t>
  </si>
  <si>
    <t>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t>
  </si>
  <si>
    <t>▶ 추락위험이 있는 장소에서 작업 시 단부에 안전난간 설치 등 추락방호조치 실시
▶ 자재 운반 작업시 현장여건을 반영하여 안전한 작업방법 계획후 작업 실시</t>
  </si>
  <si>
    <t>2020년 4월경 OO단독주택 신축공사 현장에서 재해자가 2층 슬래브 단부에서 2층 바닥 슬래브용 자재를 인양하던 중, 실족하여 높이 약 3.5m아래 지상바닥으로 추락하여 사망</t>
  </si>
  <si>
    <t>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t>
  </si>
  <si>
    <t>추락 방지조치 미실시한 상태에서 슬래브 위에서 거푸집 설치작업 중 불안정한 상태에서 균형을 잃고 근로자 추락</t>
  </si>
  <si>
    <t>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t>
  </si>
  <si>
    <t>2016년 6월경 OO건설(주) OO정비사업 현장에서 협력업체 소속 재해자가 제방 상류측 헌치부 슬래브의 측면 거푸집 조립작업 중 몸의 중심을 잃고 5m 높이의 지상 바닥으로 떨어져 사망</t>
  </si>
  <si>
    <t>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t>
  </si>
  <si>
    <t>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</si>
  <si>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추락 방지조치 미실시한 상태에서 지상층 PC 슬래브 설치작업 중 슬래브의 설치 간격 조정을 위해 단부에서 쇠지렛대를 이용해 PC슬래브를 미는 과정에서 쇠지렛대가 빠지면서 균형을 잃고 근로자 추락</t>
  </si>
  <si>
    <t>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</si>
  <si>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안전난간이 미설치된 작업발판 위에서 작업 중 작업발판 단부로 추락</t>
  </si>
  <si>
    <t>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t>
  </si>
  <si>
    <t>외부비계에서 건물 내부로 이동 중 이동통로가 미설치된 개구부에서 실족하여 추락</t>
  </si>
  <si>
    <t>▶ 외부비계와 구조물 사이에는 안전한 이동을 위한 이동통로 설치
▶ 추락위험이 있는 구간에는 추락방호망, 안전난간 설치 또는 및 안전대 착용후 작업
▶ 개구부 등으로 인해 추락위험이 있을 경우 개구부 덮개 실시</t>
  </si>
  <si>
    <t>2019년 10월경 OO건설(주)가 시공 중인 근생시설신축공사 현장에서 재해자가 지상2층 경사지붕 바닥슬래브 거푸집 조립작업을 마치고 내려오던 중 약 4m 아래로 떨어져 사망</t>
  </si>
  <si>
    <t>2020년 11월경 개인 근린생활시설 신축공사 현장에서 재해자가 경사지붕 슬래브 거푸집 설치 작업 중 경사지붕에서 지상 2층 콘크리트 바닥으로 떨어져(H≒2.8m) 사망</t>
  </si>
  <si>
    <t>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t>
  </si>
  <si>
    <t>추락방지조치 미실시한 상태에서 지하층 슬래브 단부에서 잭써포트 위치 수정 작업 중 잭써포트가 쓰러지면서 근로자 다리에 걸려 중심을 잃고 잭써포트와 함께 아래층으로 추락</t>
  </si>
  <si>
    <t>▶ 슬래브 단부에 잭써포트 및 근로자의 하중을 견딜 수 있는 안전난간 및 안전방망 설치
▶ 잭써포트 해체·설치 작업에 있어 인력 작업 지양 및 집게 장착 소형 굴삭기 등 장비 사용 권장</t>
  </si>
  <si>
    <t>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t>
  </si>
  <si>
    <t>추락방지조치 미실시한 상태에서 테라스 단부에서 각재(해체거푸집 자재)를 지상 바닥으로 던져서 내리던 중 건물 외벽과 외부 강관비계 사이로 추락</t>
  </si>
  <si>
    <t xml:space="preserve">▶ 추락위험이 있는 구간에는 추락방호망, 안전난간 설치 또는 및 안전대 착용후 작업
▶ 해체 자재 정리시 던지지 않고 안전한 작업방법으로 실시 </t>
  </si>
  <si>
    <t>2017년 2월경 OO종합건설(주)에서 시공하는 OO증축공사 현장에서, 재해자가 증축동 4층 옥상에서 기둥철근 배근을 위한 바닥 천공 작업 중 증축을 위해 해체된 슬래브 단부에서 지상 바닥으로 추락(H≒14.0m)하여 사망</t>
  </si>
  <si>
    <t>추락방지조치가 되어있지 않은 슬래브 철근 배근작업 중 중심을 잃고 슬래브 단부로 근로자 추락</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</si>
  <si>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</si>
  <si>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2018년 3월경 재해자가 비닐하우스내 농수를 공급하기 위한 철근콘크리트 구조의 물탱크의 슬래브 철근위에서 배근작업을 하던 중, 약 3.5m 높이의 슬래브 단부에서 굴착면 바닥으로 떨어져 두개골골절로 사망</t>
  </si>
  <si>
    <t>2021년 12월경 ㈜OO 물류센터 신축공사 현장에서 재해자(콘크리트공)가 지상 9층 PC구조물 상부에서 콘크리트 타설 중 지상1층 바닥(H≒50m)으로 떨어져 사망</t>
  </si>
  <si>
    <t>콘크리트 타설 중 안전난간이 설치되어 있지 않은 슬래브 단부로 근로자 추락</t>
  </si>
  <si>
    <t>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t>
  </si>
  <si>
    <t>2019년 1월경 ㈜OO건설에서 시공하는 OO근린시설 건설현장에서 재해자가 콘크리트 보온 양생을 위하여 지상 3층 외부 발코니에서 천막 설치작업 중 지상 1층 바닥으로 추락(H≒7.5m) 하여 사망</t>
  </si>
  <si>
    <t>2019년 12월경 오피스텔 신축공사 현장에서 지하1층 A-2구간 부상토제거 및 자재정리 작업 중 상부 슬래브 붕괴로 인하여 OO(주) 소속 근로자 2명이 부상</t>
  </si>
  <si>
    <t>지하층에서 자재정리 작업 중 시공도면 및 구조검토서 미준수한 상부 슬래브 붕괴</t>
  </si>
  <si>
    <t>▶ 콘크리트 타설 후 타설구간 변형 및 변위 감시를 위한 감시자 배치
▶ 콘크리트 타설 후 거푸집의 이상상태 발생(거푸집 변형, 거푸집 사이로 콘크리트 흘러내림 등) 시 즉시 작업중지 및 작업자 대피</t>
  </si>
  <si>
    <t>2016년 8월경 OO(주)에서 시공하는  OO센터 신축공사 현장에서 재해자가 동 지상 2층(H≒9.2m)에서 자재(데크플레이트) 설치 작업 중 몸의 균형을 잃어 지하 1층 콘크리트 바닥으로 떨어져 사망</t>
  </si>
  <si>
    <t>2018년 7월경 OO 신축공사 현장에서 재해자(데크공)가 7층 보에 거치해 놓은 데크 플레이트(Deck plate)를 슬라브 길이에 맞게 절단하려고 줄자로 길이를 재던 중, 몸의 중심을 잃고 6층 콘크리트 바닥(H≒3.7m)으로 떨어져 사망</t>
  </si>
  <si>
    <t>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t>
  </si>
  <si>
    <t>2017년 8월경 OO신축공사에서 다락층 발코니(폭 1.05m)에서 미장작업의 범위, 작업물량 등을 확인하던 중 발코니 단부에서 실족하여 2.8m 아래 지상 5층 발코니 슬라브 단부로 추락하여 사망</t>
  </si>
  <si>
    <t>외부 치장벽돌 줄눈작업 상태를 확인하던 중 안전난간이 설치되지 않은 슬라브 단부에서 몸의 중심을 잃고 추락</t>
  </si>
  <si>
    <t>2021년 4월경 OO인테리어 공사 15층 발코니에서 작업에 필요한 자재가 실려 있는 동료작업자의 운반 차량 위치를 파악 하던 중, 몸의 중심을 잃고 발코니 철제난간을 넘어 높이 37m 아래 지상바닥으로 추락하여 사망</t>
  </si>
  <si>
    <t>발코니 난간 외측으로 몸을 내미는 등 불안전한 행동으로 자재운반 차량 위치를 확인하던 중 몸의 중심을 잃고 난간을 넘어 바닥으로 추락</t>
  </si>
  <si>
    <t>▶ 발코니 외측으로 몸을 내미는 등 불안전한 행동을 하지 않도록 근로자 주지 및 관리감독</t>
  </si>
  <si>
    <t>2016년 7월경 OO신축공사에서 5층 베란다에 서서 4~5층 사이 경사구간 외부 치장벽돌 줄눈작업 상태 등을 확인 중 몸의 중심을 잃고 2.5m 하부 4층 베란다 바닥으로 추락하여 사망</t>
  </si>
  <si>
    <t>2016년 3월경 OO신축공사에서 코어부 17층 상판 할석작업을 위하여 이동하던 중 16층 코어부 복도 단부와 ACS폼 하부발판 사이에 발생된 틈(길이:2m×폭:60cm)사이로 빠져 13층 콘크리트 바닥(H≒9.3m)으로 추락하여 사망</t>
  </si>
  <si>
    <t>할석작업을 위하여 코어부 통로(복도)를 지나 ACS폼 하부발판쪽으로 이동하던 중 코어부 통로 단부와 ACS폼 하부발판(*슬라이딩 발판이 열려있었음) 사이에 발생된 틈(개구부)사이로 떨어짐</t>
  </si>
  <si>
    <t>2017년 2월경 OO신축공사에서 옥탑 지붕에서 바닥 미장 작업 중 몸의 중심을 잃고 옥상 콘크리트 바닥으로 추락(H≒2.9m)하여 사망</t>
  </si>
  <si>
    <t>2017년 5월경 OO신축공사에서 계단실에 위치한 PS실 출입용 방화문 문틀 몰탈사춤작업 중 PS실 내부로 추락하여(높이 : 약 5.9m) 사망</t>
  </si>
  <si>
    <t>계단실에 위치한 PS실 출입용 방화문 문틀 몰탈사춤작업 중 재해자가 PS실 내부개구부로 떨어짐</t>
  </si>
  <si>
    <t>2017년 12월경 OO조성공사에서 쇠손을 사용하여 2층 바닥미장 작업 중 슬래브 단부에서 5m 아래 지상1층 콘크리트 바닥으로 추락하여 사망</t>
  </si>
  <si>
    <t>2018년 9월경 OO보수공사에서 옥상 난간 밖 배수로 방수를 위해 미장작업 중 배수로(폭 690mm)에서 몸의 중심을 잃고 바닥으로 추락하여(H≒14m) 사망</t>
  </si>
  <si>
    <t>작업발판이 설치되지 않은 옥상 난간 밖 단부에서 배수로 미장작업을 하던 중 중심을 잃고 추락</t>
  </si>
  <si>
    <t>▶ 옥상의 단부 등 근로자 추락 위험이 있는 장소에서 작업 시 비계 조립 등의 방법으로 작업발판 설치
▶ 작업발판 설치가 곤란할 경우 추락방지를 위해 안전대 부착설비 설치 및 안전대 착용</t>
  </si>
  <si>
    <t>2015년 9월경 OO(주) OO초 옥상 방수공사 현장에서 재해자가 옥상 난간대 외측의 방수 작업을 위해 시트를 부착하던 중 실족하여 지상 1층 콘크리트 바닥으로 떨어져(H≒13.9m) 사망</t>
  </si>
  <si>
    <t>추락방지조치 없이 옥상 난간대 외측의 방수 작업을 위해 시트를 부착하던 중 실족하여 지상 1층 콘크리트 바닥으로 추락</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</si>
  <si>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</si>
  <si>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2016년 6월경 OO(주) 옥상 방수공사 통합발주 현장에서 재해자(방수공)가 옥상바닥에 방수작업을 하던 중 옥상 파라펫에 다리가 걸려 높이 4.2m 아래 지상바닥으로 떨어져 사망(추정)</t>
  </si>
  <si>
    <t>옥상바닥에 방수작업 중 옥상 파라펫에 다리가 걸려 근로자 추락</t>
  </si>
  <si>
    <t>▶ 추락위험이 있는 장소에서 작업 시 안전난간 등 설치
▶ 안전난간 설치가 곤란할 경우 안전방망 설치</t>
  </si>
  <si>
    <t>2016년 12월경 단독주택 신축공사 현장에서 재해자(미장공)이 옥탑 지붕의 일부 구간 방수 작업을 진행하던 중, 옥탑 지붕 슬라브 단부에서 실족하여 높이 2.9M 아래 옥상 콘크리트 슬래브 바닥으로 추락하여 사망</t>
  </si>
  <si>
    <t>2017년 3월경 ㈜OO에서 시공 중인 OO 아파트 신축공사 현장에서 협력업체 소속 재해자가 엘리베이터실 옥탑 방수 작업 중 캐노피 상부에서 추락(H≒5.4m)하여 사망</t>
  </si>
  <si>
    <t>2017년 9월경 ㈜OO 다세대 신축공사 현장에서 원청 소속의 재해자가 지붕층 바닥 방수작업 후 옥상 바닥의 몰탈 더미 위로 내려오던 중 미끄러지며 건물 밖의 지상바닥으로 떨어져(H≒14.0m) 사망</t>
  </si>
  <si>
    <t>지붕층 바닥 방수작업 후 이동통로 미설치된 상태에서 옥상 바닥의 몰탈 더미 위로 내려오던 중 근로자가 미끄러지면서 바닥으로 추락</t>
  </si>
  <si>
    <t>▶ 작업장으로 통하는 장소 또는 작업장내에 통로의 주요 부분에 통로표시로 안전한 통행 보장
▶ 작업여건에 의해 후속작업이 영향을 받은 경우 무리한 작업진행 지양
▶ 추락위험이 있는 장소에서 작업 시 안전난간 및 수직형 추락방망 설치
▶ 안전난간의 설치 시 상배난간대, 중간난간대, 발끝막이판 및 난간기둥으로 구성하여 설치</t>
  </si>
  <si>
    <t>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</si>
  <si>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공사 착공 전 현장답사를 진행하던 중 추락방지조치 없이 옥탑층 바닥 방수공사 면적의 실측을 위해 옥탑층 슬라브 단부에서 레이저 측정기를 이용하여 거리를 측정하던 중 실족하여 근로자 추락</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</si>
  <si>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</si>
  <si>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2018년 3월경 ㈜OO 아파트 현장에서 재해자(방수공)가 아파트 126동(지상30층) 옥상 단부에서 액체 방수작업 중 안전난간이 미설치된 옥상 단부에서 몸의 중심을 잃고 높이 약84m 아래로 떨어져 사망</t>
  </si>
  <si>
    <t xml:space="preserve">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t>
  </si>
  <si>
    <t>2019년 6월경 OO(주) 옥상에서 재해자가 건물 누수 방지 작업을 위해 “흉벽”과 “옥탑과 흉벽 사이에 설치 된 구조물(이하 블록)” 위에 올라가 코킹작업을 하던 중 중심을 잃고 지상1층(높이≒8.7m)으로 떨어져 사망</t>
  </si>
  <si>
    <t>추락방지 조치를 하지 않은 상태로 건물 누수 방지 작업을 위해 흉벽과 옥탑 사이에 설치된 구조물 위에 올라가 코킹작업 중 중심을 잃고 근로자 추락</t>
  </si>
  <si>
    <t>2020년 10월경 ㈜OO이 시공하는 OO 신축공사 현장에서 재해자(방수공)가 지상 1층 옥외 테라스 바닥 아스팔트 복합방수 작업을 하던 중, 슬래브 단부에서 약 4.1m 아래 지하 1층 바닥으로 추락하여 사망</t>
  </si>
  <si>
    <t>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t>
  </si>
  <si>
    <t>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t>
  </si>
  <si>
    <t>2016년 10월경 개인이 시공하는 근린생활시설 신축공사현장에서 재해자가 3층 발코니의 콘크리트 난간(폭30CM) 턱 위에 서서 상부 보 도장작업 중 몸의 균형을 잃고 8.1M 아래 지상 콘크리트 바닥으로 추락하여 사망</t>
  </si>
  <si>
    <t>발코니에서 천정부위 도장작업 중 몸의 균형을 잃고 안전난간이 설치되지 않은 발코니 단부로 추락</t>
  </si>
  <si>
    <t>2019년 9월경 OO아파트 내·외벽균열 보수 및 재도장 공사에서 단지 내 외벽, 유리창 물청소 작업을 하기 위하여 달비계와 로프 등을 설치하던 중 약 54M 아래 지상1층으로 추락하여 사망</t>
  </si>
  <si>
    <t>옥상에서 외벽, 유리창 물청소 작업을 하기 위하여 달비계와 로프 등을 설치하던 중지상1층으로 추락</t>
  </si>
  <si>
    <t>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t>
  </si>
  <si>
    <t>환기구 위쪽으로 에어리스 도료 호스를 넘기다가 중심을 잃고 옥상 단부에서 실족하여 추락</t>
  </si>
  <si>
    <t>2021년 4월경 외벽 도장공사 현장 옥탑 상부에서 외벽도장 작업 준비 중이던 재해자가 몸의 균형을 잃고 1층 바닥(H≒13.8m)으로 추락하여 사망</t>
  </si>
  <si>
    <t>옥탑 상부에서 외벽도장 작업 준비 중이던 재해자가 몸의 균형을 잃고 1층 바닥(H≒13.8m)으로 떨어져</t>
  </si>
  <si>
    <t>2016년 2월경 OO건설 공사현장에서 재해자가 환기덕트 급기 내부(지하1층)에서 수직승강용 고정식 사다리 설치를 위한 작업 준비 중 슬라브 단부 개구부를 통해 약 13m 아래의 바닥(지하2층)으로 떨어져 사망</t>
  </si>
  <si>
    <t>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t>
  </si>
  <si>
    <t xml:space="preserve">출입구에 설치된 천막 교체작업 중 천막 끝단부를 잡고 있던 재해자가 순간 돌풍에 의해 천막과 함께 공중으로 솟구친 후 바닥으로 추락 </t>
  </si>
  <si>
    <t>▶ 비․눈․바람 또는 그 밖의 기상상태의 불안정으로 근로자가 위험해질 우려가 있는 경우 작업중지
▶ 근로자의 개인보호구 지급 및 착용상태 점검 철저</t>
  </si>
  <si>
    <t>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t>
  </si>
  <si>
    <t>슬라브 단부에서 안전난간에 기대어 하지철물의 설치위치를 표시하던 중 재해자의 하중을 견디지 못하고 안전난간이 탈락하면서 추락</t>
  </si>
  <si>
    <t>▶ 슬래브 단부 등 추락의 위험이 있는 장소에 안전난간과 추락방호망을 설치하여 불시에 안전난간이 탈락할 시, 근로자의 추락을 방지하도록 2중 안전방호조치를 실시
▶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t>
  </si>
  <si>
    <t>2017년 1월경 도시형생활주택 현장에서 재해자가 거실창호 외부에 철제 난간 설치작업 중 몸의 중심을 잃고 바닥으로 추락하여 (약 5.7m) 사망</t>
  </si>
  <si>
    <t xml:space="preserve">창호외부의 난간 설치작업 중 앵커볼트 재시공을 위해 난간을 조정하다가 난간이 이탈하면서 재해자가 함께 추락     </t>
  </si>
  <si>
    <t>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t>
  </si>
  <si>
    <t>눈과 얼음이 쌓인 외측 난간벽(폭 30cm) 상단으로 작업구간을 이동하던 중 미끄러짐에 의해 난간벽 단부로 추락</t>
  </si>
  <si>
    <t>▶ 추락할 위험이 있는 장소에서 작업 또는 이동 시 안전대 부착설비를 설치하고 안전대를 체결 후 작업토록 관리감독
▶ 편리하고 안전하게 통행할 수 있는 작업통로 설치</t>
  </si>
  <si>
    <t>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t>
  </si>
  <si>
    <t>▶ 추락 위험장소(슬래브 단부 등)에서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t>
  </si>
  <si>
    <t>2021년 6월경 아파트형 공장 212호 실내 인테리어 공사 현장에서 재해자(일용직)가 천장 패널 설치 중 바닥(H≒3.5m)으로 떨어져 사망</t>
  </si>
  <si>
    <t xml:space="preserve">천장 마감재 설치작업 중 밟고 있던 마감재의 한쪽 고정부가 파단되면서 재해자가 바닥으로 추락 </t>
  </si>
  <si>
    <t>2021년 9월경 OO디자인 OO인테리어 공사 현장에서 재해자(목공)가 2층 바닥 단부에서 벽체설치를 위한 기준선표시 작업 중 1층 바닥(H≒2.5m)으로 떨어져 사망</t>
  </si>
  <si>
    <t>슬래브 단부에서 작업 중 발을 헛디뎌 안전난간이 설치되지 않은 단부로 추락</t>
  </si>
  <si>
    <t>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t>
  </si>
  <si>
    <t>2016년 3월경 다세대주택(지상5층) 확장공사 현장에서 재해자가 옥상 요철부위 외부 보위에서 실측작업중 몸의중심을 잃고 약14m 아래 지사1층 바닥으로 떨어져 사망</t>
  </si>
  <si>
    <t>옥상 구조물 상부에서 작업 중 발을 헛디뎌 바닥으로 추락</t>
  </si>
  <si>
    <t>2016년 12월경 ㈜OO 증축공사 현장에서 재해자와 동료작업자 2명이 공장동(라동) 2층 중간 슬래브 강재판넬 설치 중 슬래브 단부 개구부로 떨어져(H≒11m) 사망</t>
  </si>
  <si>
    <t>철골구조조물 상부에서 바닥재 설치 작업 중 바닥재가 설치되지 않은 개구부를 인지하지 못하고 발을 헛디뎌 추락</t>
  </si>
  <si>
    <t>2017년 3월경 개인이 시공하는 단독주택 신축공사 현장에서, 재해자(판넬공)가 옥상층 난간 외측으로 넘어가 실리콘 작업을 하던 중, 중심을 잃고 약 12m아래 지상 바닥으로 떨어져 사망</t>
  </si>
  <si>
    <t>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t>
  </si>
  <si>
    <t>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t>
  </si>
  <si>
    <t xml:space="preserve">철거를 위해 작업대를 교량하부로 밀어 떨어뜨리던 중 작업대에 작업복이 끼이면서 함께 추락  </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</si>
  <si>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</si>
  <si>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2020년 2월경 ㈜OO이 시공하는 공장신축공사현장에서 재해자(판넬공)가 2층 벽체에 부착된 창틀을 밟고 외벽 판넬을 설치하는 작업을 한 후, 창틀에서 내려오다가 2층 슬래브에서 1층 바닥으로 떨어져(h=3.8m) 사망(추정)</t>
  </si>
  <si>
    <t>창틀에서 작업 후 슬래브로 내려오던 중 슬래브 단부에 설치된 안전네트에 발이 걸린 후 몸위 중심을 잃고 바닥으로 추락</t>
  </si>
  <si>
    <t>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t>
  </si>
  <si>
    <t>슬래브 단부에서 작업 중 발을 헛디뎌 단부로 추락</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</si>
  <si>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</si>
  <si>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</si>
  <si>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</si>
  <si>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</si>
  <si>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</si>
  <si>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</si>
  <si>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2016년 6월경 주택마당에서 재해자가 잔디를 심던 중 마당 단부에서 3m 아래 바닥으로 추락하여 사망</t>
  </si>
  <si>
    <t>마당에서 잔디를 식재하던 근로자가 마당 단부에서 지면으로 추락</t>
  </si>
  <si>
    <t>암석</t>
  </si>
  <si>
    <t>2021년 12월경 OO공사에서 재해자 등이 옹벽 거푸집 설치작업을 하던 중 절토 법면 상부(h≒8m)에서 낙하한 토석에 맞아 1명 사망 및 1명 부상</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</si>
  <si>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</si>
  <si>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</si>
  <si>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2017년 2월경 빌딩 신축공사 현장에서 재해자가 흙막이가시설 상단에서 약 12m 아래로 떨어지는 토석에 머리를 맞아 사망</t>
  </si>
  <si>
    <t>흙막이가시설 상단에서 약 12m 아래로 떨어지는 토석에 머리를 맞음</t>
  </si>
  <si>
    <t>▶ 흙막이가시설 해체작업구간 낙하에 의한 위험방지를 위해 토질에 따른 적정 기울기를 확보하여 적치하며 성토재 사면에서 낙하 위험이 있는 토석 제거
▶ 낙하물 위험구간 작업반경내 근로자 출입 통제 실시</t>
  </si>
  <si>
    <t>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</si>
  <si>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굴착상부에서 되메우기 작업을 하던 굴착기가 떨어뜨린 암석에 깔림</t>
  </si>
  <si>
    <t>▶ 작업 전 작업장 주변 위험요인 사전조사 및 위험상황 작업자 공유
▶ 낙하물 위험구간 상하 동시 작업 금지</t>
  </si>
  <si>
    <t>1.5 발파 작업</t>
  </si>
  <si>
    <t>1.5.1 발파</t>
  </si>
  <si>
    <t>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t>
  </si>
  <si>
    <t>발파 암처리(상차작업)를 위해 굴삭기에 탑승하여 대기하던 중 발파 작업으로 발생한 암석이 날아와 굴삭기 운전석에 앉아 있던 재해자의 가슴부위를 가격</t>
  </si>
  <si>
    <t>▶ 발파작업 시 비산석의 위험이 있는 지점까지 출입금지구역 설정 및 출입제한 철저
▶ 발파작업 시 위험구역 내 별도의 근로자 피난장소 설치 등 조치</t>
  </si>
  <si>
    <t>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t>
  </si>
  <si>
    <t>관로 부설을 위한 굴착 중 굴착사면과 조경석이 무너지면서 근로자 매몰</t>
  </si>
  <si>
    <t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t>
  </si>
  <si>
    <t>관 연결부 이음재료인 모르타르 비빔을 위해 인근 개울로 물을 뜨러 내려가던 중 개울에 떨어져 익사</t>
  </si>
  <si>
    <t>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</si>
  <si>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</si>
  <si>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</si>
  <si>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</si>
  <si>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</si>
  <si>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</si>
  <si>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</si>
  <si>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2016년 9월경 OO신축공사에서 미장 작업 중 현장 우측 다용도실 앞에 쓰러진 상태로 발견되어 사망</t>
  </si>
  <si>
    <t>외벽 미장작업 중 바닥에 방치되어 있는 벽돌자재를 밟고 넘어지면서 경계석에머리를 부딪힘</t>
  </si>
  <si>
    <t xml:space="preserve">▶ 작업장소에서 넘어지거나 미끄러지는 등 위험이 없도록 조치 및 정리정돈 철저
▶ 작업 전 지반상태 확인 후 고르고 평탄하게 정리 후 작업 실시 </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</si>
  <si>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</si>
  <si>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</si>
  <si>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</si>
  <si>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2017년 6월경 댐 설치사업현장에서 재해자가 돌쌓기면 줄눈 몰탈 작업하던 중 우측사면에 위치한 돌이 굴러 떨어져 머리를 가격하여 사망</t>
  </si>
  <si>
    <t>돌쌓기면 줄눈 몰탈 작업을 하던 중 우측 사면에 위치한 돌이 굴러 떨어져 근로자 머리를 가격</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</si>
  <si>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</si>
  <si>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2017년 10월경 단독주택 신축공사 현장에서 재해자가 석축쌓기 작업을 하던 중 줄걸이 해체작업 중 석축용 돌이 넘어지면서 깔려 사망</t>
  </si>
  <si>
    <t>조경 자연석 쌓기 작업 중 굴삭기 집게로 옮긴 자연석을 놓은 순간 자연석이 전도되면서 작업자 협착</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</si>
  <si>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</si>
  <si>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2018년 5월경 아파트 부대토목공사에서 재해자가 조경 자연석 쌓기 작업 중 굴착기 집게로 옮긴 자연석을 놓는 순간 자연석이 전도되면서 협착되어 사망</t>
  </si>
  <si>
    <t>2019년 3월경 석재 반출현장에서 재해자가 굴착기의 버킷에 탑승하여 암석분할 작업을 하던 중 암석이 넘어지면서 굴착기의 버킷을 타격하여 6.4m 바닥으로 추락하고 이후 굴러오는 암석에 깔려 2명 사망</t>
  </si>
  <si>
    <t>9.2.1 터널 천공</t>
  </si>
  <si>
    <t>2016년 4월경 도로 건설공사 현장에서 재해자가 터널 막장 측량 마킹작업을 하던 중 막장면에서 암석이 떨어지면서 맞아 사망</t>
  </si>
  <si>
    <t>막장면에서 암석이 떨어지면서 근로자를 강타</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</si>
  <si>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</si>
  <si>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2018년 11월경 고속국도 건설공사에서 재해자가 터널용 고소작업차에 탑승하여 부석제거작업 중 떨어지는 암석에 맞아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</si>
  <si>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</si>
  <si>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2020년 4월경 도로 건설공사에서 재해자가 굴착기로 막장면 부석정리 중 떨어지는 낙반에 맞아 사망</t>
  </si>
  <si>
    <t>2020년 11월경 철도 건설공사에서 재해자가 굴삭기를 이용하여 부석정리작업 중 천단부 부석이 무너져 매몰되어 사망</t>
  </si>
  <si>
    <t>2017년 2월경 단지 조성공사에서 재해자가 도갱내 강지보재 절단작업을 마치고 이동하던 중 막장면 일부 붕괴로 매몰되어 사망</t>
  </si>
  <si>
    <t>도갱내 강지보재 절단작업 후 밖으로 나온 순간 막장면 일부 붕괴되며 매몰</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</si>
  <si>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</si>
  <si>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엘리베이터피트</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</si>
  <si>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</si>
  <si>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2018년 8월경 OO신축공사 현장에서 재해자가 지상1층에 적재된 모래를 지상4층으로 운반하기 위하여 모래질통을 메고 지상3층 계단실을 이동하던 중 엘리베이트 피트 개구부로 추락(H≒8.5m)하여 사망</t>
  </si>
  <si>
    <t>바닥에 적재된 모래를 운반하다 엘리베이터 탑승구에 기대어 휴식하던 중 엘리베이터 피트 개구부로 추락</t>
  </si>
  <si>
    <t>▶ 개구부 등 추락단부 안전난간대 설치 등 추락방호조치 실시
▶ 현장 내 별도의 휴식공간 제공</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</si>
  <si>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</si>
  <si>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</si>
  <si>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2020년 2월경 00건설(주)에서 시공하는 다세대주택 신축공사 현장에서재해자가 지상1층 계단실 거푸집 조립작업중 엘리베이터 개구부로 넘어지면서 깊이 약 1.6.m 엘리베이터 핏트로 추락하여 사망</t>
  </si>
  <si>
    <t xml:space="preserve">추락 방지조치 미실시한 상태에서 지상층 계단실 거푸집 조립작업 중 엘리베이터 개구부로 넘어지면서 엘리베이터 피트로 근로자 추락 </t>
  </si>
  <si>
    <t>▶ 추락위험이 있는 구간에는 추락방호망, 안전난간 설치 또는 및 안전대 착용후 작업
▶ 엘리베이터 피트 내부에 작업발판 및 추락방지망 설치</t>
  </si>
  <si>
    <t>2020년 10월경 (주)00건설 근린생활시설 신축공사 현장에서 재해자가 지상2층 엘리베이터 피트 벽체거푸집 작업을 하던 중 가설 작업발판 상부에서 바닥으로 추락(H≒2m)하여 사망</t>
  </si>
  <si>
    <t xml:space="preserve">추락 방지조치 미실시한 상태에서 상부층 엘리베이터 피트 벽체거푸집 작업 중 가설 작업발판 상부에서 바닥으로 근로자 추락 </t>
  </si>
  <si>
    <t>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t>
  </si>
  <si>
    <t>2021년 3월경 OO리모델링 현장에서 윈치를 사용하여 상가건물의 2층과 3층 사이 엘리베이터 피트 개구부를 통해 레미탈 포대를 인양하는 작업 중, 약 8.2m 아래 지하층 바닥으로 추락하여 사망</t>
  </si>
  <si>
    <t>2016년 9월경 OO신축공사에서 문틀 사춤작업을 위하여 3층에서 4층으로 모래운반구를 사용하여 모래를 운반하고 다시 내려오던 중, 지상3층 엘리베이터 피트 단부에서 몸의 중심을 잃고 추락(H≒7.5m)하여 사망</t>
  </si>
  <si>
    <t>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t>
  </si>
  <si>
    <t>엘리베이터피트 개구부에 설치된 안전난간을 밟고 작업하던 중 밟고있던 안전난간이 탈락하면서 몸의 중심을 잃고 개구부로 추락</t>
  </si>
  <si>
    <t>▶ 추락 위험이 있는 장소에 비계조립으로 작업발판 설치
▶ 작업발판 설치가 곤란할 시 추락방호망 설치 
▶ 안전대 지급 및 체결</t>
  </si>
  <si>
    <t>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t>
  </si>
  <si>
    <t>엘리베이터 피트 내부에서 철근 상부에 합판을 두고 그 위에 앉아 철근을 절단하던 중 절단 철근에 걸쳐있던 합판이 기울며 추락</t>
  </si>
  <si>
    <t>▶ 엘리베이터 피트 내 작업발판용 철근제거 작업 시 철근을 하나씩 절단 및 입구방향으로 절단된 철근 이동
▶ 엘리베이터 피트 등 추락위험이 있는 장소에는 테두리로프 및 달기로프를 사용하여 안전방망 설치 
▶ 개인보호구 지급 및 착용</t>
  </si>
  <si>
    <t>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t>
  </si>
  <si>
    <t>이동 중 발을 헛디뎌 안전난간이 설치되지 않은 엘리베이터피트 개구부로 추락</t>
  </si>
  <si>
    <t>▶ 근로자가 작업 또는 이동 중 추락할 위험이 있는 장소에는 안전난간대, 추락방지망 설치 등의 안전방호조치 실시
▶ 작업자의 개인보호구, 안전대 체결여부 점검 및 관리감독</t>
  </si>
  <si>
    <t>2018년 12월경 OO(주) OO공장 증축공사 현장에서 협력업체 ㈜OO 소속 재해자가 지상 3층 승강기 측면부 판넬 마감작업 중 열려있던 승강기 개구부로 추락(H≒18.8m)하여 사망</t>
  </si>
  <si>
    <t>엘리베이터피트 출입구 주변에서 작업 중 발을 헛디뎌 출입문이 개방된 피트 개구부로 추락</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</si>
  <si>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</si>
  <si>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</si>
  <si>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</si>
  <si>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</si>
  <si>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</si>
  <si>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안전난간이 미설치된 바닥 개구부 주변 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</si>
  <si>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</si>
  <si>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t>
  </si>
  <si>
    <t>엘리베이터 피트 내부에서 자재 및 공구 운반 또는 이동, 설치작업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</si>
  <si>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</si>
  <si>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t>
  </si>
  <si>
    <t>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t>
  </si>
  <si>
    <t>2021년 12월경 OO도 OO군 소재 OO공장 신축공사 현장에서, 화물용 승강기 피트 내부에서, 이동하던 재해자가 작업발판과 구조물 사이로 떨어져(H≒18m) 병원으로 후송, 치료 중 사망함.</t>
  </si>
  <si>
    <t>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t>
  </si>
  <si>
    <t>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t>
  </si>
  <si>
    <t>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t>
  </si>
  <si>
    <t>준설선을 고정하는 닻줄이 파단되어 닻줄을 회수하기 위해 굴착기를 이용하여 끌어당기던 중 닻줄에 걸려 넘어짐</t>
  </si>
  <si>
    <t>▶ 굴삭기 주용도 외 사용
▶ 해당 작업자 외 근로자 작업반경내 출입의 금지</t>
  </si>
  <si>
    <t>열사병</t>
  </si>
  <si>
    <t>폭염</t>
    <phoneticPr fontId="37" type="noConversion"/>
  </si>
  <si>
    <t>2018년 7월경 OO빌딩 신축공사 현장에서 재해자가 점심식사 후 휴식 중 점심식사 장소 뒤편 주차장 소나무 그늘 아래에서 쓰러져 사망</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</si>
  <si>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</si>
  <si>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태양광 모듈패널 설치 작업 후 현장 뒷정리 작업 중 어지러움 증세를 느껴 앉아서 휴식을 취하던 중 쓰러짐</t>
  </si>
  <si>
    <t>유해위험기계기구</t>
  </si>
  <si>
    <t>절단기/톱</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</si>
  <si>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</si>
  <si>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연삭공구의 성능을 확인 위해 해저케이블 절단 시험을 하던 중 절단 숫돌이 파괴되면서 날아오는 파편에 얼굴 안면부를 맞아 사망</t>
  </si>
  <si>
    <t>▶ 연삭기 최고사용회전속도 초과 사용 금지
▶ 유압 연삭기 방호덮개 설치</t>
  </si>
  <si>
    <t>용접(단)기</t>
  </si>
  <si>
    <t>2020년 6월경 OO현장 하행선 피난갱 구간에서 터널 침수구간 복구작업을 위한 수중용단 작업 중 수중폭발에 의한 충격으로 재해자 사망</t>
  </si>
  <si>
    <t>터널 침수구간 복구작업을 위해 수중용단 작업 중 수중폭발에 의한 충격으로 재해자 사망</t>
  </si>
  <si>
    <t>▶ 용단 구간 상부 구조물 및 기체 체류부 제거를 통한 폭발 또는 화재 예방
▶ 벤트부 천공 계획 수립 및 사전 안전점검, 위험성 평가 실시</t>
  </si>
  <si>
    <t>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t>
  </si>
  <si>
    <t>근로자가 휴대용 엔진절단기를 사용하여 우수관로를 절단 작업 중 휴대용 엔진 절단기가 튀어 오르면서 근로자를 강타</t>
  </si>
  <si>
    <t>▶ 엔진절단기 사용시 절단 작업 중 회전날 노출이 최소화 되도록 날 접촉예방장치 보완 설치
▶ 엔진절단기 사용시 물체를 고정한 상태에서 작업을 수행하며 물체에 크기에 따른 엔진절단기 장비 사용</t>
  </si>
  <si>
    <t>2018년 7월경 OO(주) OO지구 지중화 정비 현장에서 재해자가 기계톱을 사용하여 토류판 절단작업 중 토류판에 끼인 톱날을 빼다가 톱날에 목 부위를 베여 사망</t>
  </si>
  <si>
    <t>토류판 절단 작업 중 토류판에 끼인 톱날을 빼다가 톱날에 목 부위를 베어 사망</t>
  </si>
  <si>
    <t>▶ 기계톱을 사용하여 토류판 절단작업 중 토류판이 내려앉아 톱날이 끼이지 않도록 톱날 양측에 받침목 설치
▶ 기계톱을 사용 전 취급방법 숙지 및 방호장치 설치</t>
  </si>
  <si>
    <t>12.3.5 가설전기(교류아크용접기)</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</si>
  <si>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</si>
  <si>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</si>
  <si>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</si>
  <si>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</si>
  <si>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</si>
  <si>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</si>
  <si>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</si>
  <si>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</si>
  <si>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</si>
  <si>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</si>
  <si>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화재 위험 방지조치 미실시한 상태로 옥상에서 갱폼 수평부재 용단작업 중 발생된 불티에 의해 하부층의 부직포에 화재가 발생하고, 같은층 천장의 단열재와 비계 외부의 분진망으로 불이 확산되어 근로자 화상 </t>
  </si>
  <si>
    <t>▶ 용단작업 등 화재위험 작업 시 불티 비산방지 덮개, 용접방화포 등 설치
▶ 금속부재 절단 시 화재발생 위험이 적은 핸드그라인더 등 사용</t>
  </si>
  <si>
    <t>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t>
  </si>
  <si>
    <t>외벽 석재 시공 및 하지철물 설치를 위한 용접작업 중 용접 불티가 단열재에 비산하면서 화재 및 유독가스 발생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</si>
  <si>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</si>
  <si>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2021년 2월경 OO건축이 시공하는 개인주택 추가공사 현장에서 재해자가 지상 2층 발코니 단열재 작업을 위해 벽체에 설치된 합판을 절단하는 과정에 절단용 전동공구의 톱날에 좌측 다리를 베인 후 사망</t>
  </si>
  <si>
    <t xml:space="preserve">공구 제원에 맞지 않는 톱날을 장착하여 절단 작업 중 킥백(kick back) 현상에 의해 톱날에 다리를 베임    </t>
  </si>
  <si>
    <t xml:space="preserve">▶ 작업도구 등의 목적 외 사용 금지
▶ 절단용 전동공구 사용 시 방호덮개 등 톱날접촉 예방장치 설치 및 관리감독 </t>
  </si>
  <si>
    <t>2020년 1월경 OO공사에서 재해자가 이동식 사다리 아래에서 작업을 준비하던 중 사다리 고정핀에 걸어둔 해머드릴이 낙하하면서 재해자 얼굴에 맞아 사망</t>
  </si>
  <si>
    <t>사다리 아래에서 작업준비 중 원인미상의 이유로 힌지 고정장치에 걸어둔 해머드릴의 낙하에 의한 두부 강타</t>
  </si>
  <si>
    <t>▶ 근로자 출입금지구역 설정 등 낙하물 방지조치 실시
▶ 상부 작업자는 휴대용 공구함을 착용하여 공구 적재</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</si>
  <si>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</si>
  <si>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</si>
  <si>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</si>
  <si>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</si>
  <si>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</si>
  <si>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t>
  </si>
  <si>
    <t>승강기 해체를 위해 PIT 하부에서 카와 균형추에 연결된 로프를 용단하던 중 상부에 위치한 카가 낙하하며 깔림</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</si>
  <si>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</si>
  <si>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이동식비계</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</si>
  <si>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</si>
  <si>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</si>
  <si>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</si>
  <si>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</si>
  <si>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</si>
  <si>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</si>
  <si>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t>
  </si>
  <si>
    <t>2021년 3월경 OO건설(주) OO신축공사 현장에서 재해자가 이동식비계 상부에서 지하1층 보측면의 거푸집 지지물(Flat Tie) 제거작업후 내려오던중 바닥(H=1.5m)으로 떨어져 사망</t>
  </si>
  <si>
    <t>2017년 10월경 ㈜OO에서 시공하는 OO 골프망 증설 공사현장에서 이동식비계위에서 실내골프망 설치작업을 하던 재해자가 실내벽 골프망 고정용 강구조물(Ø60.5＊2.4t, L=4.5m) 설치작업 중 약 1.8m 하부 바닥면으로 떨어져 사망</t>
  </si>
  <si>
    <t xml:space="preserve">최상부에 안전난간이 설치되지 않고 작업발판이 한 개만 설치된 이동식비계위에서 실내골프망 설치작업을 하던 근로자가 실내벽 골프망 고정용 강구조물 설치작업 중, 몸의 중심을 잃고 추락 </t>
  </si>
  <si>
    <t>▶ 근로자가 추락할 위험이 있는 장소에서 작업 시 작업발판 설치, 작업발판 단부 안전난간대 설치 준수
▶ 근로자가 추락할 위험이 있는 장소에서 작업 할 경우 안전모 및 안전대를 착용
▶ 이동식비계 이용 작업 시 상부 전면에 걸쳐 작업발판 설치, 외측 안전난간 확보여부를 관리감독자가 필수 점검</t>
  </si>
  <si>
    <t>2018년 10월경 OO건설에서 시공하는 축사 신축 공사 현장에서 재해자(용접공)가 축사 철골 조립작업을 위해 이동식비계 2단 작업발판 상부에서 용접 작업 중 지면으로 떨어져 (h=3.2m) 사망</t>
  </si>
  <si>
    <t>안전난간이 설치되지 않은 이동식비계 상부 작업발판에서 철골 용접 작업 중 몸의 중심을 잃고 지면으로 추락</t>
  </si>
  <si>
    <t>▶ 이동식비계를 조립하여 작업 시 추락위험 방지를 위해 비계 상부에 안전난간 설치
▶ 이동식비계에서 작업 시 안전대 부착설비 설치 및 안전대 착용
▶ 개인보호구 지급 및 착용</t>
  </si>
  <si>
    <t>2019년 3월경 OOO(개인) 신축공사 현장에서 재해자(용접공)가 이동식비계 상부 작업발판에서 가용접된 철골 보와 철골기둥을 본 용접작업을 하던 중 약 1.8m 콘크리트 바닥으로 떨어져 사망</t>
  </si>
  <si>
    <t>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t>
  </si>
  <si>
    <t>조적작업을 하기 위해 이동식비계를 인력으로 밀어서 옮기던 중 비계 상부가 구조물에 걸린 후 전도되면서 깔림</t>
  </si>
  <si>
    <t>▶ 비계의 조립ㆍ해체 및 변경 시 관리감독자 지휘하에 작업 진행
▶ 조립ㆍ해체 또는 변경의 시기ㆍ범위 절차를 그 작업에 종사하는 근로자에게 주지</t>
  </si>
  <si>
    <t>2021년 3월경 OO증축공사에서 방호옹벽의 면처리 작업 중 이동식비계에서 추락하여 사망</t>
  </si>
  <si>
    <t>이동식비계 위에서 미장, 견출 작업 중 몸의 중심을 잃고 안전난간이 설치되지 않은 작업발판 단부로 추락</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</si>
  <si>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</si>
  <si>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2016년 4월경 OO건설이 시공하는 OO사옥 신축공사 현장 지상 3층에서 조적공인 재해자가 이동식비계(2단)에서 조적작업을 진행하던 중 몸의 중심을 잃고 실족하면서 약 3.4m 아래 콘크리트 바닥으로 떨어져 사망</t>
  </si>
  <si>
    <t>이동식비계 위에서 몸의 중심을 잃고 안전난간이 설치되지 않은 작업발판 단부로 추락</t>
  </si>
  <si>
    <t>2017년 9월경 OO건설 공사현장에서 재해자가 아파트 O동 지하1층 제연휀룸 내 설치된 이동식비계 1단 하부 콘크리트 바닥에 쓰러져 사망</t>
  </si>
  <si>
    <t>2019년 2월경 OO신축공사에서 이동식 비계 작업발판 위에서 외벽 벽돌 줄눈작업 중 이동식 비계가 넘어지면서 약 1.7m 콘크리트 바닥으로 추락하여 2명 부상</t>
  </si>
  <si>
    <t>발바퀴 및 아웃트리거가 설치되지 않은 이동식비계를 이용하여 외벽의 조적 줄눈작업을 하던 중 비계가 전도하면서 추락</t>
  </si>
  <si>
    <t>▶ 이동식비계 작업 시 갑작스러운 이동 또는 전도방지를 위하여 발바퀴 고정 및 아웃트리거 설치 등 전도방지조치
▶ 추락할 위험이 있는 장소에서 작업 시 개인보호구 착용 철저</t>
  </si>
  <si>
    <t>2019년 10월경 OO신축공사에서 지상 7층 주방 벽체 벽돌쌓기 작업 중 이동식 비계 작업발판 위에서 몸의 중심을 잃고 약 2.6미터 아래 콘크리트 바닥으로 추락하여 사망</t>
  </si>
  <si>
    <t>2016년 6월경 OO신축공사에서 지하1층 이동식비계(2단) 상부에서 콘크리트 벽체(H:5∼6m) 거푸집고정용 철선을 핸드그라인더로 절단하고 내려오다 발을 헛딛어 약 3.5m 아래 콘크리트 바닥으로 추락하여 사망</t>
  </si>
  <si>
    <t xml:space="preserve">견출작업 후 이동식비계에서 내려오던 중 실족으로 추락 </t>
  </si>
  <si>
    <t xml:space="preserve">▶ 이동식비계 내부에 수직 사다리 등 안전한 승강통로 확보
▶ 발바퀴 고정 및 아웃트리거를 설치하여 이동식 비계의 흔들림 방지 조치 </t>
  </si>
  <si>
    <t>2018년 3월경 OO신축공사에서 지하1층 제연 휀룸 내 이동식비계(2단) 위에서 내부 견출작업 중 이동식비계에서 이동하다가 미끄러지면서 바닥으로 추락하여(H≒3.5m) 사망</t>
  </si>
  <si>
    <t>2018년 12월경 OO증축공사에서 틀비계 작업발판(1단, 높이 1.7m) 상부에서 미장작업 중 약 45cm 정도의 작업발판과 벽체 사이를 통해 바닥으로 추락하여 사망</t>
  </si>
  <si>
    <t>2019년 5월경 OO신축공사에서 이동식비계 등 작업발판 위에서 세대 내부 견출작업 중, 추락(H≒1.8m 혹은 2.6m)하여 사망</t>
  </si>
  <si>
    <t>2019년 7월경 OO신축공사에서 지하1층 천장 견출작업을 위해 이동식비계 작업발판 위에서 전원선 설치 등 준비작업 중 2.15m 아래 콘크 리트 바닥으로 추락하여 사망</t>
  </si>
  <si>
    <t>2021년 9월경 OO신축공사에서 5층 이동식비계 위에서 기둥 및 천장슬래브 견출작업 중 이동식비계가 넘어지며 바닥으로 추락하여(H≒2.2m) 사망</t>
  </si>
  <si>
    <t>2018년 7월경 OO(주) OO센터 건설공사 현장에서 재해자가 지하2층에 설치된 이동식비계 2단 작업발판에서 방수작업을 하던 중 몸의 중심을 잃고 3.55m 아래 콘크리트 바닥으로 추락하여 사망</t>
  </si>
  <si>
    <t>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t>
  </si>
  <si>
    <t>이동식비계 위에서 도장작업 중 몸의 균형을 잃고 안전난간이 설치되지 않은 작업발판 단부로 추락</t>
  </si>
  <si>
    <t>2017년 11월경 도장공사 현장에서 재해자가 이동식비계 위에서 실내 벽면 및 천정 도장 작업을 위한 퍼티 작업 중, 약 1.6m아래 바닥으로 추락하여 사망</t>
  </si>
  <si>
    <t>이동식비계 위에서 작업 중 몸의 균형을 잃고 안전난간이 설치되지 않은 작업발판 단부로 추락</t>
  </si>
  <si>
    <t>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t>
  </si>
  <si>
    <t>2018년 12월경 OO공장 증축공사 현장에서 내화페인트공사 협력업체 소속 재해자가 지상3층 내부 철골 내화페인트 뿜칠작업을 진행하던 중, 이동식비계 작업발판 위에서 약 1.5m 콘크리트 바닥으로 추락하여 사망</t>
  </si>
  <si>
    <t>2020년 5월경 개인 식당에서 재해자가 이동식틀비계(H≒1.7m)에서 시스템냉난방기 도색 작업 중 추락하여 사망</t>
  </si>
  <si>
    <t>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t>
  </si>
  <si>
    <t>이동식비계 위에서 도장 작업 중 몸의 균형을 잃고 안전난간이 설치되지 않은 작업발판 단부로 추락</t>
  </si>
  <si>
    <t>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t>
  </si>
  <si>
    <t>2020년 11월경 옥상 도장공사 현장에서 재해자가 이동식 비계의 최상부 작업발판(높이: 3.2m) 위에서 옥상 파라펫 도장작업을 하던 중 약 3.2m아래 콘크리트 바닥으로 추락하여 사망</t>
  </si>
  <si>
    <t>2016년 1월경 OO공장 철도창고 셧터교체 현장에서, 재해자가 이동식비계 최상부에서 셔터 해체작업 중 셔터가 이동식 비계 최상단으로 낙하하여 그 충격으로 인해 재해자가 3m 아래 바닥으로 추락하여 사망</t>
  </si>
  <si>
    <t>로프 안전난간을 설치한 이동식비계에서 작업 중 설치부재가 작업발판으로 낙하하면서 그 충격에 의해 작업발판 단부로 추락</t>
  </si>
  <si>
    <t>▶ 이동식 비계 조립 사용 시 견고한 안전난간 설치
▶ 이동식 비계 난간이 아닌 견고한 구조물 상부에 안전대를 체결하고 작업 
▶ 개인보호구 지급 및 착용</t>
  </si>
  <si>
    <t>2017년 7월경 OOOOO 인테리어 공사 현장에서 재해자가 이동식비계 2단 발판 상부(H≒3.7m)에서 경량철골 천장틀 설치작업 중 이동식비계가 넘어가면서 아래로 떨어져 머리를 부딪혀 사망</t>
  </si>
  <si>
    <t>이동식비계에서 작업 중 몸의 반동으로 비계 위치를 이동시키려다 슬래브간 단차부위에 바퀴가 빠지면서 전도되어 재해자가 몸의 중심을 잃고 추락</t>
  </si>
  <si>
    <t>▶ 이동식비계 작업시 브레이크, 쐐기 등으로 바퀴를 고정시키고 아웃트리거를 설치하여 전도방지조치 준수
▶ 이동식비계를 사용할 작업장 바닥의 단차, 요철 등을 제거하여 바닥을 청결하게 유지</t>
  </si>
  <si>
    <t>2018년 10월경 축사 개축공사 현장에서 재해자가 이동식비계 2단에서 처마물받이 설치를 위해 자재를 받들고 있던 중 떨어져(H≒3.5m) 사망</t>
  </si>
  <si>
    <t>안전난간이 설치되지 않은 이동식비계 상부 작업발판에서 작업 중 몸의 중심을 잃고 지면으로 추락</t>
  </si>
  <si>
    <t>▶ 견고한 작업발판 사용 및 이동식비계 안전난간 설치
▶ 근로자 개인보호구(안전모, 안전대) 지급 및 착용</t>
  </si>
  <si>
    <t>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t>
  </si>
  <si>
    <t>안전난간을 설치하지 않은 이동식비계에서 작업 중 발을 헛디뎌 주변 개구부로 추락</t>
  </si>
  <si>
    <t>2020년 8월경 빗물받이공사 현장에서 재해자가 빗물받이 설치를 위해 작업을 하던 중 이동식비계 작업발판 상부에서 지상 바닥으로 추락(H≒3m)하여 사망</t>
  </si>
  <si>
    <t>이동식비계에서 작업 중 발을 헛디뎌 안전난간을 설치하지 않은 작업발판 단부로 추락</t>
  </si>
  <si>
    <t>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t>
  </si>
  <si>
    <t>이동식비계에서 양손으로 자재를 들어올리던 중 몸의 중심을 잃고 안전난간이 설치되지 않은 작업발판 단부로 추락</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</si>
  <si>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해체해야할 경우, 관리감독자 등 감시자 배치 및 근로자 안전대 체결여부 관리감독
▶ 이동식비계 승하강용 사다리 이용하여 이동 시, 작업자 실족 및 추락방지 하기 위한 작업장 조도 확보(적절한 조명기구 설치 등)
▶ 작업자의 개인보호구, 안전대 체결여부 점검 및 관리감독</t>
  </si>
  <si>
    <t>2017년 4월경 ㈜OO OO실험동 신축공사 현장에서, 소속 재해자(뿜칠공)가 실험동 3층에서 천정 단열재 퍼티작업으로 사용 예정이던 이동식 비계 하부에 쓰러져 있는 상태로 발견되어 치료 중 사망</t>
  </si>
  <si>
    <t>이동식비계에서 작업 중 발을 헛디뎌 안전난간이 설치되지 않은 작업발판 단부로 추락</t>
  </si>
  <si>
    <t>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t>
  </si>
  <si>
    <t>이동식비계에서 내려오던 중 발을 헛디뎌 바닥으로 추락</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</si>
  <si>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</si>
  <si>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9월경 OO건설에서 시공하는 아파트 건설공사 현장에서 재해자가 지상 4층 내부 벽체의 모서리 비드 설치를 위해 이동식비계 오르던 중 몸의 중심을 잃고 약 1.0m 아래 콘크리트 바닥으로 추락하여 사망</t>
  </si>
  <si>
    <t>승하강용 사다리가 미설치된 이동식비계에 오르던 중 추락</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</si>
  <si>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</si>
  <si>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</si>
  <si>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2019년 2월경 OO빌딩 내장공사 현장에서 재해자(내장공)가 이동식비계 위에서 천장 마감예정 부위의 석고보드 크기 측정 중, 몸의 중심을 잃고 벽체(석고보드)에 머리를 부딪히며 약 1.3m 아래의 바닥으로 추락하여 사망</t>
  </si>
  <si>
    <t>이동식비계에서 작업발판 외부로 몸을 내밀어 한발로 딛고 선 자세에서 작업하던 중 몸의 중심을 잃고 벽체에 머리를 부딪힌 후 안전난간이 설치되지 않은 작업발판 단부로 추락</t>
  </si>
  <si>
    <t>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t>
  </si>
  <si>
    <t xml:space="preserve">발 바퀴 미고정 및 아웃트리거 설치불량 상태에서 이동식비계를 연장하여 조립하던 중 작업하중 등에 의해 이동식비계가 전도되어 추락     </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</si>
  <si>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</si>
  <si>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2020년 11월경 개인이 직영으로 공사하는 단독주택 신축공사 현장에서 재해자(도배공)이 지상 2층에서 이동식비계를 사용하여 천장(높이 약 3.5m) 도배작업을 하던 중 실족하여 높이 약 1.7m 아래 바닥으로 추락하여 사망</t>
  </si>
  <si>
    <t>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t>
  </si>
  <si>
    <t>이동식비계에서 내려오던 중 발이 미끄러져 뒤로 넘어지면서 말비계에 머리를 부딪힘</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</si>
  <si>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</si>
  <si>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2016년 2월경 철물점 개·보수공사 현장에서 재해자가 이동식 비계(2단)를 사용하여 벽체 함석판넬 도색작업을 하던 중 틀비계 상부에 설치된 작업발판(높이 약 3m)에서 떨어져 사망</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</si>
  <si>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해체하여 작업할 경우, 근로자 안전대 착용 및 체결여부 확인을 위한 관리감독자 배치 등 관리감독
▶ 이동식비계 승하강용 사다리 이용하여 이동 시, 작업자 실족 및 추락방지 하기 위한 작업장 조도 확보(적절한 조명기구 설치 등)
▶ 작업자의 개인보호구, 안전대 체결여부 점검 및 관리감독</t>
  </si>
  <si>
    <t>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t>
  </si>
  <si>
    <t xml:space="preserve">이동식비계를 이용해 지붕위로 올라가던 중, 이동식비계가 넘어지며 근로자 추락 </t>
  </si>
  <si>
    <t>▶ 지붕 위로 이동작업 시 가설통로 설치
▶ 경사가 30° 이상일 경우 계단 설치 및 추락위험 장소에는 안전난간 설치
▶ 이동식 비계 설치 시 전도방지를 위해 견고한 시설물에 고정 또는 아웃트리거 사용
▶ 개인보호구 지급 및 착용</t>
  </si>
  <si>
    <t>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t>
  </si>
  <si>
    <t>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t>
  </si>
  <si>
    <t>2020년 3월경 농기계창고 신축공사 현장에서 재해자(패널공)가 지붕패널 설치작업 후 이동식 비계의 디딤대 부분을 밟고 내려오던 중, 발을 헛딛으면서 하부 콘크리트 바닥으로 추락(H≒1.7m)하여 사망</t>
  </si>
  <si>
    <t>이동식비계에서 내려오던 중 발을 헛디뎌 추락</t>
  </si>
  <si>
    <t>▶ 이동식비계에 승, 하강 시 지정된 통로(승하강용 사다리)를 이용
▶ 이동식비계 승하강용 사다리 이용하여 이동 시 작업자 실족 및 추락방지 하기 위한 작업장 조도 확보(적절한 조명기구 설치 등)
▶ 작업자의 개인보호구, 안전대 체결여부 점검 및 관리감독</t>
  </si>
  <si>
    <t>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</si>
  <si>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작업 중 인근에서 작업중이던 이동식비계가 전도되면서 사다리와 충돌하여 재해자가 몸의 중심을 잃고 추락</t>
  </si>
  <si>
    <t>▶ 이동식비계 조립 시 아웃트리거 지지, 구름방지장치 등 설치기준을 준수하여 전도방지 조치 철저
▶ 이동식비계 부재(주틀, 안전난간, 발바퀴, 아웃트리거 등)는 방호장치 안전인증 기준에 적합한 제품을 사용
▶ 고소작업 시 사다리 사용을 지양하고, 비교적 안전한 시저형 고소작업대 또는 이동식 비계를 기준에 맞게 설치하여 작업 실시</t>
  </si>
  <si>
    <t>2021년 5월경 단독주택 신축공사 현장에서 재해자가 주택 내부 천장 패널 설치작업 중 안전난간이 설치되지 않은 이동식비계 작업발판에서 바닥(H≒1.4m)으로 떨어져 사망</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</si>
  <si>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</si>
  <si>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</si>
  <si>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</si>
  <si>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 xml:space="preserve">2015년 4월경 OO공사에서 재해자가 천장 조명배관 설치 작업준비 중 이동식비계(1단)에서 내려오다가 바닥으로 추락하여 사망 </t>
  </si>
  <si>
    <t>천장 조명배관 설치 작업 중 이동식비계에서 내려오다가 바닥으로 추락</t>
  </si>
  <si>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</si>
  <si>
    <t xml:space="preserve">2017년 4월경 OO공사에서 재해자가 안전난간이 설치되지 않은 이동식 비계(2단) 위에서 임시로 고정된 전선의 결속선(φ2mm, 구리)을 절단하던 중 몸의 중심을 잃고 바닥으로 추락하여(H≒3.6m) 사망 </t>
  </si>
  <si>
    <t>이동식 비계 위에서 임시고정된 전선의 결속선 절단 중 몸의 중심을 잃고 바닥으로 추락</t>
  </si>
  <si>
    <t>2019년 2월경 OO공사에서 재해자가 이동식비계 작업발판에서 센서 교체 작업을 확인하던 중 바닥으로 추락하여(H≒3m) 사망</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</si>
  <si>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</si>
  <si>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</si>
  <si>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</si>
  <si>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</si>
  <si>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</si>
  <si>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</si>
  <si>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</si>
  <si>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</si>
  <si>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</si>
  <si>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</si>
  <si>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</si>
  <si>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</si>
  <si>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</si>
  <si>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</si>
  <si>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</si>
  <si>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2018년 8월경 ㈜OO에서 시공하는 간선도로 건설공사 현장에서 재해자가 양감IC 영업소 1층 식당 천정 위생배관을 진행하고 이동식 비계 1단에서 내려오던 중 추락(약2.3m)하여 사망</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</si>
  <si>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</si>
  <si>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</si>
  <si>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</si>
  <si>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</si>
  <si>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</si>
  <si>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</si>
  <si>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</si>
  <si>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</si>
  <si>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2018년 7월경 지하철 운행구간 터널 내부에서 보강공인 재해자가 작업대차(이동식비계) 상부에서 처장면 보강마감면 도포작업 중 실족, 철도 레일 측면 콘크리트 바닥으로 추락(H=3.5m)하여 사망</t>
  </si>
  <si>
    <t>안전난간이 미설치된 작업대차에서 작업 중 실족하여 근로자 추락</t>
  </si>
  <si>
    <t>▶ 작업대차 상부에서 보강공사 작업 중 작업발판 면적을 확장하는 경우 단부 방향으로 추락하지 않도록 기준에 적합하게 설치
▶ 안전대 부착설비 설치 및 안전대 착용</t>
  </si>
  <si>
    <t>작업발판/가설계단</t>
  </si>
  <si>
    <t>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</si>
  <si>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안전난간이 미설치된 작업발판 단부에서 이동 중 실족하여 추락</t>
  </si>
  <si>
    <t>▶ 추락할 위험이 있는 작업 시 가설 작업발판을 설치, 안전난간 또는 안전대 부착설비 설치 등 추락방지조치 실시
▶ 추락할 위험이 있는 작업 시 근로자에게 안전대 지급 및 착용상태 확인</t>
  </si>
  <si>
    <t>2016년 4월경 공장부지 옹벽공사 현장에서 재해자가 거푸집 조립작업 중 2.4m 높이의 작업발판에서 추락하여 사망</t>
  </si>
  <si>
    <t>▶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</si>
  <si>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</si>
  <si>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</si>
  <si>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</si>
  <si>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</si>
  <si>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</si>
  <si>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</si>
  <si>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</si>
  <si>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안전대를 착용하지 않고 비계 작업발판 설치 작업 중 몸의 중심을 잃고 작업발판 단부로 추락</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</si>
  <si>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</si>
  <si>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</si>
  <si>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</si>
  <si>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2016년 11월경 OO드라마타운 건립 캣워크 설치공사 현장에서 재해자가 캣워크 발판 설치작업의 진행 상황 확인 및 작업지시를 위해 이동 중 캣워크 발판에서 약 19.5m 아래 지상 바닥으로 떨어져 사망</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</si>
  <si>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</si>
  <si>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안전대를 착용하지 않고 비계 해체 작업 중 몸의 중심을 잃고 작업발판 단부로 추락</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</si>
  <si>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</si>
  <si>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</si>
  <si>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</si>
  <si>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</si>
  <si>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</si>
  <si>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</si>
  <si>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</si>
  <si>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</si>
  <si>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2017년 6월경 고속국도 건설공사 현장에서 재해자가 터널 시점부 갱문 좌측 옹벽 비계설치작업을 진행하던 중 외부비계 작업발판 단부에서 높이 3.8m 아래 콘크리트 바닥으로 떨어져 사망</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</si>
  <si>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</si>
  <si>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</si>
  <si>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</si>
  <si>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</si>
  <si>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</si>
  <si>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2016년 10월경 OO건설에서 시공하는 OO교회 신축공사(토목공사)현장에서 재해자가 지하2층으로 내려가는 가설계단 철거작업중 높이 약7.3m 지하2층 콘크리트바닥으로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</si>
  <si>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</si>
  <si>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</si>
  <si>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2018년 10월경 OO공장 내 안전통로 및 안전난간대 개선공사 현장에서 재해자가 천정크레인 이동통로의 바닥발판을 교체하던 작업을 하던중 실족하여 높이 약 27m 지상아래 바닥으로 떨어져 사망</t>
  </si>
  <si>
    <t>2019년 4월경 OO 청사 증축 현장 내 재해자 2명이 지하3층 구간의 가설계단 수정 및 안전난간 연결 작업 중 가설계단이 무너지며 바닥으로 떨어져(h≒3.0m, 2.0m) 3개월 이상의 요양이 필요한 부상</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</si>
  <si>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</si>
  <si>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</si>
  <si>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</si>
  <si>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</si>
  <si>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 xml:space="preserve">2018년 6월경 OO건설(주) 주민센터 신축공사 현장 지상 1층에서 협력업체 소속 재해자가 작업발판 상에서 보 거푸집을 조립하던 중, 몸의 중심을 잃고 약 5.9M 아래 지하1층 바닥으로 추락하여 사망 </t>
  </si>
  <si>
    <t>개구부 구간 추락방지조치 미실시한 상태에서 엘리베이터 실외벽 거푸집조립 작업 중 작업발판 미고정으로 중심을 잃고 근로자 추락</t>
  </si>
  <si>
    <t xml:space="preserve">▶ 비계조립 시 건물벽체와 비계 틈 사이가 발생하지 않도록 설치
▶ 작업여건 상 틈 사이가 발생 된 경우 추락 방지를 위한 안전방망 설치
▶ 추락위험이 있는 작업장소에 작업발판 설치 시 규정에 부합하는 안전난간 설치 </t>
  </si>
  <si>
    <t>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t>
  </si>
  <si>
    <t>재해자가 4층 엘</t>
  </si>
  <si>
    <t>재해자가 4층 엘리베이터(Elevator)실 외벽 거푸집조립 작업 또는 이동 중, 몸의 중심을 잃고 실족하여 건물 외벽과 비계 틈(40cm)을 통해, 약 9.6m 아래 지상1층 콘크리트 바닥으로 떨어져 사망</t>
  </si>
  <si>
    <t>2016년 12월경 OO신축공사 현장의 OO동 지상 4층 시스템동바리 상부에 설치된 작업발판(높이: 약 4.7m)에서 보 형틀 조립작업을 하던 재해자가 작업을 마치고 내려오던 중 추락하여 사망</t>
  </si>
  <si>
    <t>수직통로 유지관리 불량한 상태에서 지상층 시스템동바리 상부에 설치된 작업발판에서 보 형틀 조립작업 후 사다리 설치부 하단에 통로형 작업발판이 세워져 있어 옆으로 이동하여 내려오던 중 추락</t>
  </si>
  <si>
    <t xml:space="preserve">▶ 근로자 사용 통로는 안전한 상태로 항상 사용할 수 있도록 유지
▶ 근로자 이동 중 안전대 착용 등 안전조치 준수 </t>
  </si>
  <si>
    <t>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t>
  </si>
  <si>
    <t>비계 작업발판의 고정이 불량하여 작업발판이 탈락되면서 추락</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</si>
  <si>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</si>
  <si>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t>
  </si>
  <si>
    <t>추락 방지조치 미실시한 상태의 시스템동바리 수평연결재 상부에서 작업보조대 나사못 체결작업을 하던 중 작업보조대가 회전하면서 지상으로 근로자 추락</t>
  </si>
  <si>
    <t xml:space="preserve">▶ 추락위험이 있는 구간에는 추락방호망, 안전난간 설치 또는 및 안전대 착용후 작업
▶ 안전난간 설치 기준 준수하여 설치 및 관리감독자 확인 </t>
  </si>
  <si>
    <t>2019년 11월경 (주)OO 소속 재해자 2명이 목재로 만든 임시 작업발판 위에서 지상4층 계단실 벽체 거푸집 조립작업 중 목재 작업발판이 무너지면서 계단실 슬래브 위로 떨어져 부상</t>
  </si>
  <si>
    <t>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t>
  </si>
  <si>
    <t>추락 방지조치 미실시한 상태의 시스템동바리 수평연결재에 설치된 작업발판에서 보 거푸집 긴결재 불량품 교체를 위하여 이동하던 중 실족하여 근로자 추락</t>
  </si>
  <si>
    <t>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t>
  </si>
  <si>
    <t>안전난간의 설치요건 및 개구부 방호조치 미실시한 상태에서 지하층 자재반출구 내부에 임시로 설치된 작업발판 위에서 기둥 거푸집 지지대 설치 중 중간난간대가 난간기둥에서 탈락하여 근로자 추락</t>
  </si>
  <si>
    <t>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</si>
  <si>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추락 방지조치 미실시한 상태에서 지상층에서 알미늄폼 해체작업을 위해 상부층 보 하부 거푸집을 제거하는 작업 중 시스템동바리에 임시로 설치한 작업발판이 고정되지 않아 흔들리면서 중심을 잃고 떨어짐</t>
  </si>
  <si>
    <t>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t>
  </si>
  <si>
    <t>추락방지조치 미실시한 상태에서 지상층 돌출 슬라브 단부에서 거푸짐 해체를 위해 유로폼 고정용 철선 절단작업 중 중심을 잃고 추락</t>
  </si>
  <si>
    <t>▶ 돌출 슬라브 단부 등 추락 가능성이 있는 장소에서의 작업 시 쌍줄비계를 조립하는 방법으로 작업발판을 설치
▶ 추락위험이 있는 구간에는 추락방호망, 안전난간 설치 또는 및 안전대 착용후 작업</t>
  </si>
  <si>
    <t>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t>
  </si>
  <si>
    <t>엘리베이터실 내부 작업발판 지지구조 불량한 상태에서 엘리베이터실 내부 알루미늄 거푸집을 해체하여 작업발판에 적재하던 중 작업발판을 지지하던 철근이 콘크리트 벽체에서 탈락됨에 따라 근로자 추락</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</si>
  <si>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</si>
  <si>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t>
  </si>
  <si>
    <t>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</si>
  <si>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</si>
  <si>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2020년 5월경 OO건설(주)에서 시공 중인 OO근생시설현장에서 지상 8층 외벽 거푸집 해체작업을 하던 재해자가 콘크리트 구조물과 작업발판 사이로 빠지며 지상 5층 작업발판으로 떨어져(H≒13m) 사망</t>
  </si>
  <si>
    <t>추락 방지조치 미실시한 상태에서 지상층 외벽 거푸집 해체작업 중 콘크리트 구조물과 작업발판 사이 개구부로 추락</t>
  </si>
  <si>
    <t>▶ 개구부 등 추락위험 장소에서 작업 시 개구부 덮개 설치 및 가시성 있는 표지판 설치
▶ 추락위험이 있는 구간에는 추락방호망, 안전난간 설치 또는 및 안전대 착용후 작업</t>
  </si>
  <si>
    <t>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t>
  </si>
  <si>
    <t>과도한 중량의 거푸집을 비계 작업발판에 적재하여 비계 작업발판이 붕괴되면서 주변 작업자가 추락</t>
  </si>
  <si>
    <t>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</si>
  <si>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t>
  </si>
  <si>
    <t>▶ 클라이밍 발판과 발판 사이에 작업발판을 설치하는 작업 시 걸침걸이 지지부 확보
▶ 작업발판 설치 작업 시 추락방지를 위해 가급적 기 설치된 발판을 밟고 작업
▶ 작업발판 설치 시 안전대 부착설비 설치 및 안전대 착용</t>
  </si>
  <si>
    <t>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t>
  </si>
  <si>
    <t>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t>
  </si>
  <si>
    <t>▶ 클라이밍 콘과 타이로드 체결상태 확인
▶ 동일 작업구역 내 상·하 동시작업 금지
▶ 건물 외벽에서 작업대 조립·해체 및 변경 시 관리감독자 배치</t>
  </si>
  <si>
    <t>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</si>
  <si>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수평철근에 비계용 강관을 걸쳐 놓고 그 위에서 작업하던 중, 걸침 길이가 짧은 비계용 강관이 철근에서 탈락되면서 발판과 함께 근로자 추락</t>
  </si>
  <si>
    <t>▶ 협소 공간에서의 철근조립 작업 시 이동식 비계를 조립하여 작업발판 설치 후 작업 실시
▶ 근로자가 추락할 위험있는 장소에서 작업 시 개인보호구 착용 철저 및 확인 감독 실시</t>
  </si>
  <si>
    <t>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t>
  </si>
  <si>
    <t>콘크리트 타설 작업 중 펌프카 호스 해체를 위해 안전난간이 없는 작업발판에 서서 작업 중 추락</t>
  </si>
  <si>
    <t>▶ 추락위험이 있는 단부 주변에서 작업 시 단부에 안전난간 및 추락방호망 설치
▶ 높이 2m 이상의 추락위험 장소에서 작업 시 안전대 부착설비 설치 및 안전대 착용
▶ 개인보호구 지급 및 착용</t>
  </si>
  <si>
    <t>2017년 7월경 OOO 우사 신축공사 현장에서 재해자가 우사 지붕 강구조물 공사(C형강 설치작업) 중 실족하여 콘크리트 바닥으로 떨어져(H≒5.9m) 사망</t>
  </si>
  <si>
    <t>2017년 4월경 OO신축공사에서 건물의 전면부(주출입구측) 4층 외부 강관비계 작업발판 위에서 조적작업 중 중심을 잃고 11m 아래 지상 바닥으로 추락하여 사망</t>
  </si>
  <si>
    <t>작업발판 위에서 조적작업 중 몸의 중심을 잃고 안전난간이 설치되지 않은 작업발판 단부로 추락</t>
  </si>
  <si>
    <t xml:space="preserve">▶ 작업발판 단부 등 추락위험이 있는 장소에는 안전난간 설치 
▶ 안전난간 설치가 어려운 경우 안전대부착설비 설치 및 안전대 체결 후 작업 </t>
  </si>
  <si>
    <t>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t>
  </si>
  <si>
    <t>외부비계 작업발판 위에서 작업 중 실족하여 안전난간이 설치되지 않는 작업발판 단부로 추락</t>
  </si>
  <si>
    <t>▶ 추락할 위험이 있는 개구부에는 안전난간을 튼튼하게 설치
▶ 작업조건으로 인해 안전난간을 설치할 수 없는 경우 안전대 부착설비 설치 후 안전대를 착용하고 작업</t>
  </si>
  <si>
    <t>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t>
  </si>
  <si>
    <t>2017년 12월경 OO신축공사에서 4층 외부비계 상에서 외부 조적 모르타르 줄눈 작업 중 몸의 중심을 잃고 비계 외측으로 지상 1층까지 추락(H≒10.6m)하여 사망</t>
  </si>
  <si>
    <t>외부비계 상에서 외부 조적 모르타르 줄눈 작업 중 몸의 중심을 잃고 안전난간 미설치 상태의 비계 외측으로 추락</t>
  </si>
  <si>
    <t>2020년 10월경 OO리모델링공사에서 지하 Pit층 중간 슬라브에서 이동 중 바닥으로 추락하여(H≒2.0m) 사망</t>
  </si>
  <si>
    <t>이동통로가 없는 지하층 중간 슬라브에서 이동 중 바닥으로 떨어짐</t>
  </si>
  <si>
    <t>2021년 5월경 OO신축공사에서 시스템비계의 작업발판(2단, 3.9m)에서 치장벽돌 쌓기 작업 중 작업발판(2단) 내측 끝부분과 건물 벽체사이(폭 0.4m) 아래 콘크리트 바닥으로 추락하여 사망</t>
  </si>
  <si>
    <t>추락방지조치 미설치한 상태에서 외부 비계에서 외벽 견출작업을 하던 중 몸의 중심을 잃고 구조물 외벽과 비계 사이의 개구부로 추락</t>
  </si>
  <si>
    <t>2016년 12월경 OO신축공사에서 계단실 1∼2층 사이의 계단참에서 미장작업용 발판을 해체하던 중 몸의 균형을 잃고 2M 아래 계단 콘크리트 바닥으로 추락하여 사망</t>
  </si>
  <si>
    <t>작업발판 위에서 미장작업 중 몸의 중심을 잃고 안전난간이 설치되지 않은 작업발판 단부로 추락</t>
  </si>
  <si>
    <t>2017년 1월경 OO신축공사에서 2층 계단실 내부 비계 작업발판 위에서 천장면 미장작업 중 작업발판 단부에서 추락하여(H≒2.5m) 사망</t>
  </si>
  <si>
    <t>2017년 9월경 OO시설공사에서 지하층 기계실 장비반입구 위에 걸쳐 놓은 작업발판 위에서 외벽 1층 창호틀 주변부 미장작업 중 몸의 중심을 잃고 지하층 계단실로 추락하여(H≒4.0m) 사망</t>
  </si>
  <si>
    <t>2017년 12월경 OO개선공사에서 옥상 기계실 외벽부분 미장작업을 하던 중 비계 위 작업발판 단부에서 추락하여(H≒10m) 사망</t>
  </si>
  <si>
    <t>2018년 4월경 OO건축의 신축공사 현장에서 재해자가 건물 외부 비계에서 이동 중 고정되지 않은 작업발판(유로폼)이 뒤집어지면서 약 9.85m 아래 바닥으로 떨어져 사망</t>
  </si>
  <si>
    <t>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t>
  </si>
  <si>
    <t>작업발판 위에서 할석작업 중 콘크리트 잔재물이 작업발판에 과다하게 적치되어 허용하중을 견디지 못하고 작업발판이 파단되어 추락</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</si>
  <si>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</si>
  <si>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2020년 10월경 OO신축공사에서 조적용 인방 타설부위의 콘크리트 상부면 미장 작업 중 비계와 건물 외벽 사이로 추락(H≒12.8m)하여 사망</t>
  </si>
  <si>
    <t>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t>
  </si>
  <si>
    <t>외부비계에서 석재 코킹작업 중 밟고 있던 작업발판의 걸침고리 1개가 꺾이면서 몸의 중심을 잃고 바닥으로 추락</t>
  </si>
  <si>
    <t>▶ 비계 조립 시 수직재·수평재·가새재·작업발판 등 조립부재 인증여부 및 훼손상태 점검, 손상된 부재는 즉시 교체
▶ 외벽 마감작업을 위해 비계 내측 안전난간을 임의 해체하는 경우 구조물과 비계 작업발판 사이에 추락방지망 설치하고 안전대를 체결한 후 작업토록 관리감독</t>
  </si>
  <si>
    <t>2020년 9월경 OO공장 신축현장에서 협력업체 소속 재해자가 엘리베이터 피트(Pit) 내부 작업발판에서 철골 도장작업 중 고정되지 않은 작업발판이 철골에서 탈락하며 1층 엘리베이터 피트 바닥으로 추락하여(H≒30m) 사망</t>
  </si>
  <si>
    <t>엘리베이터 피트 내부 작업발판에서 철골 도장작업 중 고정되지 않은 작업발판이 철골에서 탈락하면서 몸의 중심을 잃고 추락</t>
  </si>
  <si>
    <t>▶ 작업높이에 적합한 비계 작업발판을 견고하게 설치하고 작업발판 단부에는 안전난간을 설치하여 안전하게 작업
▶ 추락할 위험이 있는 경우 안전대 및 개인보호구 착용 철저</t>
  </si>
  <si>
    <t>2020년 7월경 OO사옥 주차장 지붕 철제 프레임 도장공사 작업 중 발판으로 사용중이던 목재가 뒤집히면서 4m아래 바닥으로 추락하여 사망</t>
  </si>
  <si>
    <t>지붕 철제 프레임 도장공사 작업 중 발판으로 사용중이던 목재가 뒤집히면서 4m아래 바닥으로 추락</t>
  </si>
  <si>
    <t>2021년 4월경 국도 교량 보수공사 현장에서 재해자가 기존 교량(Steel Box Girder교) 상부 Steel Box 방청도장을 위해 설치한 달비계 형식의 작업발판을 해체하던 중 추락하여 사망</t>
  </si>
  <si>
    <t>단독주택 신축공사</t>
  </si>
  <si>
    <t>단독주택 신축공사 현장에서 재해자가 지붕 처마홈통 설치 작업 후 사다리를 통해 이동식 비계 1단 작업발판 상부로 내려오는 중 실족하여 콘크리트 바닥으로 추락(H≒2.0m)하여 사망</t>
  </si>
  <si>
    <t xml:space="preserve">사다리에서 이동식비계 작업발판으로 내려오던 중 발을 헛디뎌 안전난간이 설치되지 않은 작업발판 단부로 추락 </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</si>
  <si>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</si>
  <si>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t>
  </si>
  <si>
    <t>곤돌라의 달기발판에 탑승하여 유리를 시공하던 중 창틀에 묶어놓은 로프가 끊어져 바닥으로 추락</t>
  </si>
  <si>
    <t>▶ 곤돌라의 달기발판에 탑승하여 고소작업 시, 달기발판을 견고하게 고정 후 작업 실시
▶ 작업자의 개인보호구, 안전대 체결여부 점검 및 관리감독</t>
  </si>
  <si>
    <t>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t>
  </si>
  <si>
    <t>옥상 구조물 상부에 합판을 올려두고 그 위에 서서 작업을 준비하던 중 고정되지 않은 합판이 밀리면서 추락</t>
  </si>
  <si>
    <t>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t>
  </si>
  <si>
    <t>고소작업대에 탑승하여 작업을 준비하던 중 발을 헛디뎌 안전난간이 설치되지 않은 작업대 단부로 추락</t>
  </si>
  <si>
    <t>2016년 1월경 OO초 교사 증축현장에서 피해자(판넬공)이 3∼4층 계단실 인근 비계 위에서 단열재 설치작업 중, 몸의 중심을 잃고 개구부사이로 추락(H≒9m)하여 사망</t>
  </si>
  <si>
    <t>2020년 3월경 OO건축 OO 신사옥 인테리어공사 현장에서, 재해자가 지상3층의 내부비계 발판에서 천장 마감작업 후 이동 중 3층 바닥으로 추락하여 병원으로 이송 중 사망</t>
  </si>
  <si>
    <t>비계에서 이동하던 중 발을 헛디뎌 안전난간이 설치되지 않은 작업발판 단부로 추락</t>
  </si>
  <si>
    <t>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t>
  </si>
  <si>
    <t>2020년 9월경 OO건설(주)이 시공 중인 OO타운하우스 2차 신축공사 현장에서 재해자(내장목공)가 1층 내부 계단실 하부 벽체 마감재(석고보드) 부착작업 중 딛고 있던 사각 목재틀(16.7cm*17cm)에서 떨어져 사망</t>
  </si>
  <si>
    <t>작업발판 없이 주변에 있던 사각 목재틀 위에 까치발을 딛고 작업하던 중 작업하중 등에 의해 목재틀이 움직이면서 뒤로 넘어져 바닥에 머리를 부딪힘</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</si>
  <si>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</si>
  <si>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t>
  </si>
  <si>
    <t>캐노피 상부에서 이동하던 중 고정이 되지 않은 작업발판이 뒤집히면서 바닥으로 추락</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</si>
  <si>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</si>
  <si>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t>
  </si>
  <si>
    <t>고정상태가 불량한 비계 작업발판, 가설계단 위에서 이동 또는 작업 중 추락</t>
  </si>
  <si>
    <t>▶ 비계 작업발판 설치 시, 견고하게 고정하며 별도의 개구부가 발생하지 않도록 설치
▶ 작업자의 개인보호구 착용, 안전대 체결여부 점검 및 관리감독</t>
  </si>
  <si>
    <t>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t>
  </si>
  <si>
    <t>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t>
  </si>
  <si>
    <t>2018년 11월경 OO공사에서 재해자가 슬래브 단부에서 전등 스위치박스를 설치하던 중 지상 바닥으로 추락하여로(H≒4.2m) 사망</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</si>
  <si>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</si>
  <si>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</si>
  <si>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</si>
  <si>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</si>
  <si>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</si>
  <si>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</si>
  <si>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</si>
  <si>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</si>
  <si>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</si>
  <si>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</si>
  <si>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</si>
  <si>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</si>
  <si>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</si>
  <si>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</si>
  <si>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</si>
  <si>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</si>
  <si>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</si>
  <si>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</si>
  <si>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</si>
  <si>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</si>
  <si>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OO 소속 재해자</t>
  </si>
  <si>
    <t>OO 소속 재해자가 지상2층 설비배관 작업을 위하여 개구부 상에 작업발판을 설치하는 도중 실족하여 개구부(1.12m×0.97m)로 작업발판과 동시에 1층 콘크리트 바닥으로 추락(H≒7.5m)하여 사망</t>
  </si>
  <si>
    <t>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</si>
  <si>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</si>
  <si>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t>
  </si>
  <si>
    <t>E/V 가이드레일 설치작업 중 레일을 인양하던 후크가 해지되어 레일 부재가 넘어지면서 작업발판이 지지대 위에서 탈락되며 레일을 붙잡고 있던 근로자가 레일과 함께 추락</t>
  </si>
  <si>
    <t>▶ 가이드레일 인양 및 설치 작업 시, 해지장치가 부착된 훅 사용
▶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t>
  </si>
  <si>
    <t xml:space="preserve">2018년 5월 </t>
  </si>
  <si>
    <t>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t>
  </si>
  <si>
    <t>콘크리트에 얕게 매입된 앵커볼트가 경사형 출입계단을 지지하던 중 상부하중을 견디지 못해 탈락되면서 근로자가 지면으로 추락</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</si>
  <si>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</si>
  <si>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2017년 5월경 철도공사 현장에서 재해자가 쉴드 TBM 해체작업을 하던 중 세그먼트 진원유지장치가 전도되어 맞아 사망</t>
  </si>
  <si>
    <t>쉴드TBM 해체작업 준비를 하던 중 전도방지조치를 하지 않은 세그먼트 진원유지장치가 기울어지면서 진원유지장치와 작업발판에 설치된 안간난간대 사이에 협착</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</si>
  <si>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</si>
  <si>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전기</t>
  </si>
  <si>
    <t>전주</t>
  </si>
  <si>
    <t>2019년 6월경 OO공사에서 재해자가 후진하는 덤프트럭(25톤) 유도작업 중 후방에 있던 전신주와 덤프트럭이 충돌하면서 전도되는 전신주에 맞아 사망</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</si>
  <si>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</si>
  <si>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</si>
  <si>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충전부</t>
  </si>
  <si>
    <t>2019년 1월경 빌딩 신축공사 현장에서 재해자가 파손된 케이블 접속기구(콘센트)를 교체하던 중 전기에(220V) 감전 되어 사망</t>
  </si>
  <si>
    <t>이동식케이블에 연결되어 있는 파손된 케이블 접속기구(콘센트)를 교체하던 중 전기에 감전</t>
  </si>
  <si>
    <t>▶ 충전부 및 전기 임시 배전반 등 방호조치 실시 
▶ 전기기계기구 및 전선 등의 정비, 보수작업 시에는 반드시 전원을 차단 후 검전기로 정전 상태여부 확인 후 작업 수행</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</si>
  <si>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</si>
  <si>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</si>
  <si>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</si>
  <si>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</si>
  <si>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</si>
  <si>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</si>
  <si>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2018년 9월경 지장전주 이설공사에서 재해자가 전선 이설작업 후 지상으로 내려오던 중 4.5m 지상 바닥으로 추락하여 사망</t>
  </si>
  <si>
    <t>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t>
  </si>
  <si>
    <t>하수관로 맨홀(PE)에 하수관로를 연결하기 위해 맨홀 하부를 휴대용 천공기를 이용하여 천공 작업 중 절연의 파괴로 천공기 금속제 외함에 인가된 누설전류에 근로자가 감전</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</si>
  <si>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</si>
  <si>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</si>
  <si>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</si>
  <si>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</si>
  <si>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</si>
  <si>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</si>
  <si>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</si>
  <si>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</si>
  <si>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</si>
  <si>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</si>
  <si>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</si>
  <si>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</si>
  <si>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</si>
  <si>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</si>
  <si>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</si>
  <si>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</si>
  <si>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</si>
  <si>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2018년 5월경 다가구주택 신축공사 현장에서 재해자가 건물 전면도로상 외부 비계에 인접한 전신주의 변압기통 충전전로(22.9kv)에 접근하여 이동하던 중 접촉, 감전되어 지상으로 떨어져(H≒10m) 사망</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</si>
  <si>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</si>
  <si>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</si>
  <si>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2021년 4월경 OO동 철거공사 현장에서 비계해체 작업 중 해체된 강관파이프가 주변에 있는 전주의 22,900V 특별고압 충전전로에 접촉되어 재해자 2명 부상</t>
  </si>
  <si>
    <t>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t>
  </si>
  <si>
    <t>강관파이프를 이용한 낙하물방지망 설치용 비계 설치 중 강관파이프의 충전부 접촉에 따른 아크 발생 후 감전 및 화상</t>
  </si>
  <si>
    <t>▶ 감전위험이 있는 작업 시 정전작업, 절연용 보호구 등 안전방호조치 실시
▶ 충전전로 인근 접근금지 조치 실시</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</si>
  <si>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</si>
  <si>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</si>
  <si>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</si>
  <si>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</si>
  <si>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</si>
  <si>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 전기 작업 시 해당 전도 차단 후 작업 실시
▶ 활선작업 시 절연용 보호구 지급 등 활선작업조치 실시</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</si>
  <si>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</si>
  <si>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</si>
  <si>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 작업구간 인접하여 설치되어 있던 부스바는 활선 상태인 경우 덮개를 통한 임시 절연조치 실시
▶ 충전전로 인근 작업 시 충전전로 정전, 충전부 절연덮개 등을 통한 안전조치 실시</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</si>
  <si>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</si>
  <si>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</si>
  <si>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</si>
  <si>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</si>
  <si>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</si>
  <si>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</si>
  <si>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</si>
  <si>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</si>
  <si>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</si>
  <si>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</si>
  <si>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2019년 1월경, OO시설 공사현장 지하 전기실에서, 전기공사하청업체 재해자가 준공확인검사차 전기실 자재정리 및 청소 작업을 수행하던중 수전설비(전압 22.9kV)에 감전되어 사망</t>
  </si>
  <si>
    <t>지상3층에서 설비</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</si>
  <si>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</si>
  <si>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</si>
  <si>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</si>
  <si>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2018년 3월경 ㈜OO건설 OO신축공사 현장 지상 2층 계단참에서 휴대용 원형톱으로 거푸집 제작 및 설치작업 중이던 재해자가 절연파괴된 원형톱 금속제 외함의 누설전류에 감전되어 사망</t>
  </si>
  <si>
    <t>거푸집 제작 작업 중 절연파괴된 원형톱금속제 외함의 누설전류에 감전</t>
  </si>
  <si>
    <t>2016년 8월경 해수담수화 시설공사 현장에서 재해자가 휴대용 유압절단기를 사용하여 철근 가공작업을 하던 중 절연이 파괴되어 유압절단기 외함에 흐르는 누설전류에 감전되어 사망</t>
  </si>
  <si>
    <t>휴대용 유압절단기를 사용하여 철근 가공작업을 하던 중, 절연이 파괴되어 유압절단기 외함에 흐르는 누설된 잔류에 감전</t>
  </si>
  <si>
    <t>▶ 핸드그라인더 등 대지전압 150볼트 초과의 이동형 또는 휴대형 전기기계기구 사용 시 누전차단기 작동상태 점검 및 조치
▶ 핸드그라인더 등 전기기계기구의 금속제 외함, 금속제 외피 및 철대 등의 금속부분에 대해 접지 실시
▶ 절연재질의 손잡이가 설치된 전기ㆍ기계기구 사용</t>
  </si>
  <si>
    <t>2016년 7월경 단독주택건축공사 현장에서 재해자가 1층 슬라브 위에서 철근 더미에 앉아 보 철근 조립작업 중 철근 더미 위에 있던 철근 절단기에서 누설된 전류에 의해 감전되어 사망</t>
  </si>
  <si>
    <t>근로자가 슬라브 위에서 철근 더미에 앉아 보 철근 조립작업 중 철근 더미 위에 있던 철근 절단기에서 누설된 잔류에 의해 감전</t>
  </si>
  <si>
    <t>▶ 철근 절단기와 같은 노출된 비충전금속체의 전기기구를 사용 시 전원 인출 경로상의 접지선은 반드시 연결 
▶ 임시배선의 전로가 설치된 장소에서 사용되는 휴대용 철근 절단기는 누전에 의한 감전을 방지하기 위해 전원 인출 시 누전차단기를 경유</t>
  </si>
  <si>
    <t>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t>
  </si>
  <si>
    <t>노후화된 송신철탑 볼트 교체를 위해 철탑부재 위에서 안전대 미착용한 상태에서 위치조정 또는 다른 작업위치로 이동 중 실족하여 근로자 추락</t>
  </si>
  <si>
    <t>▶ 송신철탑에서 볼트 교체작업 시 안전대를 사용할 수 있도록 안전대 부착설비 설치
▶ 개인보호구 지급 및 착용</t>
  </si>
  <si>
    <t>2016년 10월경 OO신축공사에서 창틀 내 설치한 고정 앵커철물 절단 작업을 하기 위해 외부비계(H=1.7m)에서 핸드그라인더로 작업 중 감전으로  사망</t>
  </si>
  <si>
    <t>앵커철물 절단 작업을 하기 위해 외부비계에서 핸드그라인더로 작업 중 핸드그라인더 누전으로 인해 감전</t>
  </si>
  <si>
    <t>▶ 핸드그라인더 금속에 외함 접지 실시
▶ 전기기계기구 사용전 누전차단기 작동상태 점검 및 조치</t>
  </si>
  <si>
    <t>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t>
  </si>
  <si>
    <t>옥상 변압기 방책 내에서 알루미늄 재질의 롤러를 이용하여 바닥 방수작업 중 특별고압 변압기 충전부에 접촉 근로자 감전</t>
  </si>
  <si>
    <t>▶ 특별고압 변압기가 있는 방책 내에서 바닥 방수 등 작업 시 해당 충전전로를 차단하고 잔류전하를 완전히 방전 시킨 후 정전상태에서 작업 실시
▶ 전기ㆍ전류 작업 시 근로자는 절연 보호구를 착용 후 작업 실시
▶ 전류 작업 시 작업도구가 충전부에 접촉하지 않게 접촉방지장치 부착 후 작업 실시</t>
  </si>
  <si>
    <t xml:space="preserve"> 2018년 6월</t>
  </si>
  <si>
    <t xml:space="preserve"> 2018년 6월경 OO에서 시공하는 OO병원 옥상 우레탄 방수 공사 현장에서 재해자가 기존의 방수도막 제거 후 청소를 하던 과정에서 특고압 충전전로(컷아웃스위치)에 머리가 접촉, 감전되어 사망</t>
  </si>
  <si>
    <t>기존의 방수도막 제거 후 청소를 하던 과정에서 특고압 충전전로(컷아웃스위치)에 머리가 접촉되어 감전</t>
  </si>
  <si>
    <t>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t>
  </si>
  <si>
    <t>휴대용 교반기를 콘센트에 접속하는 과정에서 충전된 금속제 외함에 접촉되며 감전</t>
  </si>
  <si>
    <t>▶ 감전위험이 있는 충전부분에 내구성있는 절연물로 감싸는 등 방호조치 실시
▶ 기준에 맞는 접지성능의 확보여부 검토 및 조치
▶ 가설분전함 주변의 습도 등 환경관리 철저</t>
  </si>
  <si>
    <t>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t>
  </si>
  <si>
    <t>지붕에서 양중작업 중 양중물이 인근 전신주의 충전부와 접촉되면서 감전 후 추락</t>
  </si>
  <si>
    <t>▶ 사전 조사를 통해 작업계획서를 수립하여, 양중기 작업구간 계획 등을 준수
▶ 충전부 인근에서 작업 시, 사전 관계기관 협조를 통해 정전작업 실시
▶ 충전부 인근에서 작업 시, 감전위험경보를 위한 감시인 배치
▶ 충전부 인근에서 작업 시, 감전방지를 위해 적정 이격거리(3m) 준수
▶ 충전부 인근에서 작업 시, 전선방호관 또는 COS 덮개 설치 등 방호조치 실시
▶ 작업자의 개인보호구, 안전대 체결여부 점검 및 관리감독</t>
  </si>
  <si>
    <t>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t>
  </si>
  <si>
    <t>고소작업대에 탑승하여 작업위치로 이동하던 중 인근 고압선로에 접촉되어 감전</t>
  </si>
  <si>
    <t>2019년 6월경 OO공사에서 재해자가 철골 퍼린(Purlin)에 걸터앉아 동료 작업자가 올려준 철제 지붕 빗물받이를 받은 뒤 인근에 위치한 특고압 활선(22.9kV)에 접촉되어 감전되어 약 8m 높이에서 추락하여 사망</t>
  </si>
  <si>
    <t>철골보 상부에서 작업 중 인근 전신주의 고압선로에 접촉되어 감전 후 추락</t>
  </si>
  <si>
    <t>통신용 전주 철거</t>
  </si>
  <si>
    <t>통신용 전주 철거작업 현장에서 재해자가 이동식 크레인으로 콘크리트 전주를 인양하는 작업장 주변을 이동 중 와이어 로프로 결속한 부위가 부러지면서 전주 상부 부재가 재해자를 강타하여 사망</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</si>
  <si>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</si>
  <si>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</si>
  <si>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</si>
  <si>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2017년 9월경 OO공사에서 재해자가 정전작업을 하지 않고 활선상태에서 천장 등기구 배선작업 중 전원선 충전부를 접촉하여 감전으로 사망</t>
  </si>
  <si>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</si>
  <si>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</si>
  <si>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</si>
  <si>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</si>
  <si>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2018년 8월경 OO공사에서 재해자가 가설전선을 인출하기 위해 가설분전반 인입케이블을 전선 주위 배전선로에 연결하던 중 오른손이 충전부에 접촉되어 감전으로 사망</t>
  </si>
  <si>
    <t>2019년 7월경 OO공사에서 재해자가 천정 상부에서 배선 작업 중 전압 220V에 감전되어 사망</t>
  </si>
  <si>
    <t>공장 항온룸 설비공사를 위하여 천정 마감재 상부로 올라가 전기 배선 작업 중 전선에 접촉되어 감전</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</si>
  <si>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</si>
  <si>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</si>
  <si>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</si>
  <si>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</si>
  <si>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2019년 10월경 OO공사에서 재해자가 전력증설을 위해 변전실 내부의 접지선 보완작업을 하던 중 전격에 의한 섬락 발생으로 감전되어 사망</t>
  </si>
  <si>
    <t>전력증설공사를 위해 변전실 내부 접지선 보완작업 중 감전</t>
  </si>
  <si>
    <t>▶ 감전될 위험이 있는 작업 시, 해당 충전전로의 정전상태 확인 준수
▶ 특별고압 충전전로에 대한 접근한계거리 확보 준수</t>
  </si>
  <si>
    <t>2019년 10월경 OO공사에서 재해자가 케이블 철거를 위해 전주(높이12M)를 오르던 중 잡고 있던 발판볼트가 빠지면서 5M 아래 바닥으로 추락하여 사망</t>
  </si>
  <si>
    <t>케이블 철거를 위한 전주 승주 중 작업발판 볼트 이탈에 의한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</si>
  <si>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</si>
  <si>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</si>
  <si>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</si>
  <si>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</si>
  <si>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2021년 7월경 OO공사에서 재해자가 수·변전반 결선작업 중 380V 노출충전부에 신체가 접촉되어 감전으로 사망</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</si>
  <si>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</si>
  <si>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</si>
  <si>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2016년 5월경 OO공사에서 재해자가 보안등의 위치를 조정하여 변압기 설치공간을 확보하기 위해 전주(14m)의 약 5.8m지점까지 승주하여 U자 걸이용 안전대를 체결하는 과정에서 바닥으로 추락하여 사망</t>
  </si>
  <si>
    <t>전기 설비작업을 위해 전신주에 올라 이동중 몸의 중심을 잃고 추락</t>
  </si>
  <si>
    <t>2016년 6월경 OO 전기공사 현장에서 재해자가 전부의 상부로 승주하여 전선연결 보조작업을 수행하던 중 전선연결부인 충전부에 접촉, 감전</t>
  </si>
  <si>
    <t>전주에 승주하여 전기인입작업 중 전선에 감전</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</si>
  <si>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</si>
  <si>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 xml:space="preserve"> 2017년 3월</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</si>
  <si>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</si>
  <si>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</si>
  <si>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</si>
  <si>
    <t>배전반 내부 변류기와 변압기 오차 측정을 위해 시험용 전선 연결중 활선상태의 부스바에 접촉하여 감전</t>
  </si>
  <si>
    <t>2017년 10월경 OO공사에서 재해자가 전기설비 이설을 위해 전주 상부(약 13m)에서 하부(약 10m)로 작업위치를 변경하여 내려오던 중 약 10m 높이의 전주에서 옹벽 상부 지면으로 추락하여 사망</t>
  </si>
  <si>
    <t>2017년 10월경 OO공사에서 자가수전설비(4800kw) 전신주의 자동개폐기를 교체하기 위해 전신주에 올라가 작업을 마치고 내려오던 중 높이 약 9.5M 옹벽 아래 지상바닥으로 추락하여 사망</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</si>
  <si>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</si>
  <si>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빌딩 지하층 수변전실 모뎀 교체를 위해 수변전반(패널) 내부 수평재를 딛고 올라서서 작업 중 몸의 중심을 잃고 신체의 일부가 패널 내부 전력퓨즈와 접촉하며 감전</t>
  </si>
  <si>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</si>
  <si>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</si>
  <si>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</si>
  <si>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3월경 OO공사에서 재해자가 9m 높이의 수변전설비 전신주에 올라가 ASS교체 작업 중 지상바닥으로 추락하여 사망</t>
  </si>
  <si>
    <t>2019년 5월경 OO공장 신축공사 현장에서 재해자가 전기실에서 부스덕트 설치작업을 진행하던 중 아크가 발생하여 3개월 이상 요양이 필요한 화상을 입음</t>
  </si>
  <si>
    <t>공장신축현장에서 전기실 부스덕트 설치작업 중 아크 발생으로 부상(화상)</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</si>
  <si>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</si>
  <si>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</si>
  <si>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2020년 5월경 OO 전기계량기 이설공사를 위해 재해자가 이동식사다리를 이용하여 창고 외벽에 전선 고정 작업을 하던 중 활선상태인 전선에 접촉, 감전되어 약4.3m 높이에서 바닥으로 떨어짐</t>
  </si>
  <si>
    <t>창고 전기계량기 이설을 위하여 이동식사다리 위에서 창고 외벽 전선 고정 작업 중 전선에 접촉되어 감전</t>
  </si>
  <si>
    <t>2021년 6월경 OO근린생활시설 신축공사 현장 지하3층에서 재해자가 사다리 위에서 전등점검 및 수리 작업 중 절연피복이 벗겨진 전선 도체에 신체(목)가 접촉되어 감전된 후 바닥면으로 떨어짐(h≒1.4~1.7m)</t>
  </si>
  <si>
    <t>근린생활시설 신축공사 현장에서 지하3층 가설전등 점검 작업 중 전선에 접촉되어 감전</t>
  </si>
  <si>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</si>
  <si>
    <t>아파트 신축현장에서 지하층 천장 소방배관의 누전 여부를 확인하기 위해 A형 사다리에 올라 확인하는 과정에서 누전된 소방배관에 접촉되어 감전</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</si>
  <si>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</si>
  <si>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공장 변압기(225kVA) 교체를 위해 변압기 위에 올라서서 작업 중 특고압 충전부에 감전</t>
  </si>
  <si>
    <t>2016년 1월경 OO 전신주 교체공사 현장에서 재해자가 전신주 위에 올라가 전선을 철거하던 중 전신주 하단부가 파단 및 전도되면서 8m아래 지면으로 떨어짐</t>
  </si>
  <si>
    <t>전신주에 승주하여 전선 철거작업 진행 중 전신주 하단부 파단 및 전도에 의해 지면으로 추락</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</si>
  <si>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</si>
  <si>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2016년 2월경 OO케이블공사 현장에서 재해자가 전신주에 사다리(H≒2.5m)를 사용하여 전신주 상부로 올라가 외선 케이블 설치 작업을 하던 중 포장 도로 바닥(H≒6.0m)으로 추락</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</si>
  <si>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</si>
  <si>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</si>
  <si>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</si>
  <si>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</si>
  <si>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</si>
  <si>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</si>
  <si>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</si>
  <si>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</si>
  <si>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2016년 8월경 OO현장에서 재해자가 전주에 올라 안전벨트를 전주에 걸고 스텝볼트를 밟으면서 광케이블 고정작업중 U자걸이용 안전벨트가 탈락 되면서 지상으로 떨어짐(H=6.4m)</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</si>
  <si>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</si>
  <si>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</si>
  <si>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2016년 11월경 OO증축공사 현장에서 재해자가 6.6kV전로에서 전압측정 작업 중 단락사고가 발생하여 사망</t>
  </si>
  <si>
    <t>반도체 공장 증축공사 현장에서 배전반 내부 전로 전압측정 중 감전</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</si>
  <si>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</si>
  <si>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2017년 2월경 재해자가 신규 전기공급을 위해 전주 설치 후 올라가서 결선작업을 위해 작업용 로프(U자걸이)를 전주에 연결하는 과정에서 몸의 중심을 잃고 지상으로 떨어짐(h≒6m)</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</si>
  <si>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</si>
  <si>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</si>
  <si>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</si>
  <si>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</si>
  <si>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</si>
  <si>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</si>
  <si>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</si>
  <si>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</si>
  <si>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</si>
  <si>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</si>
  <si>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</si>
  <si>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</si>
  <si>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</si>
  <si>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</si>
  <si>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</si>
  <si>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</si>
  <si>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</si>
  <si>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</si>
  <si>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</si>
  <si>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</si>
  <si>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2019년 5월경 OO고압공사 현장에서 재해자가 신설 전주에 올라가 고압선 설치작업을 진행하던 중 몸의 중심을 잃고 전주 위에서 약 8.2m 아래 배수로 바닥으로 떨어짐</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</si>
  <si>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</si>
  <si>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</si>
  <si>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</si>
  <si>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</si>
  <si>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</si>
  <si>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</si>
  <si>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2019년 11월경 OO공사에서 재해자가 철탑 중단 암(또는 상단 암)에서 아머로드 취부작업 중 약 48m 아래 지상 바닥으로 추락하여 사망</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</si>
  <si>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</si>
  <si>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2020년 8월경 OO보강공사 현장에서 OO 콘크리트 전주에서 재해자가 원인미상의 이유로 콘크리트 전주 상부에서 추락하여 바로 밑에 위치한 은행나무 가지(지상에서 높이 약 4m 지점)에 걸려 쓰러짐</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</si>
  <si>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</si>
  <si>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</si>
  <si>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</si>
  <si>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</si>
  <si>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</si>
  <si>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</si>
  <si>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2021년 2월경 공중화장실 설치공사에서 재해자가 벌목작업 중이던 소나무에 걸린 전선을 풀기위해 전신주에 올라가 내려오던 중 감전되어 13m 아래 바닥으로 추락하여 사망</t>
  </si>
  <si>
    <t>벌목작업 중 넘어지는 소나무에 의해 전신주의 특고압 전력선과 가공지선이 엉키자 엉킨 전선을 풀기위해 전신주에 올라가 고압선에 로프를 걸고 내려오려는 도중 감전돼 지상으로 추락</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</si>
  <si>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</si>
  <si>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2017년 6월경 OO은행 주변에서 재해자가 고소작업대에 탑승하여 가로수 전지작업을 하던 중 공구가 특고압전로(22.9kV)에 접촉하여 감전되어 사망</t>
  </si>
  <si>
    <t>이동식 크레인에 설치된 작업대에 탑승하여 가로수 가지치기 작업 중 상부 고압선(22.9kV)에 감전</t>
  </si>
  <si>
    <t>2018년 3월경 OO현장에서 ㈜OO 소속 재해자가 이동식크레인에 부착한 작업대에 탑승하여 고지가위를 이용한 가지치기 작업 중, 22.9KV 배전선로에 고지가위가 접촉하며 감전되어 사망</t>
  </si>
  <si>
    <t>2020년 3월경 가로수 가지치기 공사에서 재해자가 이동식 크레인 작업대에 탑승하여 가지치지 작업 중 상부 배전선(22.9kV)에 신체일부가 닿아 감전되어 10m 바닥으로 추락하여 사망</t>
  </si>
  <si>
    <t>2020년 10월경 공장 조경공사에서 재해자가 이동식 크레인을 사용하여 조경수를 이식하는 작업 중 잡고있던 크레인의 지브 끝 부분이 인접한 충전전로(22.9kV)에 접촉되어 감전으로 사망</t>
  </si>
  <si>
    <t>이동식 크레인을 사용하여 조경수 이식 작업 중 크레인 붐이 고압선(22.9kV)에 접촉되어 크레인 훅을 잡고 있던 작업자 감전</t>
  </si>
  <si>
    <t>토사</t>
  </si>
  <si>
    <t>2016년 3월경 OO공사에서 재해자가 굴착저면에서 해수유입관(PVC백관)을 연결하던 중 터파기 사면의 토사 일부가 붕괴(약 2.5m3)되면서 상반신이 토사에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</si>
  <si>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</si>
  <si>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</si>
  <si>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</si>
  <si>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2017년 7월경 OO공사에서 재해자가 배관연결 작업중 맨홀연결부(깊이 약 3.2m, 폭 약 3.3m) 사면의 일부가 붕괴되면서 매몰되어 사망</t>
  </si>
  <si>
    <t>2017년 7월경 OO공사에서 재해자가 오수관로 매설작업 중 굴착벽면의 토사가 무너지며 매몰되어 사망</t>
  </si>
  <si>
    <t>2017년 8월경 OO공사에서 재해자가 굴착저면에서 오수관 설치 높이를 조절하던 중 수직으로 굴착(폭1.1m, 높이1.7m)한 사면이 무너지면서 무너진 토사에 매몰되어 사망</t>
  </si>
  <si>
    <t>2017년 10월경 OO공사에서 재해자가 통신관 매설을 위해 터파기 바닥면에서 지장물 및 레벨 확인 작업 중 터파기 사면의 토사 일부(약 7.2㎥)가 붕괴되면서 매몰되어 사망</t>
  </si>
  <si>
    <t>2017년 12월경 OO공사에서 재해자가 절토사면(H≒5m) 하부에서 수준측량을 하던 중 절토사면 일부가(H≒2~4m)이 붕괴 되면서 토사에 매몰되어 사망</t>
  </si>
  <si>
    <t>2018년 7월경 OO공사에서 재해자가 덤프트럭 후방에서 이동하던 중 굴착사면이 붕괴되면서 전석(약 1m³, 중량 2.4톤)이 재해자를 덮쳐 덤프트럭 좌측후면에 하반신이 협착되어 사망</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</si>
  <si>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</si>
  <si>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</si>
  <si>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</si>
  <si>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</si>
  <si>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2018년 10월경 업무시설 신축공사 현장에서 재해자가 굴착 바닥면에 표식을 하던 중 인접건물 하부의 토사가 흘러내리면서 그 영향으로 벽체가 넘어져 벽체에 깔려 사망</t>
  </si>
  <si>
    <t>작업 중 인접건물 하부의 토사가 흘러내리면서 그 영향으로 벽체가 넘어져 근로자가 깔림</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</si>
  <si>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</si>
  <si>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2020년 5월경 재해자가 흙막이지보공 H-PILE 사이에 토류판 설치 작업 중 배면 토사 일부가 붕괴되어 매몰되어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</si>
  <si>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t>
  </si>
  <si>
    <t>2020년 7월경 플랜트 현장에서 재해자가 H-pile(엄지말뚝) 설치 위치를 잡아주기 위하여 기다리던 중 굴착법면이 붕괴되면서 매몰되어 사망</t>
  </si>
  <si>
    <t>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</si>
  <si>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PHC 파일 이음을 위해 천공한 가설홀에 인접한 상태에서 가설홀 굴착후 케이싱을 인발하던 중 케이싱 주변 토사가 함몰되면서 인근 근로자 매몰</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</si>
  <si>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</si>
  <si>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2018년 12월경 공공주택지구 조성공사 오수관로 매설공사 작업 중 재해자가 되메우기를 위한 다짐(콤팩트)작업을 수행하다 기매설되어 횡단하는 난방공사 송전관로의 주변 굴착면이 붕괴되어 사망</t>
  </si>
  <si>
    <t>작업장의 사전조사 미비 및 굴착면의 기울기 미준수 상태에서 오수관로 매설작업 중 되메우기 후 콤팩트로 다짐작업 중 굴착면 붕괴로 매몰</t>
  </si>
  <si>
    <t>▶ 굴착면의 기울기 기준 준수 또는 법면 붕괴방지조치(흙막이지보공 보강) 실시
▶ 굴착대상 지반의 지형, 지질, 지층상태 및 함수 유무 등 사전조사 실시</t>
  </si>
  <si>
    <t>2016년 2월경 공장 신축공사 현장에서 보강토 옹벽에서 콘크리트 철거 작업 중 보강토 옹벽(10m) 일부가 무너지면서 토사 및 자재에 매몰되어3명 사망, 1명 부상</t>
  </si>
  <si>
    <t>보강토 옹벽 상부에서 천단 콘크리트 철거 작업 중 옹벽의 일부가 무너지며 토사 및 자재에 매몰</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</si>
  <si>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</si>
  <si>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2018년 5월경 단지조성공사에서 암석제거 및 다짐작업을 하던 중 옹벽 설치를 위해 굴착해 놓은 법면이 붕괴되면서 매몰되어 1명 사망, 2명 부상</t>
  </si>
  <si>
    <t>보강압성토옹벽 위에서 근로자가 흙고르기 및 다짐작업을 하던 중 굴착해놓은 법면이 무너지면서 근로자가 토사에 매몰</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</si>
  <si>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</si>
  <si>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2018년 9월경 옹벽설치 공사현장에서 옹벽 앞에서 건축물 부지 측량을 하던 중 4.5m 높이로 쌓아 놓은 식생축조블록 옹벽이 토압을 견디지 못하고 무너지면서 토사에 매몰되어 2명 사망, 1명 부상</t>
  </si>
  <si>
    <t>2018년 11월경 석축공사 현장에서 재해자가 돌쌓기 하부 기초부분 작업 중 사면 붕괴로 매몰되어 사망</t>
  </si>
  <si>
    <t>돌쌓기 하부 기초부분 작업 중 기존 석축을 제거한 부위의 사면이 붕괴되며 그 아래 근로자 매몰</t>
  </si>
  <si>
    <t>▶ 기존 석축 해체 후 노출 사면에 대한 사면 구배를 준수하여 흙깎기 실시
▶ 사전 구조검토에 따라 흙깎기가 곤란한 경우 흙막이 가시설 설치</t>
  </si>
  <si>
    <t>2019년 5월경 옹벽설치 및 포장공사현장에서 재해자가 옹벽 앞 바닥정리를 하던 중 배면토압을 견디지 못하고 갑자기 옹벽이 무너지면서 옹벽과 토사에 매몰되어 사망</t>
  </si>
  <si>
    <t>2021년 3월경 제조업소 신축공사 현장에서 재해자 옹벽 벽체거푸집 설치 중 굴착사면 토사 붕괴로 매몰되어 사망</t>
  </si>
  <si>
    <t>2021년 7월경 댐 절토사면 보강공사 현장에서 재해자가 절토사면 상부의 요철을 제거하던 중 70m 아래 바닥으로 추락하여 사망</t>
  </si>
  <si>
    <t>절토사면 보강을 위해 숏크리트가 시공된 사면에서 상부 요철을 제거하던 중 추락</t>
  </si>
  <si>
    <t xml:space="preserve">2017년 11월경 간선임도 신설현장에서 재해자가 전석을 운반하기 위해 곡선부 가설도로에서 덤프트럭을 운행하던 중 차량이 전도되어 15m 아래로 추락하여 사망 </t>
  </si>
  <si>
    <t>덤프트럭으로 이동 중 폭이 좁은 가설도로 측면으로 전도되어 근로자 사망</t>
  </si>
  <si>
    <t>▶ 차량계 건설기계를 사용하는 작업 시 장비유도자를 협소한 가설도로 곡선부 등에 배치 
▶ 지반의 부등침하, 갓길의 붕괴 방지 및 도로 폭을 유지한 뒤 작업 실시</t>
  </si>
  <si>
    <t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t>
  </si>
  <si>
    <t>관로 부설을 위한 굴착 중 굴착사면이 무너지면서 근로자 매몰</t>
  </si>
  <si>
    <t>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t>
  </si>
  <si>
    <t>2016년 10월경, OOO도 OO군 소재 ㈜OOOO, OOOO 공사 현장에서 관로 매설 공사를 위한 굴착 법면의 토사가 붕괴되면서, 굴착면 하부에 있던 근로자가 붕괴 토사에 매몰되어 사망한 재해임</t>
  </si>
  <si>
    <t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t>
  </si>
  <si>
    <t>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t>
  </si>
  <si>
    <t>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t>
  </si>
  <si>
    <t>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t>
  </si>
  <si>
    <t>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t>
  </si>
  <si>
    <t>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t>
  </si>
  <si>
    <t>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t>
  </si>
  <si>
    <t>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t>
  </si>
  <si>
    <t>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t>
  </si>
  <si>
    <t>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t>
  </si>
  <si>
    <t>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t>
  </si>
  <si>
    <t>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t>
  </si>
  <si>
    <t>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t>
  </si>
  <si>
    <t>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t>
  </si>
  <si>
    <t>2021년 12월경, 흙막이 가시설 설치 전 지장물(한전관로 등) 확인을 위하여 약 1.8m 수직 줄파기 작업한 상태에서, 재해자가 굴착한 장소에 들어가 지장물 확인 중 한쪽 굴착면 붕괴로 40cm 정도 토사에 깔림</t>
  </si>
  <si>
    <t>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t>
  </si>
  <si>
    <t>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t>
  </si>
  <si>
    <t>2016년 4월경 OO도 OO시 OO동 소재 OOOO(주) 부지조성 공사현장에서 재해자가 흄관(D 0.6m, L 2.5m) 매설작업 중 굴착사면이 붕괴되면서 매몰되어 사망한 재해임</t>
  </si>
  <si>
    <t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t>
  </si>
  <si>
    <t>2016년 10월경 OOO도 OO시 소재 OOOO하수관로 정비공사 현장에서 원청 직영 근로자가 약2.7m 굴착 저면에서 하수관로 매설작업 중 인접 굴착사면의 토사붕괴(약 2.16㎥)로 매몰되어 사망한 재해임.</t>
  </si>
  <si>
    <t>2018년 8월경 OOO도 OO시 OO면 소재 ㈜OOOO, OOOO주변도로 통신공사 현장에서 재해자가 통신관로 매설을 위해 굴착된 바닥면에서 모래포설 등의 작업 중 굴착 사면 일부가 붕괴되면서 토사에 매몰되어 사망한 재해임.</t>
  </si>
  <si>
    <t>2018년 10월경 OOO도 OO군 소재 OOOO(주) OOOO 하수관거 정비사업 현장에서 재해자가 맨홀내부에서 토사제거 작업 중 무너지는 토사에 매몰되어 사망.</t>
  </si>
  <si>
    <t xml:space="preserve"> 2018년 11월경 OO도 OO시 소재 OOOO(주) OOOO보행안전 및 가로환경 현장에서 우수관로 흄관 매설작업 중 굴착면 붕괴로 재해자가 매몰되어 1명 사망, 1명 부상</t>
  </si>
  <si>
    <t>2018년 12월경 OOOO(주) OO시 OOO동 OOOO배수공사 현장의 트랜치 굴착(h≒3.5m) 저면에서 작업자 2명이 콘크리트 흄관(D=300mm, L=2.5m) 매설작업을 진행하던 중 무너지는 굴착법면 토사에 매몰되어 사망한 재해임.</t>
  </si>
  <si>
    <t>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t>
  </si>
  <si>
    <t>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t>
  </si>
  <si>
    <t>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t>
  </si>
  <si>
    <t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t>
  </si>
  <si>
    <t>2019년 11월경,  OO시 OO구 일대 OOOO(주) OOOO구역 인근 정압기 및 본·공급관 공사 현장에서 재해자 2명이 도시가스 공급관(Φ315mm) 설치 작업중 토사 일부가 붕괴, 매몰되어 3개월 이상의 요양이 필요한 재해 발생.</t>
  </si>
  <si>
    <t>2020년 4월경 OOO도 OO군 OO읍 소재 OOOO현장에서 재해자가 굴착면 바닥(수직으로 굴착, 깊이 약 2m, 폭 1.1m)에서 우수관로(내경 300mm, pvc이중주름관) 연결작업을 하던 중 굴착면이 붕괴(약 1.4㎥) 되면서 매몰되어 사망한 재해임.</t>
  </si>
  <si>
    <t>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t>
  </si>
  <si>
    <t>2020년 10월경 OO시 OO구 소재 ㈜OOOO이 시공하는 OO지구 도로개설공사 현장에서 협력업체 OOOO(주) 소속 재해자가 우수관로 매설작업 중 굴착면이 무너지며 토사에 깔려 병원으로 이송치료 중 사망한 재해임</t>
  </si>
  <si>
    <t>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t>
  </si>
  <si>
    <t>2021년 5월경 OO도 OO면 소재, OOOO현장에서 재해자가 굴착면 바닥(깊이 약 1.5m)에서 우수관로(내경 450㎜) 연결부 청소작업 중 굴착면이 붕괴되며 붕괴물에 매몰되어 사망한 재해임.</t>
  </si>
  <si>
    <t>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t>
  </si>
  <si>
    <t>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t>
  </si>
  <si>
    <t>2018년 5월경 (주)OO건설에서 시공중인 OO신축공사 현장에서 협력업체  소속 재해자가 지하2층 외벽에 설치된 거푸집의 연결핀 해체작업을 하던 중, 굴착사면의 토사(약 5.6톤)가 무너지면서 깔려 사망</t>
  </si>
  <si>
    <t>붕괴ㆍ낙하에 의한 위험 방지 미실시한 상태에서 지하층 외벽에 설치된 거푸집의 연결핀 해체작업 중 굴착사면의 토사가 무너지면서 근로자 깔림</t>
  </si>
  <si>
    <t>▶ 지반은 안전한 경사로 하고 낙하의 위험이 있는 토석을 제거하거나 옹벽, 흙막이 지보공 등 설치
▶ 지반의 붕괴, 구축물의 붕괴 또는 토석의 낙하 등에 대한 위험이 있을 경우 사전 조사후 방지조치 실시</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</si>
  <si>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</si>
  <si>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</si>
  <si>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</si>
  <si>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</si>
  <si>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</si>
  <si>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</si>
  <si>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2017년 5월경 터널공사 현장에서 재해자가 덤프트럭을 운반하여 하차하는 작업 중 지반이 침하되면서 12m 아래로 떨어져 사망</t>
  </si>
  <si>
    <t>덤프트럭을 후진 정차하는 도중 단부의 지반이 침하되면서 차량이 전복되어 근로자가 운전석에 협착</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</si>
  <si>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</si>
  <si>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화학물질</t>
  </si>
  <si>
    <t>2016년 6월경 OO공사에서 재해자 등이 교량 기초 하부 통과를 위한 문형구조물 벽체 철근조립 작업 중 굴착된 공간에 누출된 LP가스가 폭발하여 4명 사망 및 10명 부상</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</si>
  <si>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</si>
  <si>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</si>
  <si>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t>
  </si>
  <si>
    <t>저류조 내부 슬러지 준설작업 확인을 위해 저류조 내부로 내려가 확인 후 올라오던 중 황화수소 중독에 의해 의식을 잃고 쓰러진 후 사망</t>
  </si>
  <si>
    <t>▶ 사전 유해가스농도를 측정, 환기설비를 통해 급기하는 등 적정한 공기상태가 유지
▶ 밀폐공간에 관련공사 관계자 외 출입을 금지하도록 조치</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</si>
  <si>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</si>
  <si>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</si>
  <si>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</si>
  <si>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t>
  </si>
  <si>
    <t>노후 상수도관 교체를 위해 제수변실에서 상수도관 천공 중 유해가스 질식</t>
  </si>
  <si>
    <t>▶ 밀폐공간 내부 작업 시 작업 전 산소 및 유해가스 농도 측정을 통한 작업여부 확인 
▶ 밀폐공간 내부 작업 시 송기마스크, 구명밧줄, 안전대 및 사다리 등 대피용 기구 비치</t>
  </si>
  <si>
    <t>2017년 6경,</t>
  </si>
  <si>
    <t>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t>
  </si>
  <si>
    <t>근로자가 유류탱크 상부 맨홀가이드를 탱크 곡면에 맞춰 산소절단기로 접속관의 아래부위를 용단하던 중 발생한 불티가 유증기에 발화, 폭발하면서 천장에 부딪힌 후 바닥으로 떨어짐</t>
  </si>
  <si>
    <t>▶ 유증기 발생을 고려하여 청소 후 지속적으로 환기 실시
▶ 현장에 가스 검지 및 경보성능을 갖춘 장치 설치
▶ 사전에 작업현장 내에 위험성 평가를 실시하여 폭발사고 발생위험 예방</t>
  </si>
  <si>
    <t>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t>
  </si>
  <si>
    <t>맨홀내부에서 배수 작업에 이용한 양수기 일산화탄소에 중독</t>
  </si>
  <si>
    <t>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t>
  </si>
  <si>
    <t xml:space="preserve">하수관 강관압입공사 현장에서 강관내부 폐기물 용단작업 중 폭발 발생. 이 후 구조를 위해 들어간 동료근로자 2명이 폭발로 인해 발생한 일산화탄소에 중독 </t>
  </si>
  <si>
    <t>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t>
  </si>
  <si>
    <t xml:space="preserve">빗물받이 설치 사전조사를 위해 맨홀내부로 들어가던 중 유해가스에 질식되어 작업자 추락. 이를 구하려던 굴삭기 기사도 질식되어 함께 추락 </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</si>
  <si>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</si>
  <si>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</si>
  <si>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</si>
  <si>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</si>
  <si>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</si>
  <si>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</si>
  <si>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</si>
  <si>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</si>
  <si>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</si>
  <si>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</si>
  <si>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</si>
  <si>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</si>
  <si>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</si>
  <si>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</si>
  <si>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</si>
  <si>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</si>
  <si>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</si>
  <si>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</si>
  <si>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</si>
  <si>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</si>
  <si>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</si>
  <si>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</si>
  <si>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</si>
  <si>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</si>
  <si>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</si>
  <si>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</si>
  <si>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</si>
  <si>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</si>
  <si>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</si>
  <si>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</si>
  <si>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t>
  </si>
  <si>
    <t>위험물질의 불안전한 사용 등 화목이 타고 있는난로에 인화성액체(휘발유 또는 신너)를 넣는 순간 화염이 발생하여 옷에 불이 붙어 화상을 입음</t>
  </si>
  <si>
    <t>▶ 작업시 화재, 폭발 예방조치 준수
▶ 인화성액체(휘발유 또는 신너) 등 위험물 보관 규정 준수</t>
  </si>
  <si>
    <t>2017년 12월경 도시형생활주택 신축공사현장 부대시설 지하층에서, ㈜OO의 하청업체인 OO건설(주) 소속 재해자 2명이 당일 보온·양생을 위해 피워놓은 야자열매숯 난로를 교체작업 중 일산화탄소에 의한 질식으로 사망</t>
  </si>
  <si>
    <t>동절기 콘크리트 타설 후 보온양생용 숯 난로를 사용하는 현장에서 농도측정을 하지 않고 송기마스크를 착용하지 않은채 작업장에 출입한 근로자 질식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</si>
  <si>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</si>
  <si>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t>
  </si>
  <si>
    <t>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t>
  </si>
  <si>
    <t>2019년 2월경 OO(주) 아파트 건설공사 현장 101동 옥탑 2층에서 재해자가 콘크리트 타설 후 보온양생용으로 피워놓은 드럼난로의 코코넛탄이 연소되며 발생한 일산화탄소에 의해 중독·질식되어 사망</t>
  </si>
  <si>
    <t>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t>
  </si>
  <si>
    <t>터널입구 본선개착구간의 지하 SHEET 방수작업 중 '톨루엔' 등이 다량 함유된 아스팔트 프라이머를 도포하던 작업자는 지하에 쓰러진 상태로 발견</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</si>
  <si>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</si>
  <si>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</si>
  <si>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지하층 방수 작업 중 도포된 유기용제 증기에 중독되어 사망</t>
  </si>
  <si>
    <t xml:space="preserve">▶ 유기화학물 취급 특별장소 작업 시 환기설비 설치 및 가동 철저
▶ 송기마스크 등 호흡용 개인보호구 지급 및 착용 철저
▶ 관리감독자 등 감시인 배치 </t>
  </si>
  <si>
    <t>2019년 4월경 위험물저장소 신축공사 현장내 기계실 지하저수조에서 재해자(방수공)가 방수(프라이머) 작업 중 휘발성 유기화합물에 의한 중독으로 사망</t>
  </si>
  <si>
    <t>2019년 5월경 ㈜OO 사옥 신축공사 현장에서 방수공사 협력업체인 ㈜OOOO 소속 재해자 2명이 지하2층 소화저수조 내부 방수공사 보수작업 중 화재가 발생하여 화상으로 2명이 사망</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</si>
  <si>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</si>
  <si>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 화재위험 장소의 환기 및 인화성 증기 농도 모니터링 철저
▶ 화재위험 장소에서의 화기사용 금지
▶ 화재위험 장소에서의 작업 시 인화성 액체 취급관리 철저 </t>
  </si>
  <si>
    <t>2019년 8월경 ㈜OO에서 시공하는 생활형숙박시설 신축공사 현장에서 재해자(방수공)는 엘리베이터 PIT내 바닥의 습기제거 작업을 위해 Torch 점화작업 중 발생한 화재로 화상을 입고 사망</t>
  </si>
  <si>
    <t>화재발생 위험장소에서는 화기사용은 금지하여야 하나 엘리베이터 피트 내 바닥의 습기제거 작업을 위해 토치 점화작업 중 발생한 화재로 화상을 입고 근로자 사망</t>
  </si>
  <si>
    <t>▶ 인화성 물질을 사용하는 화재발생 위험장소에서는 화기사용을 금지</t>
  </si>
  <si>
    <t>2020년 10월경 OO 신축공사 현장 지상 1층 펌프실 내 저수조에서 재해자(도장공)가 저수조(가로 4.8m, 세로 2.8m, 깊이 1.6m) 내 방수(하도)작업 중 도포된 유기용제 유증기에 중독되어 사망</t>
  </si>
  <si>
    <t>2017년 2월경 OO아파트 재건축 현장 내 필로티 구간에서 협력업체 소속 재해자가 바닥 석재 샘플시공을 위해 떠 다 놓은 방동제를 음용하여 중독 사망</t>
  </si>
  <si>
    <t>석재 샘플시공을 위해 종이컵에 담아놓은 방동제를 음용하여 사망</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</si>
  <si>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</si>
  <si>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2020년 12월경 발코니창호 교체공사 현장에서 세대 내 거실에 적치되어 있던 우레탄 폼 용기 등이 인접해 있던 전기난로의 영향으로 인해 폭발하면서 화재가 발생하여 창호 교체작업 중이던 재해자 2명이 추락</t>
  </si>
  <si>
    <t>발코니에서 작업하던 중 주변에 적치된 자재(우레탄폼 용기 등)가 인접한 전기난로에 의해 폭발, 화재가 발생하면서 바닥으로 추락</t>
  </si>
  <si>
    <t>▶ 우레탄 폼 용기 등 폭발, 화재 발생 위험 물질을 사용하는 장소에서는 화기사용 금지
▶ 작업이 끝난 우레탄 폼 용기 등은 반출하거나 화기 접근이 통제된 위험물보관함에 보관 조치</t>
  </si>
  <si>
    <t>2017년 1월경 다가구주택 신축공사 현장에서 재해자(미장공)가 계단을 이동하던 중 계단에 설치된 보온양생용 난로(알코올 연료) 불꽃이 작업복으로 옮겨 붙어 화상을 입고 사망</t>
  </si>
  <si>
    <t>보온양생용 난로의 불꽂이 작업구간을 이동하던 재해자의 작업복에 옮겨붙어 화상</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</si>
  <si>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</si>
  <si>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t>
  </si>
  <si>
    <t>강풍에 의해 난로가 넘어지면서 불꽂이 재해자의 작업복에 옮겨붙어 화상</t>
  </si>
  <si>
    <t>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t>
  </si>
  <si>
    <t>냉동창고 내부벽 백관파이프 배관 용접작업 중 용접불티가 노출된 벽체의 가연성물질(샌드위치패널, 우레탄폼)에 떨어져 발생한 화재로 근로자가 유독가스에 질식사</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</si>
  <si>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</si>
  <si>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</si>
  <si>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</si>
  <si>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</si>
  <si>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</si>
  <si>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</si>
  <si>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</si>
  <si>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</si>
  <si>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</si>
  <si>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</si>
  <si>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</si>
  <si>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</si>
  <si>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</si>
  <si>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</si>
  <si>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</si>
  <si>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</si>
  <si>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</si>
  <si>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</si>
  <si>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</si>
  <si>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</si>
  <si>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</si>
  <si>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</si>
  <si>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</si>
  <si>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</si>
  <si>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</si>
  <si>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 xml:space="preserve"> 2017년 8월</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</si>
  <si>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</si>
  <si>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</si>
  <si>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</si>
  <si>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</si>
  <si>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</si>
  <si>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</si>
  <si>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</si>
  <si>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</si>
  <si>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흙막이가시설</t>
  </si>
  <si>
    <t>2017년 2월경 아파트 신축공사현장에서 재해자가 흙막이 지보공 1단 코너 띠장 상부에서 이동하던 중 몸의 중심을 잃고 10m 아래 바닥으로 추락하여 사망</t>
  </si>
  <si>
    <t>이동통로가 설치되지 않은 흙막이지보공을 통해 굴착저면 바닥으로 이동 중 추락</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</si>
  <si>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</si>
  <si>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2015년 5월경 빌딩 신축공사현장에서 재해자가 용접작업을 위해 띠장 상부에서 대기 중 토류판이 쏟아져 그 충격으로 4m 아래 굴착 하부로 추락하여 사망</t>
  </si>
  <si>
    <t>백호 버킷으로 엄지말뚝을 밀다가(수직도를 맞추기 위해) 버킷이 미끌어져 토류판을 가격하고 그 충격으로 기설치된 토류판이 쏟아져 깔림</t>
  </si>
  <si>
    <t>▶ 차량계 건설기계 사용에 따른 작업계획서 작성 및 작업지휘자 지정 
▶ 흙막이 지보공 조립작업 시 현장 여건을 반영한 위험요소 배제 후 안전한 작업 방법으로 실시</t>
  </si>
  <si>
    <t>2016년 4월경 하수처리시설 설치공사에서 재해자가 흙막이 가시설에 사용하는 후판(철판)을 토사 무너짐 방지를 목적으로 설치하려 던 중에 후판(철판)을 고정하였던 고리(후크)가 빠지면서 넘어지고 깔려 사망</t>
  </si>
  <si>
    <t>후크해지장치 미설치한 상태에서 철판을 고정하였던 후크가 빠지면서 넘어져 근로자가 깔림</t>
  </si>
  <si>
    <t>▶ 중량물 인양시 전도방지를 위해 후크해지장치 설치 확인 후 작업 수행
▶ 중량물 취급 작업 시 근로자 출입 통제 및 유도자 배치</t>
  </si>
  <si>
    <t>2016년 6월경 OO(주) OO편의시설 설치공사 현장에서 재해자가 흙막이 지보공 위에 설치된 점검통로를 해체하는 과정에서 몸의 중심을 잃고 약 5.45m 아래 콘크리트 바닥으로 떨어져 사망</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</si>
  <si>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</si>
  <si>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2016년 9월경 근린생활시설 신축현장에서 재해자가 흙막이가시설 코너 버팀보(4번) 설치를 위한 간격측정(3-4번)을 하려고 상체를 숙이는 중 굴착저면(약 7m)으로 추락하여 사망</t>
  </si>
  <si>
    <t>2018년 1월경 복합문화시설 신축공사에서 재해자가 어스앵커(Earth Anchor) 강선 인장작업 중 어스앵커 대좌(Bracket)가 회전하면서 인장기 실린더에 머리를 맞아 사망</t>
  </si>
  <si>
    <t>어스앵커 강선 인장작업 중 사용자재 불량에 따른 어스앵커 대좌가 회전하면서 근로자가 인장기실린더에 충돌</t>
  </si>
  <si>
    <t>▶ 어스앵커 등 흙막이지보공 부재에 대한 검수(단면결손 및 변형, 용접불량, 부식, 재사용 가설기자재 여부 등)를 사전에 수행
▶ 주기적인 점검을 통해 결함이 있는 부재에 대해 교체 및 보강 실시</t>
  </si>
  <si>
    <t>2020년 5월경 오피스텔 신축공사 현장에서 재해자가 흙막이지보공(코너스트럿 6단) 위를 이동하던 중 실족하여 높이 약 8m아래 추락하여 사망</t>
  </si>
  <si>
    <t>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t>
  </si>
  <si>
    <t>Sheet pile의 높이를 맞추기 위해 튀어나온 부분 절단 작업을하던 중 Sheet pile이 전도되어 깔림</t>
  </si>
  <si>
    <t>▶ 차량계 건설기계 사용에 따른 작업계획서 작성 및 작업지휘자 지정 
▶ 흙막이 지보공 조립작업 시 현장 여건을 반영한 위험요소(추락, 낙하, 전도) 배제 후 안전한 작업 방법으로 실시</t>
  </si>
  <si>
    <t>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t>
  </si>
  <si>
    <t>낙하물 위험구간에서 작업중이던 근로자가 상부에서 설치중이던 띠장이 낙하하여 맞음</t>
  </si>
  <si>
    <t xml:space="preserve">▶ 중량물 낙하 위험이 있는 곳에 출입금지 구역 설정 및 출입인원 통제
▶ 낙하물 위험구간 상하 동시 작업 제한 </t>
  </si>
  <si>
    <t>2020년 12월경 문화 및 근린생활 사옥 신축현장에서 재해자가 코너 스트러트 2단 설치를 위해 H-Beam 상부에서 이동 중 몸의  중심을 잃고 굴착 저면으로 추락(H≒2.9m)하여 사망</t>
  </si>
  <si>
    <t>2016년 3월경 진입도로 개설공사 내 지하차도 15블럭에서 재해자가 원형강관버팀대 해체작업을 하던 중 몸의 중심을 잃고 4.8m아래 콘크리트 바닥으로 추락하여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</si>
  <si>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</si>
  <si>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2016년 10월경 재건축 정비사업 현장에서 재해자가 흙막이가시설의 띠장 (Wale, H 형강) 해체 중 1줄걸이 와이어로프에 빔클램프로 연결하여 인양하던 띠장에 복부를 맞아 사망</t>
  </si>
  <si>
    <t>흙막이지보공 띠장 해체작업 중 설치지점에서 이탈된 띠장(이동식크레인 붐에 결속)에 1차 충돌 후 2차로 콘크리트 옹벽에 부딪힘</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</si>
  <si>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</si>
  <si>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2016년 11월경 우수저류시설 설치사업현장에서 재해자가 흙막이가시설(1단 버팀보) 해체작업 중 토압으로 인하여 튕겨 나온 버팀보 부재에 맞아 사망</t>
  </si>
  <si>
    <t>2017년 10월경 물류센터 신축공사현장에서 재해자가 흙막이 띠장 5단 해체작업 중 흙막이와 구조물 벽체가 순간적으로 붕괴되어 1명이 사망, 중상 2명, 경상 7명</t>
  </si>
  <si>
    <t>흙막이 해체작업 중 흙막이와 구조물 벽체가 순간적으로 붕괴되어 근로자가 토사에 매몰</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</si>
  <si>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</si>
  <si>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2018년 4월경 터널 건설공사 현장에서 재해자가 지하차도 구간의 흙막이 가시설(띠장) 해체 구간 하부에서 작업 중 절단되어 떨어지는 흙막이 가시설(띠장)에 맞아 사망</t>
  </si>
  <si>
    <t>H-Beam 을 이동식크레인에 달아매어 해체하던 중 흔들리는 H-beam에 맞아 근로자가 바닥으로 추락</t>
  </si>
  <si>
    <t>2018년 5월경 아파트 신축공사 현장에서 재해자가 흙막이가설재인 H-beam을 이동식크레인에 달아매어 해체 중 달아맨 H-beam에 맞아 지하1층 바닥으로 떨어져(높이 약5m) 사망</t>
  </si>
  <si>
    <t>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t>
  </si>
  <si>
    <t>2018년 9월경 재해자가 흙막이가시설 볼트해체 작업 중 스트럿과 사보부재가 띠장에서 탈락되어 약 3.3m아래 콘크리트 바닥으로 떨어져 사망</t>
  </si>
  <si>
    <t>가스트럿 상부에서 띠장과 스트럿 접속부 볼트해체 작업 중 스트럿이 띠장에서 이탈되며 근로자가 콘크리트 바닥으로 떨어짐</t>
  </si>
  <si>
    <t>▶ 바닥 개구부 주변에서 거푸집 운반 등의 작업 시 개구부로의 떨어짐을 방지하기 위해 견고하게 설치 
▶ 개구부에도 덮개 또는 추락방호망 등 방호조치 실시</t>
  </si>
  <si>
    <t>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t>
  </si>
  <si>
    <t>▶ 인접건물 또는 구축물 등이 굴착 등으로 붕괴 등 위험이 예상되는 경우 안전진단 등으로 안전성을 평가하여 위험성 제거
▶ 지반 굴착시 지층상태, 매설물 유무 등을 사전조사 실시</t>
  </si>
  <si>
    <t>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t>
  </si>
  <si>
    <t>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t>
  </si>
  <si>
    <t xml:space="preserve">▶ 흙막이 지보공 해체작업 시 낙하 등의 사고예방을 위해 근로자 출입금지조치
▶ 중량물 인양시 현장 여건을 ㅈ반영하여 적절한 인양방법, 인양 장비 등 적용 </t>
  </si>
  <si>
    <t>2021년 3월경 도시형생활주택 신축공사 현장에서 재해자가 흙막이 해체작업 중 안전대 부착설비가 미설치된 띠장(폭=35cm) 위에서 몸의 중심을 잃고 떨어져(H≒3.3m) 사망</t>
  </si>
  <si>
    <t>2016년 6월경 아파트 신축공사 현장에서 재해자가 흙막이 벽체 상단부에서 가스절단기(산소+LPG)를 인양·수거하던 중 몸의 중심을 잃고 6m 아래 바닥으로 추락하여 사망</t>
  </si>
  <si>
    <t>▶ 흙막이가시설 굴착단부에 안전난간을 견고하게 설치</t>
  </si>
  <si>
    <t>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t>
  </si>
  <si>
    <t>버팀대를 평탄하지 않은 지반위에 수직으로 세워놓고 연결볼트 해체하던 중 버팀대의 전도로 버팀대 사이에 협착</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</si>
  <si>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</si>
  <si>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t>
  </si>
  <si>
    <t>강제 집수정 양중 작업 중 유도로프가 흙막이 버팀대에 걸려 버팀대 상부 이동 중 추락</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</si>
  <si>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</si>
  <si>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</si>
  <si>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</si>
  <si>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</si>
  <si>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</si>
  <si>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</si>
  <si>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t>
  </si>
  <si>
    <t>추락 방지조치 미실시한 상태에서 지하층 합벽 거푸집 전도방지를 위해 동바리를 버팀보에 설치 후 버팀보 위에서 이동 중 중심을 잃고 근로자 추락</t>
  </si>
  <si>
    <t>2019년 1월경 OO(주) OO신축공사현장에서 협력업체 소속 재해자(타설공)가 지하 기둥 콘크리트 타설을 위하여 흙막이 지보공(코너스트러트) 위에서 이동 중 높이 약 4.9M 콘크리트 바닥으로 떨어져 사망</t>
  </si>
  <si>
    <t>지하 기둥 콘크리트 타설을 위해 안전난간이 설치되지 않은 흙막이 지보공 위에서 이동 중 근로자가 몸의 중심을 잃고 추락</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</si>
  <si>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</si>
  <si>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2019년 6월경 송수시설공사에서 재해자가 수직구로 내려가 흙막이 지보공 띠장 용접위치를 확인하던 중 3m 아래 콘크리트 바닥으로 추락하여 사망</t>
  </si>
  <si>
    <t>안전대를 미착용하고 흙막이지보공 사보강재 위에서 작업 중 균형을 잃고 추락</t>
  </si>
  <si>
    <t>▶ 추락방지를 위해 안전대 부착설비 설치 및 안전대 지급
▶ 작업 또는 이동 시 안전대에 걸도록 관리감독 수행</t>
  </si>
  <si>
    <t>재해형태</t>
  </si>
  <si>
    <t>건수</t>
  </si>
  <si>
    <t>유해위험 요인</t>
    <phoneticPr fontId="22" type="noConversion"/>
  </si>
  <si>
    <t>기인물을 선택하면, 해당 기인물의 다빈도 공정 · 재해형태 · 사고사례 · 개선대책이 자동으로 표시됩니다.  |  오른쪽 기인물 목록 참조</t>
  </si>
  <si>
    <t>① 기인물 선택</t>
  </si>
  <si>
    <t>📋 기인물 전체 목록 (다빈도순)</t>
  </si>
  <si>
    <t>No.</t>
  </si>
  <si>
    <t>기인물 분류</t>
  </si>
  <si>
    <t>② 다빈도 사용공정 Top 10</t>
  </si>
  <si>
    <t>작업명 (공정)</t>
  </si>
  <si>
    <t>③ 다빈도 재해형태 Top 10</t>
  </si>
  <si>
    <t>재해개요 (사고사망 사례)</t>
  </si>
  <si>
    <t>위험성 감소대책 (예시)</t>
  </si>
  <si>
    <t>기인물</t>
    <phoneticPr fontId="22" type="noConversion"/>
  </si>
  <si>
    <t>순위</t>
    <phoneticPr fontId="22" type="noConversion"/>
  </si>
  <si>
    <t>작업명</t>
    <phoneticPr fontId="22" type="noConversion"/>
  </si>
  <si>
    <t>작업명건수</t>
    <phoneticPr fontId="22" type="noConversion"/>
  </si>
  <si>
    <t>재해형태</t>
    <phoneticPr fontId="22" type="noConversion"/>
  </si>
  <si>
    <t>재해형태건수</t>
    <phoneticPr fontId="22" type="noConversion"/>
  </si>
  <si>
    <t>개선대책(Unique)</t>
    <phoneticPr fontId="22" type="noConversion"/>
  </si>
  <si>
    <t>💡 MECE: 관리적 대책 / 기술적 대책 / 개인보호구 관점으로 분류하여 빠짐없이 적용하세요.</t>
  </si>
  <si>
    <t>차트_공정명</t>
  </si>
  <si>
    <t>차트_공정건수</t>
  </si>
  <si>
    <t>차트_재해형태</t>
  </si>
  <si>
    <t>차트_재해건수</t>
  </si>
  <si>
    <t>사용공정</t>
  </si>
  <si>
    <t>기인물의 위험도 순위</t>
    <phoneticPr fontId="22" type="noConversion"/>
  </si>
  <si>
    <t xml:space="preserve"> 기인물 기반 위험성평가 — SIF DB 연계 참조 시트</t>
    <phoneticPr fontId="22" type="noConversion"/>
  </si>
  <si>
    <t>※ 유해·위험요인에 적합한 보호구를 확인 하세요.
[보호구 착용법]</t>
    <phoneticPr fontId="22" type="noConversion"/>
  </si>
  <si>
    <t>위험성평가 데이터 입력</t>
    <phoneticPr fontId="22" type="noConversion"/>
  </si>
  <si>
    <t>가능성(전)</t>
    <phoneticPr fontId="22" type="noConversion"/>
  </si>
  <si>
    <t>중대성(전)</t>
    <phoneticPr fontId="22" type="noConversion"/>
  </si>
  <si>
    <t>위험도(전)</t>
    <phoneticPr fontId="22" type="noConversion"/>
  </si>
  <si>
    <r>
      <rPr>
        <b/>
        <sz val="10"/>
        <rFont val="Batang"/>
        <family val="2"/>
        <charset val="129"/>
      </rPr>
      <t>가능성</t>
    </r>
    <r>
      <rPr>
        <b/>
        <sz val="10"/>
        <rFont val="Times New Roman"/>
        <family val="2"/>
      </rPr>
      <t xml:space="preserve">
(</t>
    </r>
    <r>
      <rPr>
        <b/>
        <sz val="10"/>
        <rFont val="Batang"/>
        <family val="2"/>
        <charset val="129"/>
      </rPr>
      <t>빈도</t>
    </r>
    <r>
      <rPr>
        <b/>
        <sz val="10"/>
        <rFont val="Times New Roman"/>
        <family val="2"/>
      </rPr>
      <t>)</t>
    </r>
    <phoneticPr fontId="22" type="noConversion"/>
  </si>
  <si>
    <t>삼지전자</t>
    <phoneticPr fontId="22" type="noConversion"/>
  </si>
  <si>
    <t>위 험 성 평 가 표</t>
    <phoneticPr fontId="22" type="noConversion"/>
  </si>
  <si>
    <t>작업단계</t>
    <phoneticPr fontId="22" type="noConversion"/>
  </si>
  <si>
    <t>작업내용</t>
    <phoneticPr fontId="22" type="noConversion"/>
  </si>
  <si>
    <t>관리번호</t>
    <phoneticPr fontId="22" type="noConversion"/>
  </si>
  <si>
    <t>체크</t>
    <phoneticPr fontId="22" type="noConversion"/>
  </si>
  <si>
    <t>미해당</t>
  </si>
  <si>
    <t>해당</t>
  </si>
  <si>
    <t>누적할당건수</t>
  </si>
  <si>
    <t>개별할당건수</t>
  </si>
  <si>
    <r>
      <rPr>
        <b/>
        <sz val="10"/>
        <color rgb="FF000000"/>
        <rFont val="Batang"/>
        <family val="1"/>
        <charset val="129"/>
      </rPr>
      <t>공정</t>
    </r>
    <r>
      <rPr>
        <b/>
        <sz val="10"/>
        <color rgb="FF000000"/>
        <rFont val="Times New Roman"/>
        <family val="1"/>
      </rPr>
      <t xml:space="preserve"> </t>
    </r>
    <r>
      <rPr>
        <b/>
        <sz val="10"/>
        <color rgb="FF000000"/>
        <rFont val="Batang"/>
        <family val="1"/>
        <charset val="129"/>
      </rPr>
      <t>내용</t>
    </r>
    <phoneticPr fontId="22" type="noConversion"/>
  </si>
  <si>
    <r>
      <rPr>
        <b/>
        <sz val="10"/>
        <color rgb="FF000000"/>
        <rFont val="Batang"/>
        <family val="1"/>
        <charset val="129"/>
      </rPr>
      <t>고위험</t>
    </r>
    <r>
      <rPr>
        <b/>
        <sz val="10"/>
        <color rgb="FF000000"/>
        <rFont val="Times New Roman"/>
        <family val="1"/>
      </rPr>
      <t xml:space="preserve"> </t>
    </r>
    <r>
      <rPr>
        <b/>
        <sz val="10"/>
        <color rgb="FF000000"/>
        <rFont val="Batang"/>
        <family val="1"/>
        <charset val="129"/>
      </rPr>
      <t>기인물</t>
    </r>
    <r>
      <rPr>
        <b/>
        <sz val="10"/>
        <color rgb="FF000000"/>
        <rFont val="Times New Roman"/>
        <family val="1"/>
      </rPr>
      <t xml:space="preserve"> </t>
    </r>
    <r>
      <rPr>
        <b/>
        <sz val="10"/>
        <color rgb="FF000000"/>
        <rFont val="Batang"/>
        <family val="1"/>
        <charset val="129"/>
      </rPr>
      <t>해당여부</t>
    </r>
    <r>
      <rPr>
        <b/>
        <sz val="10"/>
        <color rgb="FF000000"/>
        <rFont val="Times New Roman"/>
        <family val="1"/>
      </rPr>
      <t xml:space="preserve"> </t>
    </r>
    <r>
      <rPr>
        <b/>
        <sz val="10"/>
        <color rgb="FF000000"/>
        <rFont val="Batang"/>
        <family val="1"/>
        <charset val="129"/>
      </rPr>
      <t>체크</t>
    </r>
    <phoneticPr fontId="22" type="noConversion"/>
  </si>
  <si>
    <r>
      <rPr>
        <b/>
        <sz val="10"/>
        <color rgb="FF000000"/>
        <rFont val="Batang"/>
        <family val="1"/>
        <charset val="129"/>
      </rPr>
      <t>기인물</t>
    </r>
    <r>
      <rPr>
        <b/>
        <sz val="10"/>
        <color rgb="FF000000"/>
        <rFont val="Times New Roman"/>
        <family val="1"/>
      </rPr>
      <t xml:space="preserve"> </t>
    </r>
    <r>
      <rPr>
        <b/>
        <sz val="10"/>
        <color rgb="FF000000"/>
        <rFont val="Batang"/>
        <family val="1"/>
        <charset val="129"/>
      </rPr>
      <t>적용</t>
    </r>
    <r>
      <rPr>
        <b/>
        <sz val="10"/>
        <color rgb="FF000000"/>
        <rFont val="Times New Roman"/>
        <family val="1"/>
      </rPr>
      <t xml:space="preserve"> </t>
    </r>
    <r>
      <rPr>
        <b/>
        <sz val="10"/>
        <color rgb="FF000000"/>
        <rFont val="Batang"/>
        <family val="1"/>
        <charset val="129"/>
      </rPr>
      <t>공정</t>
    </r>
    <r>
      <rPr>
        <b/>
        <sz val="10"/>
        <color rgb="FF000000"/>
        <rFont val="Times New Roman"/>
        <family val="1"/>
      </rPr>
      <t xml:space="preserve"> </t>
    </r>
    <r>
      <rPr>
        <b/>
        <sz val="10"/>
        <color rgb="FF000000"/>
        <rFont val="Batang"/>
        <family val="1"/>
        <charset val="129"/>
      </rPr>
      <t>및</t>
    </r>
    <r>
      <rPr>
        <b/>
        <sz val="10"/>
        <color rgb="FF000000"/>
        <rFont val="Times New Roman"/>
        <family val="1"/>
      </rPr>
      <t xml:space="preserve"> </t>
    </r>
    <r>
      <rPr>
        <b/>
        <sz val="10"/>
        <color rgb="FF000000"/>
        <rFont val="Batang"/>
        <family val="1"/>
        <charset val="129"/>
      </rPr>
      <t>작업내용</t>
    </r>
    <r>
      <rPr>
        <b/>
        <sz val="10"/>
        <color rgb="FF000000"/>
        <rFont val="Times New Roman"/>
        <family val="1"/>
      </rPr>
      <t xml:space="preserve"> </t>
    </r>
    <r>
      <rPr>
        <b/>
        <sz val="10"/>
        <color rgb="FF000000"/>
        <rFont val="Batang"/>
        <family val="1"/>
        <charset val="129"/>
      </rPr>
      <t>입력</t>
    </r>
    <phoneticPr fontId="22" type="noConversion"/>
  </si>
  <si>
    <t>작업 명</t>
    <phoneticPr fontId="22" type="noConversion"/>
  </si>
  <si>
    <t>해당</t>
    <phoneticPr fontId="22" type="noConversion"/>
  </si>
  <si>
    <t>구분</t>
    <phoneticPr fontId="22" type="noConversion"/>
  </si>
  <si>
    <t>비고</t>
    <phoneticPr fontId="22" type="noConversion"/>
  </si>
  <si>
    <t>중장비</t>
    <phoneticPr fontId="22" type="noConversion"/>
  </si>
  <si>
    <t>공기구</t>
    <phoneticPr fontId="22" type="noConversion"/>
  </si>
  <si>
    <t>직접입력</t>
    <phoneticPr fontId="22" type="noConversion"/>
  </si>
  <si>
    <r>
      <rPr>
        <sz val="13"/>
        <color rgb="FF000000"/>
        <rFont val="Batang"/>
        <family val="1"/>
        <charset val="129"/>
      </rPr>
      <t>하절기</t>
    </r>
    <r>
      <rPr>
        <sz val="13"/>
        <color rgb="FF000000"/>
        <rFont val="Times New Roman"/>
        <family val="1"/>
      </rPr>
      <t xml:space="preserve"> </t>
    </r>
    <r>
      <rPr>
        <sz val="13"/>
        <color rgb="FF000000"/>
        <rFont val="Batang"/>
        <family val="1"/>
        <charset val="129"/>
      </rPr>
      <t>필수선택</t>
    </r>
    <phoneticPr fontId="22" type="noConversion"/>
  </si>
  <si>
    <t>김안전, 이이경</t>
    <phoneticPr fontId="22" type="noConversion"/>
  </si>
  <si>
    <r>
      <rPr>
        <b/>
        <sz val="10"/>
        <color rgb="FF000000"/>
        <rFont val="Batang"/>
        <family val="1"/>
        <charset val="129"/>
      </rPr>
      <t>위험성평가</t>
    </r>
    <r>
      <rPr>
        <b/>
        <sz val="10"/>
        <color rgb="FF000000"/>
        <rFont val="Times New Roman"/>
        <family val="1"/>
      </rPr>
      <t xml:space="preserve"> </t>
    </r>
    <r>
      <rPr>
        <b/>
        <sz val="10"/>
        <color rgb="FF000000"/>
        <rFont val="Batang"/>
        <family val="1"/>
        <charset val="129"/>
      </rPr>
      <t>참여자</t>
    </r>
    <r>
      <rPr>
        <b/>
        <sz val="10"/>
        <color rgb="FF000000"/>
        <rFont val="Times New Roman"/>
        <family val="1"/>
      </rPr>
      <t xml:space="preserve"> </t>
    </r>
    <r>
      <rPr>
        <b/>
        <sz val="10"/>
        <color rgb="FF000000"/>
        <rFont val="Batang"/>
        <family val="1"/>
        <charset val="129"/>
      </rPr>
      <t>명단</t>
    </r>
    <phoneticPr fontId="22" type="noConversion"/>
  </si>
  <si>
    <t>김가나1</t>
    <phoneticPr fontId="22" type="noConversion"/>
  </si>
  <si>
    <t>김가나2</t>
    <phoneticPr fontId="22" type="noConversion"/>
  </si>
  <si>
    <t>김가나3</t>
  </si>
  <si>
    <t>김가나4</t>
  </si>
  <si>
    <t>김가나5</t>
  </si>
  <si>
    <t>김가나6</t>
  </si>
  <si>
    <t>김가나7</t>
  </si>
  <si>
    <t>김가나8</t>
  </si>
  <si>
    <t>김가나9</t>
  </si>
  <si>
    <t>김가나10</t>
  </si>
  <si>
    <t>김가나11</t>
  </si>
  <si>
    <t>김가나12</t>
  </si>
  <si>
    <t>김가나13</t>
  </si>
  <si>
    <t>김가나14</t>
  </si>
  <si>
    <t>김가나15</t>
  </si>
  <si>
    <t>김가나16</t>
  </si>
  <si>
    <t>김가나17</t>
  </si>
  <si>
    <t>김가나18</t>
  </si>
  <si>
    <t>김가나19</t>
  </si>
  <si>
    <t>김가나20</t>
  </si>
  <si>
    <t>김가나21</t>
  </si>
  <si>
    <t>김가나22</t>
  </si>
  <si>
    <t>김가나23</t>
  </si>
  <si>
    <t>출력부</t>
    <phoneticPr fontId="22" type="noConversion"/>
  </si>
  <si>
    <r>
      <rPr>
        <sz val="10"/>
        <color rgb="FF000000"/>
        <rFont val="Batang"/>
        <family val="1"/>
        <charset val="129"/>
      </rPr>
      <t>스카이</t>
    </r>
    <r>
      <rPr>
        <sz val="10"/>
        <color rgb="FF000000"/>
        <rFont val="Times New Roman"/>
        <family val="1"/>
      </rPr>
      <t xml:space="preserve"> </t>
    </r>
    <r>
      <rPr>
        <sz val="10"/>
        <color rgb="FF000000"/>
        <rFont val="Batang"/>
        <family val="1"/>
        <charset val="129"/>
      </rPr>
      <t>등</t>
    </r>
    <phoneticPr fontId="22" type="noConversion"/>
  </si>
  <si>
    <t>작업분류</t>
    <phoneticPr fontId="22" type="noConversion"/>
  </si>
  <si>
    <t>순</t>
    <phoneticPr fontId="22" type="noConversion"/>
  </si>
  <si>
    <t>일반작업</t>
    <phoneticPr fontId="22" type="noConversion"/>
  </si>
  <si>
    <t>화기작업</t>
    <phoneticPr fontId="22" type="noConversion"/>
  </si>
  <si>
    <t>밀폐작업</t>
    <phoneticPr fontId="22" type="noConversion"/>
  </si>
  <si>
    <t>고소작업</t>
    <phoneticPr fontId="22" type="noConversion"/>
  </si>
  <si>
    <t>정전작업</t>
    <phoneticPr fontId="22" type="noConversion"/>
  </si>
  <si>
    <t>굴착작업</t>
    <phoneticPr fontId="22" type="noConversion"/>
  </si>
  <si>
    <t>방사선작업</t>
    <phoneticPr fontId="22" type="noConversion"/>
  </si>
  <si>
    <t>중장비작업</t>
    <phoneticPr fontId="22" type="noConversion"/>
  </si>
  <si>
    <t>중량물작업</t>
    <phoneticPr fontId="22" type="noConversion"/>
  </si>
  <si>
    <t>잠수작업</t>
    <phoneticPr fontId="22" type="noConversion"/>
  </si>
  <si>
    <r>
      <rPr>
        <sz val="10"/>
        <color rgb="FF0000FF"/>
        <rFont val="Batang"/>
        <family val="1"/>
        <charset val="129"/>
      </rPr>
      <t>감전위험</t>
    </r>
    <r>
      <rPr>
        <sz val="10"/>
        <color rgb="FF0000FF"/>
        <rFont val="Times New Roman"/>
        <family val="1"/>
      </rPr>
      <t xml:space="preserve">, </t>
    </r>
    <r>
      <rPr>
        <sz val="10"/>
        <color rgb="FF0000FF"/>
        <rFont val="Batang"/>
        <family val="1"/>
        <charset val="129"/>
      </rPr>
      <t>아크플래시</t>
    </r>
    <r>
      <rPr>
        <sz val="10"/>
        <color rgb="FF0000FF"/>
        <rFont val="Times New Roman"/>
        <family val="1"/>
      </rPr>
      <t xml:space="preserve">, </t>
    </r>
    <r>
      <rPr>
        <sz val="10"/>
        <color rgb="FF0000FF"/>
        <rFont val="Batang"/>
        <family val="1"/>
        <charset val="129"/>
      </rPr>
      <t>케이블</t>
    </r>
    <r>
      <rPr>
        <sz val="10"/>
        <color rgb="FF0000FF"/>
        <rFont val="Times New Roman"/>
        <family val="1"/>
      </rPr>
      <t xml:space="preserve"> </t>
    </r>
    <r>
      <rPr>
        <sz val="10"/>
        <color rgb="FF0000FF"/>
        <rFont val="Batang"/>
        <family val="1"/>
        <charset val="129"/>
      </rPr>
      <t>노후</t>
    </r>
    <phoneticPr fontId="22" type="noConversion"/>
  </si>
  <si>
    <t>작업절차서</t>
    <phoneticPr fontId="22" type="noConversion"/>
  </si>
  <si>
    <t>사망건수</t>
    <phoneticPr fontId="22" type="noConversion"/>
  </si>
  <si>
    <t>고소</t>
    <phoneticPr fontId="22" type="noConversion"/>
  </si>
  <si>
    <t>중장비여부</t>
    <phoneticPr fontId="22" type="noConversion"/>
  </si>
  <si>
    <t>결과</t>
    <phoneticPr fontId="22" type="noConversion"/>
  </si>
  <si>
    <t>자동</t>
    <phoneticPr fontId="22" type="noConversion"/>
  </si>
  <si>
    <t>수동</t>
    <phoneticPr fontId="22" type="noConversion"/>
  </si>
  <si>
    <t>감전</t>
    <phoneticPr fontId="22" type="noConversion"/>
  </si>
  <si>
    <t>고소, 감전</t>
    <phoneticPr fontId="22" type="noConversion"/>
  </si>
  <si>
    <t>굴착</t>
    <phoneticPr fontId="22" type="noConversion"/>
  </si>
  <si>
    <r>
      <rPr>
        <sz val="10"/>
        <color rgb="FF000000"/>
        <rFont val="Batang"/>
        <family val="1"/>
        <charset val="129"/>
      </rPr>
      <t>자동</t>
    </r>
    <r>
      <rPr>
        <sz val="10"/>
        <color rgb="FF000000"/>
        <rFont val="Times New Roman"/>
        <family val="1"/>
      </rPr>
      <t xml:space="preserve"> </t>
    </r>
    <r>
      <rPr>
        <sz val="10"/>
        <color rgb="FF000000"/>
        <rFont val="Batang"/>
        <family val="1"/>
        <charset val="129"/>
      </rPr>
      <t>체크</t>
    </r>
    <phoneticPr fontId="22" type="noConversion"/>
  </si>
  <si>
    <t>자동반영</t>
    <phoneticPr fontId="22" type="noConversion"/>
  </si>
  <si>
    <r>
      <rPr>
        <sz val="10"/>
        <color theme="1"/>
        <rFont val="Batang"/>
        <family val="1"/>
        <charset val="129"/>
      </rPr>
      <t>배전반</t>
    </r>
    <r>
      <rPr>
        <sz val="10"/>
        <color theme="1"/>
        <rFont val="Times New Roman"/>
        <family val="1"/>
      </rPr>
      <t xml:space="preserve"> </t>
    </r>
    <r>
      <rPr>
        <sz val="10"/>
        <color theme="1"/>
        <rFont val="Batang"/>
        <family val="1"/>
        <charset val="129"/>
      </rPr>
      <t>해체</t>
    </r>
    <phoneticPr fontId="22" type="noConversion"/>
  </si>
  <si>
    <t>SIF 지정 기인물 목록</t>
    <phoneticPr fontId="22" type="noConversion"/>
  </si>
  <si>
    <t>작업단계 (공정)</t>
    <phoneticPr fontId="22" type="noConversion"/>
  </si>
  <si>
    <t>JSA 위험성평가 양식</t>
    <phoneticPr fontId="22" type="noConversion"/>
  </si>
  <si>
    <r>
      <t>전기실</t>
    </r>
    <r>
      <rPr>
        <sz val="10"/>
        <color theme="1"/>
        <rFont val="Times New Roman"/>
        <family val="1"/>
      </rPr>
      <t xml:space="preserve"> </t>
    </r>
    <r>
      <rPr>
        <sz val="10"/>
        <color theme="1"/>
        <rFont val="궁서"/>
        <family val="1"/>
        <charset val="129"/>
      </rPr>
      <t>내</t>
    </r>
    <r>
      <rPr>
        <sz val="10"/>
        <color theme="1"/>
        <rFont val="Times New Roman"/>
        <family val="1"/>
      </rPr>
      <t xml:space="preserve"> </t>
    </r>
    <r>
      <rPr>
        <sz val="10"/>
        <color theme="1"/>
        <rFont val="궁서"/>
        <family val="1"/>
        <charset val="129"/>
      </rPr>
      <t>배전반</t>
    </r>
    <r>
      <rPr>
        <sz val="10"/>
        <color theme="1"/>
        <rFont val="Times New Roman"/>
        <family val="1"/>
      </rPr>
      <t xml:space="preserve"> </t>
    </r>
    <r>
      <rPr>
        <sz val="10"/>
        <color theme="1"/>
        <rFont val="궁서"/>
        <family val="1"/>
        <charset val="129"/>
      </rPr>
      <t>교체</t>
    </r>
    <r>
      <rPr>
        <sz val="10"/>
        <color theme="1"/>
        <rFont val="Times New Roman"/>
        <family val="1"/>
      </rPr>
      <t xml:space="preserve"> </t>
    </r>
    <r>
      <rPr>
        <sz val="10"/>
        <color theme="1"/>
        <rFont val="궁서"/>
        <family val="1"/>
        <charset val="129"/>
      </rPr>
      <t>및</t>
    </r>
    <r>
      <rPr>
        <sz val="10"/>
        <color theme="1"/>
        <rFont val="Times New Roman"/>
        <family val="1"/>
      </rPr>
      <t xml:space="preserve"> </t>
    </r>
    <r>
      <rPr>
        <sz val="10"/>
        <color theme="1"/>
        <rFont val="궁서"/>
        <family val="1"/>
        <charset val="129"/>
      </rPr>
      <t>케이블</t>
    </r>
    <r>
      <rPr>
        <sz val="10"/>
        <color theme="1"/>
        <rFont val="Times New Roman"/>
        <family val="1"/>
      </rPr>
      <t xml:space="preserve"> </t>
    </r>
    <r>
      <rPr>
        <sz val="10"/>
        <color theme="1"/>
        <rFont val="궁서"/>
        <family val="1"/>
        <charset val="129"/>
      </rPr>
      <t>정비</t>
    </r>
    <r>
      <rPr>
        <sz val="10"/>
        <color theme="1"/>
        <rFont val="Times New Roman"/>
        <family val="1"/>
      </rPr>
      <t xml:space="preserve">, </t>
    </r>
    <r>
      <rPr>
        <sz val="10"/>
        <color theme="1"/>
        <rFont val="궁서"/>
        <family val="1"/>
        <charset val="129"/>
      </rPr>
      <t>접지</t>
    </r>
    <r>
      <rPr>
        <sz val="10"/>
        <color theme="1"/>
        <rFont val="Times New Roman"/>
        <family val="1"/>
      </rPr>
      <t xml:space="preserve"> </t>
    </r>
    <r>
      <rPr>
        <sz val="10"/>
        <color theme="1"/>
        <rFont val="궁서"/>
        <family val="1"/>
        <charset val="129"/>
      </rPr>
      <t>점검</t>
    </r>
  </si>
  <si>
    <r>
      <rPr>
        <b/>
        <sz val="16"/>
        <color rgb="FF000000"/>
        <rFont val="Batang"/>
        <family val="1"/>
        <charset val="129"/>
      </rPr>
      <t>위험성평가</t>
    </r>
    <r>
      <rPr>
        <b/>
        <sz val="16"/>
        <color rgb="FF000000"/>
        <rFont val="Times New Roman"/>
        <family val="1"/>
      </rPr>
      <t xml:space="preserve"> </t>
    </r>
    <r>
      <rPr>
        <b/>
        <sz val="16"/>
        <color rgb="FF000000"/>
        <rFont val="Batang"/>
        <family val="1"/>
        <charset val="129"/>
      </rPr>
      <t>주요</t>
    </r>
    <r>
      <rPr>
        <b/>
        <sz val="16"/>
        <color rgb="FF000000"/>
        <rFont val="Times New Roman"/>
        <family val="1"/>
      </rPr>
      <t xml:space="preserve"> </t>
    </r>
    <r>
      <rPr>
        <b/>
        <sz val="16"/>
        <color rgb="FF000000"/>
        <rFont val="Batang"/>
        <family val="1"/>
        <charset val="129"/>
      </rPr>
      <t>검토</t>
    </r>
    <r>
      <rPr>
        <b/>
        <sz val="16"/>
        <color rgb="FF000000"/>
        <rFont val="Times New Roman"/>
        <family val="1"/>
      </rPr>
      <t xml:space="preserve"> </t>
    </r>
    <r>
      <rPr>
        <b/>
        <sz val="16"/>
        <color rgb="FF000000"/>
        <rFont val="Batang"/>
        <family val="1"/>
        <charset val="129"/>
      </rPr>
      <t>사항</t>
    </r>
    <phoneticPr fontId="22" type="noConversion"/>
  </si>
  <si>
    <t>기인물 선택</t>
    <phoneticPr fontId="22" type="noConversion"/>
  </si>
  <si>
    <r>
      <rPr>
        <b/>
        <sz val="14"/>
        <color rgb="FF000000"/>
        <rFont val="Batang"/>
        <family val="1"/>
        <charset val="129"/>
      </rPr>
      <t>위험성평가</t>
    </r>
    <r>
      <rPr>
        <b/>
        <sz val="14"/>
        <color rgb="FF000000"/>
        <rFont val="Times New Roman"/>
        <family val="1"/>
      </rPr>
      <t xml:space="preserve"> </t>
    </r>
    <r>
      <rPr>
        <b/>
        <sz val="14"/>
        <color rgb="FF000000"/>
        <rFont val="Batang"/>
        <family val="1"/>
        <charset val="129"/>
      </rPr>
      <t>한줄</t>
    </r>
    <r>
      <rPr>
        <b/>
        <sz val="14"/>
        <color rgb="FF000000"/>
        <rFont val="Times New Roman"/>
        <family val="1"/>
      </rPr>
      <t xml:space="preserve"> </t>
    </r>
    <r>
      <rPr>
        <b/>
        <sz val="14"/>
        <color rgb="FF000000"/>
        <rFont val="Batang"/>
        <family val="1"/>
        <charset val="129"/>
      </rPr>
      <t>커멘트</t>
    </r>
    <phoneticPr fontId="22" type="noConversion"/>
  </si>
  <si>
    <r>
      <rPr>
        <b/>
        <sz val="16"/>
        <color rgb="FF64748B"/>
        <rFont val="Apple Color Emoji"/>
        <family val="2"/>
        <charset val="129"/>
      </rPr>
      <t>⚠</t>
    </r>
    <r>
      <rPr>
        <b/>
        <sz val="16"/>
        <color rgb="FF64748B"/>
        <rFont val="맑은 고딕"/>
        <family val="2"/>
        <charset val="129"/>
      </rPr>
      <t xml:space="preserve"> SIF 사고사망(건)</t>
    </r>
    <phoneticPr fontId="22" type="noConversion"/>
  </si>
  <si>
    <t>내용</t>
    <phoneticPr fontId="22" type="noConversion"/>
  </si>
  <si>
    <r>
      <rPr>
        <b/>
        <sz val="16"/>
        <color rgb="FF000000"/>
        <rFont val="Batang"/>
        <family val="1"/>
        <charset val="129"/>
      </rPr>
      <t>기인물</t>
    </r>
    <r>
      <rPr>
        <b/>
        <sz val="16"/>
        <color rgb="FF000000"/>
        <rFont val="Apple Color Emoji"/>
        <family val="1"/>
      </rPr>
      <t xml:space="preserve"> </t>
    </r>
    <r>
      <rPr>
        <b/>
        <sz val="16"/>
        <color rgb="FF000000"/>
        <rFont val="Batang"/>
        <family val="1"/>
        <charset val="129"/>
      </rPr>
      <t>선택</t>
    </r>
    <phoneticPr fontId="22" type="noConversion"/>
  </si>
  <si>
    <r>
      <rPr>
        <b/>
        <sz val="16"/>
        <color rgb="FF000000"/>
        <rFont val="Batang"/>
        <family val="1"/>
        <charset val="129"/>
      </rPr>
      <t>재해형태별</t>
    </r>
    <r>
      <rPr>
        <b/>
        <sz val="16"/>
        <color rgb="FF000000"/>
        <rFont val="Times New Roman"/>
        <family val="1"/>
      </rPr>
      <t xml:space="preserve"> </t>
    </r>
    <r>
      <rPr>
        <b/>
        <sz val="16"/>
        <color rgb="FF000000"/>
        <rFont val="Batang"/>
        <family val="1"/>
        <charset val="129"/>
      </rPr>
      <t>사고사망사례</t>
    </r>
    <phoneticPr fontId="22" type="noConversion"/>
  </si>
  <si>
    <r>
      <rPr>
        <b/>
        <sz val="16"/>
        <color rgb="FF000000"/>
        <rFont val="Batang"/>
        <family val="1"/>
        <charset val="129"/>
      </rPr>
      <t>개선대책</t>
    </r>
    <r>
      <rPr>
        <b/>
        <sz val="16"/>
        <color rgb="FF000000"/>
        <rFont val="Times New Roman"/>
        <family val="1"/>
      </rPr>
      <t xml:space="preserve"> </t>
    </r>
    <r>
      <rPr>
        <b/>
        <sz val="16"/>
        <color rgb="FF000000"/>
        <rFont val="Batang"/>
        <family val="1"/>
        <charset val="129"/>
      </rPr>
      <t>참조용</t>
    </r>
    <phoneticPr fontId="22" type="noConversion"/>
  </si>
  <si>
    <t>작업공정</t>
  </si>
  <si>
    <t>고위험 건수
(위험도≥9)</t>
  </si>
  <si>
    <t>위험성 분류</t>
  </si>
  <si>
    <t>평균위험도
(개선전)</t>
  </si>
  <si>
    <t>평균위험도
(개선후)</t>
  </si>
  <si>
    <t>위험성 등급</t>
  </si>
  <si>
    <t>기준
(위험도)</t>
  </si>
  <si>
    <t>개선전
건수</t>
  </si>
  <si>
    <t>개선후
건수</t>
  </si>
  <si>
    <t>변화</t>
  </si>
  <si>
    <t>매우위험(VH)</t>
  </si>
  <si>
    <t>≥13</t>
  </si>
  <si>
    <t>고위험(H)</t>
  </si>
  <si>
    <t>9~12</t>
  </si>
  <si>
    <t>중위험(M)</t>
  </si>
  <si>
    <t>저위험(L)</t>
  </si>
  <si>
    <t>1~3</t>
  </si>
  <si>
    <t>합계</t>
  </si>
  <si>
    <t>공정</t>
  </si>
  <si>
    <t>등급</t>
  </si>
  <si>
    <t>개선전</t>
  </si>
  <si>
    <t>개선후</t>
  </si>
  <si>
    <t>📊  위험성평가 데이터 분석 대시보드 (자동 연동)</t>
  </si>
  <si>
    <t>위험요인 수</t>
  </si>
  <si>
    <t>위험도
감소율</t>
  </si>
  <si>
    <t>② 위험성 등급 분포 (자동 연동)</t>
  </si>
  <si>
    <t>4~8</t>
  </si>
  <si>
    <t>개선전 건수</t>
  </si>
  <si>
    <t>① 공정별 위험성 분석 (자동 연동 · 최대 50공정)</t>
  </si>
  <si>
    <t>등급 (전/후)</t>
  </si>
  <si>
    <t>ㄹㄹㅇ</t>
    <phoneticPr fontId="22" type="noConversion"/>
  </si>
  <si>
    <t>⚙ 차트 소스 (자동 연동 - 수정하지 마세요)</t>
  </si>
  <si>
    <t>ㄴㅇ</t>
    <phoneticPr fontId="22" type="noConversion"/>
  </si>
  <si>
    <t>8</t>
    <phoneticPr fontId="22" type="noConversion"/>
  </si>
  <si>
    <t>9</t>
    <phoneticPr fontId="22" type="noConversion"/>
  </si>
  <si>
    <t>11</t>
    <phoneticPr fontId="22" type="noConversion"/>
  </si>
  <si>
    <t>10</t>
    <phoneticPr fontId="22" type="noConversion"/>
  </si>
  <si>
    <t>중장비작업계획서, 신호수 교육</t>
    <phoneticPr fontId="22" type="noConversion"/>
  </si>
  <si>
    <t>중량물작업계획서</t>
    <phoneticPr fontId="22" type="noConversion"/>
  </si>
  <si>
    <r>
      <rPr>
        <sz val="10"/>
        <color rgb="FF000000"/>
        <rFont val="Batang"/>
        <family val="1"/>
        <charset val="129"/>
      </rPr>
      <t>중장비</t>
    </r>
    <r>
      <rPr>
        <sz val="10"/>
        <color rgb="FF000000"/>
        <rFont val="Times New Roman"/>
        <family val="1"/>
        <charset val="204"/>
      </rPr>
      <t xml:space="preserve"> </t>
    </r>
    <r>
      <rPr>
        <sz val="10"/>
        <color rgb="FF000000"/>
        <rFont val="Batang"/>
        <family val="1"/>
        <charset val="129"/>
      </rPr>
      <t>작업계획서</t>
    </r>
    <r>
      <rPr>
        <sz val="10"/>
        <color rgb="FF000000"/>
        <rFont val="Times New Roman"/>
        <family val="1"/>
        <charset val="204"/>
      </rPr>
      <t xml:space="preserve">, </t>
    </r>
    <r>
      <rPr>
        <sz val="10"/>
        <color rgb="FF000000"/>
        <rFont val="Batang"/>
        <family val="1"/>
        <charset val="129"/>
      </rPr>
      <t>신호수</t>
    </r>
    <r>
      <rPr>
        <sz val="10"/>
        <color rgb="FF000000"/>
        <rFont val="Times New Roman"/>
        <family val="1"/>
        <charset val="204"/>
      </rPr>
      <t xml:space="preserve"> </t>
    </r>
    <r>
      <rPr>
        <sz val="10"/>
        <color rgb="FF000000"/>
        <rFont val="Batang"/>
        <family val="1"/>
        <charset val="129"/>
      </rPr>
      <t>필</t>
    </r>
    <phoneticPr fontId="22" type="noConversion"/>
  </si>
  <si>
    <t>산소농도측정 필</t>
    <phoneticPr fontId="22" type="noConversion"/>
  </si>
  <si>
    <r>
      <rPr>
        <sz val="10"/>
        <color rgb="FF000000"/>
        <rFont val="Batang"/>
        <family val="1"/>
        <charset val="129"/>
      </rPr>
      <t>화기감시자</t>
    </r>
    <r>
      <rPr>
        <sz val="10"/>
        <color rgb="FF000000"/>
        <rFont val="Times New Roman"/>
        <family val="1"/>
        <charset val="204"/>
      </rPr>
      <t xml:space="preserve"> </t>
    </r>
    <r>
      <rPr>
        <sz val="10"/>
        <color rgb="FF000000"/>
        <rFont val="Batang"/>
        <family val="1"/>
        <charset val="129"/>
      </rPr>
      <t>배치</t>
    </r>
    <r>
      <rPr>
        <sz val="10"/>
        <color rgb="FF000000"/>
        <rFont val="Times New Roman"/>
        <family val="1"/>
        <charset val="204"/>
      </rPr>
      <t xml:space="preserve"> </t>
    </r>
    <r>
      <rPr>
        <sz val="10"/>
        <color rgb="FF000000"/>
        <rFont val="Batang"/>
        <family val="1"/>
        <charset val="129"/>
      </rPr>
      <t>필</t>
    </r>
    <phoneticPr fontId="22" type="noConversion"/>
  </si>
  <si>
    <r>
      <rPr>
        <b/>
        <sz val="10"/>
        <color rgb="FF000000"/>
        <rFont val="Batang"/>
        <family val="1"/>
        <charset val="129"/>
      </rPr>
      <t>이부분도</t>
    </r>
    <r>
      <rPr>
        <b/>
        <sz val="10"/>
        <color rgb="FF000000"/>
        <rFont val="Times New Roman"/>
        <family val="1"/>
      </rPr>
      <t xml:space="preserve"> </t>
    </r>
    <r>
      <rPr>
        <b/>
        <sz val="10"/>
        <color rgb="FF000000"/>
        <rFont val="Batang"/>
        <family val="1"/>
        <charset val="129"/>
      </rPr>
      <t>연동하자</t>
    </r>
    <phoneticPr fontId="22" type="noConversion"/>
  </si>
  <si>
    <r>
      <rPr>
        <sz val="10"/>
        <color rgb="FF000000"/>
        <rFont val="Batang"/>
        <family val="1"/>
        <charset val="129"/>
      </rPr>
      <t>이</t>
    </r>
    <r>
      <rPr>
        <sz val="10"/>
        <color rgb="FF000000"/>
        <rFont val="Times New Roman"/>
        <family val="1"/>
      </rPr>
      <t xml:space="preserve"> </t>
    </r>
    <r>
      <rPr>
        <sz val="10"/>
        <color rgb="FF000000"/>
        <rFont val="Batang"/>
        <family val="1"/>
        <charset val="129"/>
      </rPr>
      <t>프로그램을</t>
    </r>
    <r>
      <rPr>
        <sz val="10"/>
        <color rgb="FF000000"/>
        <rFont val="Times New Roman"/>
        <family val="1"/>
      </rPr>
      <t xml:space="preserve"> </t>
    </r>
    <r>
      <rPr>
        <sz val="10"/>
        <color rgb="FF000000"/>
        <rFont val="Batang"/>
        <family val="1"/>
        <charset val="129"/>
      </rPr>
      <t>웹으로 배포 하는건 어때? PDF 출력하면 훨 편해, 그리고 근로자에게 주지할 사항도 자동으로 주는거지</t>
    </r>
    <phoneticPr fontId="22" type="noConversion"/>
  </si>
  <si>
    <t>매우위험-개선전</t>
    <phoneticPr fontId="22" type="noConversion"/>
  </si>
  <si>
    <t>매우위험-개선후</t>
    <phoneticPr fontId="22" type="noConversion"/>
  </si>
  <si>
    <t>고위험-개선전</t>
    <phoneticPr fontId="22" type="noConversion"/>
  </si>
  <si>
    <t>고위험-개선후</t>
    <phoneticPr fontId="22" type="noConversion"/>
  </si>
  <si>
    <t>중위험-개선전</t>
    <phoneticPr fontId="22" type="noConversion"/>
  </si>
  <si>
    <t>중위험-개선후</t>
    <phoneticPr fontId="22" type="noConversion"/>
  </si>
  <si>
    <t>저위험-개선전</t>
    <phoneticPr fontId="22" type="noConversion"/>
  </si>
  <si>
    <t>저위험-개선후</t>
    <phoneticPr fontId="22" type="noConversion"/>
  </si>
  <si>
    <t>ㅁㅁ</t>
    <phoneticPr fontId="22" type="noConversion"/>
  </si>
  <si>
    <t>ㄱㄱㄱ</t>
    <phoneticPr fontId="22" type="noConversion"/>
  </si>
  <si>
    <t>ㄱㄱ</t>
    <phoneticPr fontId="22" type="noConversion"/>
  </si>
  <si>
    <r>
      <rPr>
        <b/>
        <sz val="10"/>
        <color rgb="FF000000"/>
        <rFont val="Batang"/>
        <family val="1"/>
        <charset val="129"/>
      </rPr>
      <t>고위험공정</t>
    </r>
    <r>
      <rPr>
        <b/>
        <sz val="10"/>
        <color rgb="FF000000"/>
        <rFont val="Times New Roman"/>
        <family val="1"/>
      </rPr>
      <t xml:space="preserve"> </t>
    </r>
    <r>
      <rPr>
        <b/>
        <sz val="10"/>
        <color rgb="FF000000"/>
        <rFont val="Batang"/>
        <family val="1"/>
        <charset val="129"/>
      </rPr>
      <t>자동</t>
    </r>
    <r>
      <rPr>
        <b/>
        <sz val="10"/>
        <color rgb="FF000000"/>
        <rFont val="Times New Roman"/>
        <family val="1"/>
      </rPr>
      <t xml:space="preserve"> </t>
    </r>
    <r>
      <rPr>
        <b/>
        <sz val="10"/>
        <color rgb="FF000000"/>
        <rFont val="Batang"/>
        <family val="1"/>
        <charset val="129"/>
      </rPr>
      <t>지정</t>
    </r>
    <phoneticPr fontId="22" type="noConversion"/>
  </si>
  <si>
    <r>
      <rPr>
        <b/>
        <sz val="10"/>
        <color rgb="FF000000"/>
        <rFont val="Batang"/>
        <family val="1"/>
        <charset val="129"/>
      </rPr>
      <t>대시보드</t>
    </r>
    <r>
      <rPr>
        <b/>
        <sz val="10"/>
        <color rgb="FF000000"/>
        <rFont val="Times New Roman"/>
        <family val="1"/>
      </rPr>
      <t xml:space="preserve"> </t>
    </r>
    <r>
      <rPr>
        <b/>
        <sz val="10"/>
        <color rgb="FF000000"/>
        <rFont val="Batang"/>
        <family val="1"/>
        <charset val="129"/>
      </rPr>
      <t>입력시트의</t>
    </r>
    <r>
      <rPr>
        <b/>
        <sz val="10"/>
        <color rgb="FF000000"/>
        <rFont val="Times New Roman"/>
        <family val="1"/>
      </rPr>
      <t xml:space="preserve"> </t>
    </r>
    <r>
      <rPr>
        <b/>
        <sz val="10"/>
        <color rgb="FF000000"/>
        <rFont val="Batang"/>
        <family val="1"/>
        <charset val="129"/>
      </rPr>
      <t>동작</t>
    </r>
    <r>
      <rPr>
        <b/>
        <sz val="10"/>
        <color rgb="FF000000"/>
        <rFont val="Times New Roman"/>
        <family val="1"/>
      </rPr>
      <t xml:space="preserve"> </t>
    </r>
    <r>
      <rPr>
        <b/>
        <sz val="10"/>
        <color rgb="FF000000"/>
        <rFont val="Batang"/>
        <family val="1"/>
        <charset val="129"/>
      </rPr>
      <t>내용을</t>
    </r>
    <r>
      <rPr>
        <b/>
        <sz val="10"/>
        <color rgb="FF000000"/>
        <rFont val="Times New Roman"/>
        <family val="1"/>
      </rPr>
      <t xml:space="preserve"> </t>
    </r>
    <r>
      <rPr>
        <b/>
        <sz val="10"/>
        <color rgb="FF000000"/>
        <rFont val="Batang"/>
        <family val="1"/>
        <charset val="129"/>
      </rPr>
      <t>프롬프트로</t>
    </r>
    <r>
      <rPr>
        <b/>
        <sz val="10"/>
        <color rgb="FF000000"/>
        <rFont val="Times New Roman"/>
        <family val="1"/>
      </rPr>
      <t xml:space="preserve"> </t>
    </r>
    <r>
      <rPr>
        <b/>
        <sz val="10"/>
        <color rgb="FF000000"/>
        <rFont val="Batang"/>
        <family val="1"/>
        <charset val="129"/>
      </rPr>
      <t>만들어줘</t>
    </r>
    <r>
      <rPr>
        <b/>
        <sz val="10"/>
        <color rgb="FF000000"/>
        <rFont val="Times New Roman"/>
        <family val="1"/>
      </rPr>
      <t xml:space="preserve">!
</t>
    </r>
    <r>
      <rPr>
        <b/>
        <sz val="10"/>
        <color rgb="FF000000"/>
        <rFont val="Batang"/>
        <family val="1"/>
        <charset val="129"/>
      </rPr>
      <t>위험성평가</t>
    </r>
    <r>
      <rPr>
        <b/>
        <sz val="10"/>
        <color rgb="FF000000"/>
        <rFont val="Times New Roman"/>
        <family val="1"/>
      </rPr>
      <t xml:space="preserve"> </t>
    </r>
    <r>
      <rPr>
        <b/>
        <sz val="10"/>
        <color rgb="FF000000"/>
        <rFont val="Batang"/>
        <family val="1"/>
        <charset val="129"/>
      </rPr>
      <t>입력</t>
    </r>
    <r>
      <rPr>
        <b/>
        <sz val="10"/>
        <color rgb="FF000000"/>
        <rFont val="Times New Roman"/>
        <family val="1"/>
      </rPr>
      <t xml:space="preserve"> </t>
    </r>
    <r>
      <rPr>
        <b/>
        <sz val="10"/>
        <color rgb="FF000000"/>
        <rFont val="Batang"/>
        <family val="1"/>
        <charset val="129"/>
      </rPr>
      <t>셀이</t>
    </r>
    <r>
      <rPr>
        <b/>
        <sz val="10"/>
        <color rgb="FF000000"/>
        <rFont val="Times New Roman"/>
        <family val="1"/>
      </rPr>
      <t xml:space="preserve"> </t>
    </r>
    <r>
      <rPr>
        <b/>
        <sz val="10"/>
        <color rgb="FF000000"/>
        <rFont val="Batang"/>
        <family val="1"/>
        <charset val="129"/>
      </rPr>
      <t>있고</t>
    </r>
    <r>
      <rPr>
        <b/>
        <sz val="10"/>
        <color rgb="FF000000"/>
        <rFont val="Times New Roman"/>
        <family val="1"/>
      </rPr>
      <t xml:space="preserve">, </t>
    </r>
    <r>
      <rPr>
        <b/>
        <sz val="10"/>
        <color rgb="FF000000"/>
        <rFont val="Batang"/>
        <family val="1"/>
        <charset val="129"/>
      </rPr>
      <t>기인물은</t>
    </r>
    <r>
      <rPr>
        <b/>
        <sz val="10"/>
        <color rgb="FF000000"/>
        <rFont val="Times New Roman"/>
        <family val="1"/>
      </rPr>
      <t xml:space="preserve"> (a7 </t>
    </r>
    <r>
      <rPr>
        <b/>
        <sz val="10"/>
        <color rgb="FF000000"/>
        <rFont val="Batang"/>
        <family val="1"/>
        <charset val="129"/>
      </rPr>
      <t>테이블</t>
    </r>
    <r>
      <rPr>
        <b/>
        <sz val="10"/>
        <color rgb="FF000000"/>
        <rFont val="Times New Roman"/>
        <family val="1"/>
      </rPr>
      <t xml:space="preserve">) </t>
    </r>
    <r>
      <rPr>
        <b/>
        <sz val="10"/>
        <color rgb="FF000000"/>
        <rFont val="Batang"/>
        <family val="1"/>
        <charset val="129"/>
      </rPr>
      <t>드롭박스로</t>
    </r>
    <r>
      <rPr>
        <b/>
        <sz val="10"/>
        <color rgb="FF000000"/>
        <rFont val="Times New Roman"/>
        <family val="1"/>
      </rPr>
      <t xml:space="preserve"> </t>
    </r>
    <r>
      <rPr>
        <b/>
        <sz val="10"/>
        <color rgb="FF000000"/>
        <rFont val="Batang"/>
        <family val="1"/>
        <charset val="129"/>
      </rPr>
      <t>선택을</t>
    </r>
    <r>
      <rPr>
        <b/>
        <sz val="10"/>
        <color rgb="FF000000"/>
        <rFont val="Times New Roman"/>
        <family val="1"/>
      </rPr>
      <t xml:space="preserve"> </t>
    </r>
    <r>
      <rPr>
        <b/>
        <sz val="10"/>
        <color rgb="FF000000"/>
        <rFont val="Batang"/>
        <family val="1"/>
        <charset val="129"/>
      </rPr>
      <t>하면</t>
    </r>
    <r>
      <rPr>
        <b/>
        <sz val="10"/>
        <color rgb="FF000000"/>
        <rFont val="Times New Roman"/>
        <family val="1"/>
      </rPr>
      <t xml:space="preserve"> </t>
    </r>
    <r>
      <rPr>
        <b/>
        <sz val="10"/>
        <color rgb="FF000000"/>
        <rFont val="Batang"/>
        <family val="1"/>
        <charset val="129"/>
      </rPr>
      <t>작업문류</t>
    </r>
    <r>
      <rPr>
        <b/>
        <sz val="10"/>
        <color rgb="FF000000"/>
        <rFont val="Times New Roman"/>
        <family val="1"/>
      </rPr>
      <t xml:space="preserve"> </t>
    </r>
    <r>
      <rPr>
        <b/>
        <sz val="10"/>
        <color rgb="FF000000"/>
        <rFont val="Batang"/>
        <family val="1"/>
        <charset val="129"/>
      </rPr>
      <t>테이블에서</t>
    </r>
    <r>
      <rPr>
        <b/>
        <sz val="10"/>
        <color rgb="FF000000"/>
        <rFont val="Times New Roman"/>
        <family val="1"/>
      </rPr>
      <t xml:space="preserve"> 10</t>
    </r>
    <r>
      <rPr>
        <b/>
        <sz val="10"/>
        <color rgb="FF000000"/>
        <rFont val="Batang"/>
        <family val="1"/>
        <charset val="129"/>
      </rPr>
      <t>개의</t>
    </r>
    <r>
      <rPr>
        <b/>
        <sz val="10"/>
        <color rgb="FF000000"/>
        <rFont val="Times New Roman"/>
        <family val="1"/>
      </rPr>
      <t xml:space="preserve"> </t>
    </r>
    <r>
      <rPr>
        <b/>
        <sz val="10"/>
        <color rgb="FF000000"/>
        <rFont val="Batang"/>
        <family val="1"/>
        <charset val="129"/>
      </rPr>
      <t>구분작업중에</t>
    </r>
    <r>
      <rPr>
        <b/>
        <sz val="10"/>
        <color rgb="FF000000"/>
        <rFont val="Times New Roman"/>
        <family val="1"/>
      </rPr>
      <t xml:space="preserve"> </t>
    </r>
    <r>
      <rPr>
        <b/>
        <sz val="10"/>
        <color rgb="FF000000"/>
        <rFont val="Batang"/>
        <family val="1"/>
        <charset val="129"/>
      </rPr>
      <t>결과가</t>
    </r>
    <r>
      <rPr>
        <b/>
        <sz val="10"/>
        <color rgb="FF000000"/>
        <rFont val="Times New Roman"/>
        <family val="1"/>
      </rPr>
      <t xml:space="preserve"> </t>
    </r>
    <r>
      <rPr>
        <b/>
        <sz val="10"/>
        <color rgb="FF000000"/>
        <rFont val="Batang"/>
        <family val="1"/>
        <charset val="129"/>
      </rPr>
      <t>해당으로</t>
    </r>
    <r>
      <rPr>
        <b/>
        <sz val="10"/>
        <color rgb="FF000000"/>
        <rFont val="Times New Roman"/>
        <family val="1"/>
      </rPr>
      <t xml:space="preserve"> </t>
    </r>
    <r>
      <rPr>
        <b/>
        <sz val="10"/>
        <color rgb="FF000000"/>
        <rFont val="Batang"/>
        <family val="1"/>
        <charset val="129"/>
      </rPr>
      <t>표기가</t>
    </r>
    <r>
      <rPr>
        <b/>
        <sz val="10"/>
        <color rgb="FF000000"/>
        <rFont val="Times New Roman"/>
        <family val="1"/>
      </rPr>
      <t xml:space="preserve"> </t>
    </r>
    <r>
      <rPr>
        <b/>
        <sz val="10"/>
        <color rgb="FF000000"/>
        <rFont val="Batang"/>
        <family val="1"/>
        <charset val="129"/>
      </rPr>
      <t>되고</t>
    </r>
    <r>
      <rPr>
        <b/>
        <sz val="10"/>
        <color rgb="FF000000"/>
        <rFont val="Times New Roman"/>
        <family val="1"/>
      </rPr>
      <t xml:space="preserve">(H7 </t>
    </r>
    <r>
      <rPr>
        <b/>
        <sz val="10"/>
        <color rgb="FF000000"/>
        <rFont val="Batang"/>
        <family val="1"/>
        <charset val="129"/>
      </rPr>
      <t>테이블</t>
    </r>
    <r>
      <rPr>
        <b/>
        <sz val="10"/>
        <color rgb="FF000000"/>
        <rFont val="Times New Roman"/>
        <family val="1"/>
      </rPr>
      <t>) H20</t>
    </r>
    <r>
      <rPr>
        <b/>
        <sz val="10"/>
        <color rgb="FF000000"/>
        <rFont val="Batang"/>
        <family val="1"/>
        <charset val="129"/>
      </rPr>
      <t>에서</t>
    </r>
    <r>
      <rPr>
        <b/>
        <sz val="10"/>
        <color rgb="FF000000"/>
        <rFont val="Times New Roman"/>
        <family val="1"/>
      </rPr>
      <t xml:space="preserve"> </t>
    </r>
    <r>
      <rPr>
        <b/>
        <sz val="10"/>
        <color rgb="FF000000"/>
        <rFont val="Batang"/>
        <family val="1"/>
        <charset val="129"/>
      </rPr>
      <t>참여자</t>
    </r>
    <r>
      <rPr>
        <b/>
        <sz val="10"/>
        <color rgb="FF000000"/>
        <rFont val="Times New Roman"/>
        <family val="1"/>
      </rPr>
      <t xml:space="preserve"> </t>
    </r>
    <r>
      <rPr>
        <b/>
        <sz val="10"/>
        <color rgb="FF000000"/>
        <rFont val="Batang"/>
        <family val="1"/>
        <charset val="129"/>
      </rPr>
      <t>명단을</t>
    </r>
    <r>
      <rPr>
        <b/>
        <sz val="10"/>
        <color rgb="FF000000"/>
        <rFont val="Times New Roman"/>
        <family val="1"/>
      </rPr>
      <t xml:space="preserve"> </t>
    </r>
    <r>
      <rPr>
        <b/>
        <sz val="10"/>
        <color rgb="FF000000"/>
        <rFont val="Batang"/>
        <family val="1"/>
        <charset val="129"/>
      </rPr>
      <t>입력하고</t>
    </r>
    <r>
      <rPr>
        <b/>
        <sz val="10"/>
        <color rgb="FF000000"/>
        <rFont val="Times New Roman"/>
        <family val="1"/>
      </rPr>
      <t xml:space="preserve">, </t>
    </r>
    <r>
      <rPr>
        <b/>
        <sz val="10"/>
        <color rgb="FF000000"/>
        <rFont val="Batang"/>
        <family val="1"/>
        <charset val="129"/>
      </rPr>
      <t>그리고</t>
    </r>
    <r>
      <rPr>
        <b/>
        <sz val="10"/>
        <color rgb="FF000000"/>
        <rFont val="Times New Roman"/>
        <family val="1"/>
      </rPr>
      <t xml:space="preserve"> O7</t>
    </r>
    <r>
      <rPr>
        <b/>
        <sz val="10"/>
        <color rgb="FF000000"/>
        <rFont val="Batang"/>
        <family val="1"/>
        <charset val="129"/>
      </rPr>
      <t>테이블에</t>
    </r>
    <r>
      <rPr>
        <b/>
        <sz val="10"/>
        <color rgb="FF000000"/>
        <rFont val="Times New Roman"/>
        <family val="1"/>
      </rPr>
      <t xml:space="preserve"> </t>
    </r>
    <r>
      <rPr>
        <b/>
        <sz val="10"/>
        <color rgb="FF000000"/>
        <rFont val="Batang"/>
        <family val="1"/>
        <charset val="129"/>
      </rPr>
      <t>노란셀부분</t>
    </r>
    <r>
      <rPr>
        <b/>
        <sz val="10"/>
        <color rgb="FF000000"/>
        <rFont val="Times New Roman"/>
        <family val="1"/>
      </rPr>
      <t xml:space="preserve"> </t>
    </r>
    <r>
      <rPr>
        <b/>
        <sz val="10"/>
        <color rgb="FF000000"/>
        <rFont val="Batang"/>
        <family val="1"/>
        <charset val="129"/>
      </rPr>
      <t>입력하고</t>
    </r>
    <r>
      <rPr>
        <b/>
        <sz val="10"/>
        <color rgb="FF000000"/>
        <rFont val="Times New Roman"/>
        <family val="1"/>
      </rPr>
      <t xml:space="preserve">, </t>
    </r>
    <r>
      <rPr>
        <b/>
        <sz val="10"/>
        <color rgb="FF000000"/>
        <rFont val="Batang"/>
        <family val="1"/>
        <charset val="129"/>
      </rPr>
      <t>회색셀은</t>
    </r>
    <r>
      <rPr>
        <b/>
        <sz val="10"/>
        <color rgb="FF000000"/>
        <rFont val="Times New Roman"/>
        <family val="1"/>
      </rPr>
      <t xml:space="preserve"> </t>
    </r>
    <r>
      <rPr>
        <b/>
        <sz val="10"/>
        <color rgb="FF000000"/>
        <rFont val="Batang"/>
        <family val="1"/>
        <charset val="129"/>
      </rPr>
      <t>앞에서</t>
    </r>
    <r>
      <rPr>
        <b/>
        <sz val="10"/>
        <color rgb="FF000000"/>
        <rFont val="Times New Roman"/>
        <family val="1"/>
      </rPr>
      <t xml:space="preserve"> </t>
    </r>
    <r>
      <rPr>
        <b/>
        <sz val="10"/>
        <color rgb="FF000000"/>
        <rFont val="Batang"/>
        <family val="1"/>
        <charset val="129"/>
      </rPr>
      <t>선택</t>
    </r>
    <r>
      <rPr>
        <b/>
        <sz val="10"/>
        <color rgb="FF000000"/>
        <rFont val="Times New Roman"/>
        <family val="1"/>
      </rPr>
      <t xml:space="preserve">, </t>
    </r>
    <r>
      <rPr>
        <b/>
        <sz val="10"/>
        <color rgb="FF000000"/>
        <rFont val="Batang"/>
        <family val="1"/>
        <charset val="129"/>
      </rPr>
      <t>입력에</t>
    </r>
    <r>
      <rPr>
        <b/>
        <sz val="10"/>
        <color rgb="FF000000"/>
        <rFont val="Times New Roman"/>
        <family val="1"/>
      </rPr>
      <t xml:space="preserve"> </t>
    </r>
    <r>
      <rPr>
        <b/>
        <sz val="10"/>
        <color rgb="FF000000"/>
        <rFont val="Batang"/>
        <family val="1"/>
        <charset val="129"/>
      </rPr>
      <t>따라</t>
    </r>
    <r>
      <rPr>
        <b/>
        <sz val="10"/>
        <color rgb="FF000000"/>
        <rFont val="Times New Roman"/>
        <family val="1"/>
      </rPr>
      <t xml:space="preserve"> </t>
    </r>
    <r>
      <rPr>
        <b/>
        <sz val="10"/>
        <color rgb="FF000000"/>
        <rFont val="Batang"/>
        <family val="1"/>
        <charset val="129"/>
      </rPr>
      <t>자동반영되고</t>
    </r>
    <r>
      <rPr>
        <b/>
        <sz val="10"/>
        <color rgb="FF000000"/>
        <rFont val="Times New Roman"/>
        <family val="1"/>
      </rPr>
      <t xml:space="preserve">, </t>
    </r>
    <r>
      <rPr>
        <b/>
        <sz val="10"/>
        <color rgb="FF000000"/>
        <rFont val="Batang"/>
        <family val="1"/>
        <charset val="129"/>
      </rPr>
      <t>추가로</t>
    </r>
    <r>
      <rPr>
        <b/>
        <sz val="10"/>
        <color rgb="FF000000"/>
        <rFont val="Times New Roman"/>
        <family val="1"/>
      </rPr>
      <t xml:space="preserve"> </t>
    </r>
    <r>
      <rPr>
        <b/>
        <sz val="10"/>
        <color rgb="FF000000"/>
        <rFont val="Batang"/>
        <family val="1"/>
        <charset val="129"/>
      </rPr>
      <t>입력해야되는</t>
    </r>
    <r>
      <rPr>
        <b/>
        <sz val="10"/>
        <color rgb="FF000000"/>
        <rFont val="Times New Roman"/>
        <family val="1"/>
      </rPr>
      <t xml:space="preserve"> </t>
    </r>
    <r>
      <rPr>
        <b/>
        <sz val="10"/>
        <color rgb="FF000000"/>
        <rFont val="Batang"/>
        <family val="1"/>
        <charset val="129"/>
      </rPr>
      <t>부분은</t>
    </r>
    <r>
      <rPr>
        <b/>
        <sz val="10"/>
        <color rgb="FF000000"/>
        <rFont val="Times New Roman"/>
        <family val="1"/>
      </rPr>
      <t xml:space="preserve"> </t>
    </r>
    <r>
      <rPr>
        <b/>
        <sz val="10"/>
        <color rgb="FF000000"/>
        <rFont val="Batang"/>
        <family val="1"/>
        <charset val="129"/>
      </rPr>
      <t>노랑셀에</t>
    </r>
    <r>
      <rPr>
        <b/>
        <sz val="10"/>
        <color rgb="FF000000"/>
        <rFont val="Times New Roman"/>
        <family val="1"/>
      </rPr>
      <t xml:space="preserve"> </t>
    </r>
    <r>
      <rPr>
        <b/>
        <sz val="10"/>
        <color rgb="FF000000"/>
        <rFont val="Batang"/>
        <family val="1"/>
        <charset val="129"/>
      </rPr>
      <t>입력함</t>
    </r>
    <r>
      <rPr>
        <b/>
        <sz val="10"/>
        <color rgb="FF000000"/>
        <rFont val="Times New Roman"/>
        <family val="1"/>
      </rPr>
      <t xml:space="preserve">
</t>
    </r>
    <r>
      <rPr>
        <b/>
        <sz val="10"/>
        <color rgb="FF000000"/>
        <rFont val="Batang"/>
        <family val="1"/>
        <charset val="129"/>
      </rPr>
      <t>그리고</t>
    </r>
    <r>
      <rPr>
        <b/>
        <sz val="10"/>
        <color rgb="FF000000"/>
        <rFont val="Times New Roman"/>
        <family val="1"/>
      </rPr>
      <t xml:space="preserve"> U7</t>
    </r>
    <r>
      <rPr>
        <b/>
        <sz val="10"/>
        <color rgb="FF000000"/>
        <rFont val="Batang"/>
        <family val="1"/>
        <charset val="129"/>
      </rPr>
      <t>테이블에서는</t>
    </r>
    <r>
      <rPr>
        <b/>
        <sz val="10"/>
        <color rgb="FF000000"/>
        <rFont val="Times New Roman"/>
        <family val="1"/>
      </rPr>
      <t xml:space="preserve"> </t>
    </r>
    <r>
      <rPr>
        <b/>
        <sz val="10"/>
        <color rgb="FF000000"/>
        <rFont val="Batang"/>
        <family val="1"/>
        <charset val="129"/>
      </rPr>
      <t>단계와</t>
    </r>
    <r>
      <rPr>
        <b/>
        <sz val="10"/>
        <color rgb="FF000000"/>
        <rFont val="Times New Roman"/>
        <family val="1"/>
      </rPr>
      <t xml:space="preserve"> </t>
    </r>
    <r>
      <rPr>
        <b/>
        <sz val="10"/>
        <color rgb="FF000000"/>
        <rFont val="Batang"/>
        <family val="1"/>
        <charset val="129"/>
      </rPr>
      <t>공정을</t>
    </r>
    <r>
      <rPr>
        <b/>
        <sz val="10"/>
        <color rgb="FF000000"/>
        <rFont val="Times New Roman"/>
        <family val="1"/>
      </rPr>
      <t xml:space="preserve"> </t>
    </r>
    <r>
      <rPr>
        <b/>
        <sz val="10"/>
        <color rgb="FF000000"/>
        <rFont val="Batang"/>
        <family val="1"/>
        <charset val="129"/>
      </rPr>
      <t>입력하고</t>
    </r>
    <r>
      <rPr>
        <b/>
        <sz val="10"/>
        <color rgb="FF000000"/>
        <rFont val="Times New Roman"/>
        <family val="1"/>
      </rPr>
      <t xml:space="preserve"> </t>
    </r>
    <r>
      <rPr>
        <b/>
        <sz val="10"/>
        <color rgb="FF000000"/>
        <rFont val="Batang"/>
        <family val="1"/>
        <charset val="129"/>
      </rPr>
      <t>노란란셀에</t>
    </r>
    <r>
      <rPr>
        <b/>
        <sz val="10"/>
        <color rgb="FF000000"/>
        <rFont val="Times New Roman"/>
        <family val="1"/>
      </rPr>
      <t xml:space="preserve">..SIF </t>
    </r>
    <r>
      <rPr>
        <b/>
        <sz val="10"/>
        <color rgb="FF000000"/>
        <rFont val="Batang"/>
        <family val="1"/>
        <charset val="129"/>
      </rPr>
      <t>기인물</t>
    </r>
    <r>
      <rPr>
        <b/>
        <sz val="10"/>
        <color rgb="FF000000"/>
        <rFont val="Times New Roman"/>
        <family val="1"/>
      </rPr>
      <t xml:space="preserve"> </t>
    </r>
    <r>
      <rPr>
        <b/>
        <sz val="10"/>
        <color rgb="FF000000"/>
        <rFont val="Batang"/>
        <family val="1"/>
        <charset val="129"/>
      </rPr>
      <t>테이블에서</t>
    </r>
    <r>
      <rPr>
        <b/>
        <sz val="10"/>
        <color rgb="FF000000"/>
        <rFont val="Times New Roman"/>
        <family val="1"/>
      </rPr>
      <t xml:space="preserve"> </t>
    </r>
    <r>
      <rPr>
        <b/>
        <sz val="10"/>
        <color rgb="FF000000"/>
        <rFont val="Batang"/>
        <family val="1"/>
        <charset val="129"/>
      </rPr>
      <t>선택을</t>
    </r>
    <r>
      <rPr>
        <b/>
        <sz val="10"/>
        <color rgb="FF000000"/>
        <rFont val="Times New Roman"/>
        <family val="1"/>
      </rPr>
      <t xml:space="preserve"> </t>
    </r>
    <r>
      <rPr>
        <b/>
        <sz val="10"/>
        <color rgb="FF000000"/>
        <rFont val="Batang"/>
        <family val="1"/>
        <charset val="129"/>
      </rPr>
      <t>하면</t>
    </r>
    <r>
      <rPr>
        <b/>
        <sz val="10"/>
        <color rgb="FF000000"/>
        <rFont val="Times New Roman"/>
        <family val="1"/>
      </rPr>
      <t xml:space="preserve"> Z7</t>
    </r>
    <r>
      <rPr>
        <b/>
        <sz val="10"/>
        <color rgb="FF000000"/>
        <rFont val="Batang"/>
        <family val="1"/>
        <charset val="129"/>
      </rPr>
      <t>에</t>
    </r>
    <r>
      <rPr>
        <b/>
        <sz val="10"/>
        <color rgb="FF000000"/>
        <rFont val="Times New Roman"/>
        <family val="1"/>
      </rPr>
      <t xml:space="preserve"> </t>
    </r>
    <r>
      <rPr>
        <b/>
        <sz val="10"/>
        <color rgb="FF000000"/>
        <rFont val="Batang"/>
        <family val="1"/>
        <charset val="129"/>
      </rPr>
      <t>나타나고</t>
    </r>
    <r>
      <rPr>
        <b/>
        <sz val="10"/>
        <color rgb="FF000000"/>
        <rFont val="Times New Roman"/>
        <family val="1"/>
      </rPr>
      <t xml:space="preserve"> U7 </t>
    </r>
    <r>
      <rPr>
        <b/>
        <sz val="10"/>
        <color rgb="FF000000"/>
        <rFont val="Batang"/>
        <family val="1"/>
        <charset val="129"/>
      </rPr>
      <t>테이블</t>
    </r>
    <r>
      <rPr>
        <b/>
        <sz val="10"/>
        <color rgb="FF000000"/>
        <rFont val="Times New Roman"/>
        <family val="1"/>
      </rPr>
      <t xml:space="preserve"> </t>
    </r>
    <r>
      <rPr>
        <b/>
        <sz val="10"/>
        <color rgb="FF000000"/>
        <rFont val="Batang"/>
        <family val="1"/>
        <charset val="129"/>
      </rPr>
      <t>기인물</t>
    </r>
    <r>
      <rPr>
        <b/>
        <sz val="10"/>
        <color rgb="FF000000"/>
        <rFont val="Times New Roman"/>
        <family val="1"/>
      </rPr>
      <t xml:space="preserve"> </t>
    </r>
    <r>
      <rPr>
        <b/>
        <sz val="10"/>
        <color rgb="FF000000"/>
        <rFont val="Batang"/>
        <family val="1"/>
        <charset val="129"/>
      </rPr>
      <t>열에</t>
    </r>
    <r>
      <rPr>
        <b/>
        <sz val="10"/>
        <color rgb="FF000000"/>
        <rFont val="Times New Roman"/>
        <family val="1"/>
      </rPr>
      <t xml:space="preserve"> </t>
    </r>
    <r>
      <rPr>
        <b/>
        <sz val="10"/>
        <color rgb="FF000000"/>
        <rFont val="Batang"/>
        <family val="1"/>
        <charset val="129"/>
      </rPr>
      <t>셀에서</t>
    </r>
    <r>
      <rPr>
        <b/>
        <sz val="10"/>
        <color rgb="FF000000"/>
        <rFont val="Times New Roman"/>
        <family val="1"/>
      </rPr>
      <t xml:space="preserve"> </t>
    </r>
    <r>
      <rPr>
        <b/>
        <sz val="10"/>
        <color rgb="FF000000"/>
        <rFont val="Batang"/>
        <family val="1"/>
        <charset val="129"/>
      </rPr>
      <t>선택을</t>
    </r>
    <r>
      <rPr>
        <b/>
        <sz val="10"/>
        <color rgb="FF000000"/>
        <rFont val="Times New Roman"/>
        <family val="1"/>
      </rPr>
      <t xml:space="preserve"> </t>
    </r>
    <r>
      <rPr>
        <b/>
        <sz val="10"/>
        <color rgb="FF000000"/>
        <rFont val="Batang"/>
        <family val="1"/>
        <charset val="129"/>
      </rPr>
      <t>하던가</t>
    </r>
    <r>
      <rPr>
        <b/>
        <sz val="10"/>
        <color rgb="FF000000"/>
        <rFont val="Times New Roman"/>
        <family val="1"/>
      </rPr>
      <t xml:space="preserve"> </t>
    </r>
    <r>
      <rPr>
        <b/>
        <sz val="10"/>
        <color rgb="FF000000"/>
        <rFont val="Batang"/>
        <family val="1"/>
        <charset val="129"/>
      </rPr>
      <t>입력을</t>
    </r>
    <r>
      <rPr>
        <b/>
        <sz val="10"/>
        <color rgb="FF000000"/>
        <rFont val="Times New Roman"/>
        <family val="1"/>
      </rPr>
      <t xml:space="preserve"> </t>
    </r>
    <r>
      <rPr>
        <b/>
        <sz val="10"/>
        <color rgb="FF000000"/>
        <rFont val="Batang"/>
        <family val="1"/>
        <charset val="129"/>
      </rPr>
      <t>직접</t>
    </r>
    <r>
      <rPr>
        <b/>
        <sz val="10"/>
        <color rgb="FF000000"/>
        <rFont val="Times New Roman"/>
        <family val="1"/>
      </rPr>
      <t xml:space="preserve"> </t>
    </r>
    <r>
      <rPr>
        <b/>
        <sz val="10"/>
        <color rgb="FF000000"/>
        <rFont val="Batang"/>
        <family val="1"/>
        <charset val="129"/>
      </rPr>
      <t>할수도</t>
    </r>
    <r>
      <rPr>
        <b/>
        <sz val="10"/>
        <color rgb="FF000000"/>
        <rFont val="Times New Roman"/>
        <family val="1"/>
      </rPr>
      <t xml:space="preserve"> </t>
    </r>
    <r>
      <rPr>
        <b/>
        <sz val="10"/>
        <color rgb="FF000000"/>
        <rFont val="Batang"/>
        <family val="1"/>
        <charset val="129"/>
      </rPr>
      <t>있고</t>
    </r>
    <r>
      <rPr>
        <b/>
        <sz val="10"/>
        <color rgb="FF000000"/>
        <rFont val="Times New Roman"/>
        <family val="1"/>
      </rPr>
      <t xml:space="preserve">, AB7 </t>
    </r>
    <r>
      <rPr>
        <b/>
        <sz val="10"/>
        <color rgb="FF000000"/>
        <rFont val="Batang"/>
        <family val="1"/>
        <charset val="129"/>
      </rPr>
      <t>테이블에서는</t>
    </r>
    <r>
      <rPr>
        <b/>
        <sz val="10"/>
        <color rgb="FF000000"/>
        <rFont val="Times New Roman"/>
        <family val="1"/>
      </rPr>
      <t xml:space="preserve"> </t>
    </r>
    <r>
      <rPr>
        <b/>
        <sz val="10"/>
        <color rgb="FF000000"/>
        <rFont val="Batang"/>
        <family val="1"/>
        <charset val="129"/>
      </rPr>
      <t>행방향으로</t>
    </r>
    <r>
      <rPr>
        <b/>
        <sz val="10"/>
        <color rgb="FF000000"/>
        <rFont val="Times New Roman"/>
        <family val="1"/>
      </rPr>
      <t xml:space="preserve"> DB </t>
    </r>
    <r>
      <rPr>
        <b/>
        <sz val="10"/>
        <color rgb="FF000000"/>
        <rFont val="Batang"/>
        <family val="1"/>
        <charset val="129"/>
      </rPr>
      <t>타입으로</t>
    </r>
    <r>
      <rPr>
        <b/>
        <sz val="10"/>
        <color rgb="FF000000"/>
        <rFont val="Times New Roman"/>
        <family val="1"/>
      </rPr>
      <t xml:space="preserve"> </t>
    </r>
    <r>
      <rPr>
        <b/>
        <sz val="10"/>
        <color rgb="FF000000"/>
        <rFont val="Batang"/>
        <family val="1"/>
        <charset val="129"/>
      </rPr>
      <t>입력해</t>
    </r>
    <r>
      <rPr>
        <b/>
        <sz val="10"/>
        <color rgb="FF000000"/>
        <rFont val="Times New Roman"/>
        <family val="1"/>
      </rPr>
      <t xml:space="preserve"> </t>
    </r>
    <r>
      <rPr>
        <b/>
        <sz val="10"/>
        <color rgb="FF000000"/>
        <rFont val="Batang"/>
        <family val="1"/>
        <charset val="129"/>
      </rPr>
      <t>나갈수</t>
    </r>
    <r>
      <rPr>
        <b/>
        <sz val="10"/>
        <color rgb="FF000000"/>
        <rFont val="Times New Roman"/>
        <family val="1"/>
      </rPr>
      <t xml:space="preserve"> </t>
    </r>
    <r>
      <rPr>
        <b/>
        <sz val="10"/>
        <color rgb="FF000000"/>
        <rFont val="Batang"/>
        <family val="1"/>
        <charset val="129"/>
      </rPr>
      <t>있고</t>
    </r>
    <r>
      <rPr>
        <b/>
        <sz val="10"/>
        <color rgb="FF000000"/>
        <rFont val="Times New Roman"/>
        <family val="1"/>
      </rPr>
      <t xml:space="preserve"> V7</t>
    </r>
    <r>
      <rPr>
        <b/>
        <sz val="10"/>
        <color rgb="FF000000"/>
        <rFont val="Batang"/>
        <family val="1"/>
        <charset val="129"/>
      </rPr>
      <t>열에</t>
    </r>
    <r>
      <rPr>
        <b/>
        <sz val="10"/>
        <color rgb="FF000000"/>
        <rFont val="Times New Roman"/>
        <family val="1"/>
      </rPr>
      <t xml:space="preserve"> </t>
    </r>
    <r>
      <rPr>
        <b/>
        <sz val="10"/>
        <color rgb="FF000000"/>
        <rFont val="Batang"/>
        <family val="1"/>
        <charset val="129"/>
      </rPr>
      <t>정보를</t>
    </r>
    <r>
      <rPr>
        <b/>
        <sz val="10"/>
        <color rgb="FF000000"/>
        <rFont val="Times New Roman"/>
        <family val="1"/>
      </rPr>
      <t xml:space="preserve"> </t>
    </r>
    <r>
      <rPr>
        <b/>
        <sz val="10"/>
        <color rgb="FF000000"/>
        <rFont val="Batang"/>
        <family val="1"/>
        <charset val="129"/>
      </rPr>
      <t>입력한게</t>
    </r>
    <r>
      <rPr>
        <b/>
        <sz val="10"/>
        <color rgb="FF000000"/>
        <rFont val="Times New Roman"/>
        <family val="1"/>
      </rPr>
      <t xml:space="preserve"> AC7</t>
    </r>
    <r>
      <rPr>
        <b/>
        <sz val="10"/>
        <color rgb="FF000000"/>
        <rFont val="Batang"/>
        <family val="1"/>
        <charset val="129"/>
      </rPr>
      <t>열에서는</t>
    </r>
    <r>
      <rPr>
        <b/>
        <sz val="10"/>
        <color rgb="FF000000"/>
        <rFont val="Times New Roman"/>
        <family val="1"/>
      </rPr>
      <t xml:space="preserve"> </t>
    </r>
    <r>
      <rPr>
        <b/>
        <sz val="10"/>
        <color rgb="FF000000"/>
        <rFont val="Batang"/>
        <family val="1"/>
        <charset val="129"/>
      </rPr>
      <t>드롭다운으로</t>
    </r>
    <r>
      <rPr>
        <b/>
        <sz val="10"/>
        <color rgb="FF000000"/>
        <rFont val="Times New Roman"/>
        <family val="1"/>
      </rPr>
      <t xml:space="preserve"> </t>
    </r>
    <r>
      <rPr>
        <b/>
        <sz val="10"/>
        <color rgb="FF000000"/>
        <rFont val="Batang"/>
        <family val="1"/>
        <charset val="129"/>
      </rPr>
      <t>선택하게하고</t>
    </r>
    <r>
      <rPr>
        <b/>
        <sz val="10"/>
        <color rgb="FF000000"/>
        <rFont val="Times New Roman"/>
        <family val="1"/>
      </rPr>
      <t xml:space="preserve">, </t>
    </r>
    <r>
      <rPr>
        <b/>
        <sz val="10"/>
        <color rgb="FF000000"/>
        <rFont val="Batang"/>
        <family val="1"/>
        <charset val="129"/>
      </rPr>
      <t>유해위험요인</t>
    </r>
    <r>
      <rPr>
        <b/>
        <sz val="10"/>
        <color rgb="FF000000"/>
        <rFont val="Times New Roman"/>
        <family val="1"/>
      </rPr>
      <t xml:space="preserve">, </t>
    </r>
    <r>
      <rPr>
        <b/>
        <sz val="10"/>
        <color rgb="FF000000"/>
        <rFont val="Batang"/>
        <family val="1"/>
        <charset val="129"/>
      </rPr>
      <t>안전조치사항</t>
    </r>
    <r>
      <rPr>
        <b/>
        <sz val="10"/>
        <color rgb="FF000000"/>
        <rFont val="Times New Roman"/>
        <family val="1"/>
      </rPr>
      <t xml:space="preserve">, </t>
    </r>
    <r>
      <rPr>
        <b/>
        <sz val="10"/>
        <color rgb="FF000000"/>
        <rFont val="Batang"/>
        <family val="1"/>
        <charset val="129"/>
      </rPr>
      <t>가능성</t>
    </r>
    <r>
      <rPr>
        <b/>
        <sz val="10"/>
        <color rgb="FF000000"/>
        <rFont val="Times New Roman"/>
        <family val="1"/>
      </rPr>
      <t xml:space="preserve"> </t>
    </r>
    <r>
      <rPr>
        <b/>
        <sz val="10"/>
        <color rgb="FF000000"/>
        <rFont val="Batang"/>
        <family val="1"/>
        <charset val="129"/>
      </rPr>
      <t>중대성</t>
    </r>
    <r>
      <rPr>
        <b/>
        <sz val="10"/>
        <color rgb="FF000000"/>
        <rFont val="Times New Roman"/>
        <family val="1"/>
      </rPr>
      <t xml:space="preserve"> </t>
    </r>
    <r>
      <rPr>
        <b/>
        <sz val="10"/>
        <color rgb="FF000000"/>
        <rFont val="Batang"/>
        <family val="1"/>
        <charset val="129"/>
      </rPr>
      <t>위험도는</t>
    </r>
    <r>
      <rPr>
        <b/>
        <sz val="10"/>
        <color rgb="FF000000"/>
        <rFont val="Times New Roman"/>
        <family val="1"/>
      </rPr>
      <t xml:space="preserve"> </t>
    </r>
    <r>
      <rPr>
        <b/>
        <sz val="10"/>
        <color rgb="FF000000"/>
        <rFont val="Batang"/>
        <family val="1"/>
        <charset val="129"/>
      </rPr>
      <t>각각</t>
    </r>
    <r>
      <rPr>
        <b/>
        <sz val="10"/>
        <color rgb="FF000000"/>
        <rFont val="Times New Roman"/>
        <family val="1"/>
      </rPr>
      <t xml:space="preserve"> </t>
    </r>
    <r>
      <rPr>
        <b/>
        <sz val="10"/>
        <color rgb="FF000000"/>
        <rFont val="Batang"/>
        <family val="1"/>
        <charset val="129"/>
      </rPr>
      <t>직접</t>
    </r>
    <r>
      <rPr>
        <b/>
        <sz val="10"/>
        <color rgb="FF000000"/>
        <rFont val="Times New Roman"/>
        <family val="1"/>
      </rPr>
      <t xml:space="preserve"> </t>
    </r>
    <r>
      <rPr>
        <b/>
        <sz val="10"/>
        <color rgb="FF000000"/>
        <rFont val="Batang"/>
        <family val="1"/>
        <charset val="129"/>
      </rPr>
      <t>입력하게</t>
    </r>
    <r>
      <rPr>
        <b/>
        <sz val="10"/>
        <color rgb="FF000000"/>
        <rFont val="Times New Roman"/>
        <family val="1"/>
      </rPr>
      <t xml:space="preserve"> </t>
    </r>
    <r>
      <rPr>
        <b/>
        <sz val="10"/>
        <color rgb="FF000000"/>
        <rFont val="Batang"/>
        <family val="1"/>
        <charset val="129"/>
      </rPr>
      <t>하고</t>
    </r>
    <r>
      <rPr>
        <b/>
        <sz val="10"/>
        <color rgb="FF000000"/>
        <rFont val="Times New Roman"/>
        <family val="1"/>
      </rPr>
      <t xml:space="preserve">AL7 </t>
    </r>
    <r>
      <rPr>
        <b/>
        <sz val="10"/>
        <color rgb="FF000000"/>
        <rFont val="Batang"/>
        <family val="1"/>
        <charset val="129"/>
      </rPr>
      <t>테이블에서는</t>
    </r>
    <r>
      <rPr>
        <b/>
        <sz val="10"/>
        <color rgb="FF000000"/>
        <rFont val="Times New Roman"/>
        <family val="1"/>
      </rPr>
      <t xml:space="preserve"> </t>
    </r>
    <r>
      <rPr>
        <b/>
        <sz val="10"/>
        <color rgb="FF000000"/>
        <rFont val="Batang"/>
        <family val="1"/>
        <charset val="129"/>
      </rPr>
      <t>자동으로</t>
    </r>
    <r>
      <rPr>
        <b/>
        <sz val="10"/>
        <color rgb="FF000000"/>
        <rFont val="Times New Roman"/>
        <family val="1"/>
      </rPr>
      <t xml:space="preserve"> </t>
    </r>
    <r>
      <rPr>
        <b/>
        <sz val="10"/>
        <color rgb="FF000000"/>
        <rFont val="Batang"/>
        <family val="1"/>
        <charset val="129"/>
      </rPr>
      <t>고위험</t>
    </r>
    <r>
      <rPr>
        <b/>
        <sz val="10"/>
        <color rgb="FF000000"/>
        <rFont val="Times New Roman"/>
        <family val="1"/>
      </rPr>
      <t xml:space="preserve"> </t>
    </r>
    <r>
      <rPr>
        <b/>
        <sz val="10"/>
        <color rgb="FF000000"/>
        <rFont val="Batang"/>
        <family val="1"/>
        <charset val="129"/>
      </rPr>
      <t>중위험</t>
    </r>
    <r>
      <rPr>
        <b/>
        <sz val="10"/>
        <color rgb="FF000000"/>
        <rFont val="Times New Roman"/>
        <family val="1"/>
      </rPr>
      <t xml:space="preserve"> </t>
    </r>
    <r>
      <rPr>
        <b/>
        <sz val="10"/>
        <color rgb="FF000000"/>
        <rFont val="Batang"/>
        <family val="1"/>
        <charset val="129"/>
      </rPr>
      <t>저위험등으로</t>
    </r>
    <r>
      <rPr>
        <b/>
        <sz val="10"/>
        <color rgb="FF000000"/>
        <rFont val="Times New Roman"/>
        <family val="1"/>
      </rPr>
      <t xml:space="preserve"> </t>
    </r>
    <r>
      <rPr>
        <b/>
        <sz val="10"/>
        <color rgb="FF000000"/>
        <rFont val="Batang"/>
        <family val="1"/>
        <charset val="129"/>
      </rPr>
      <t>고위험공정이</t>
    </r>
    <r>
      <rPr>
        <b/>
        <sz val="10"/>
        <color rgb="FF000000"/>
        <rFont val="Times New Roman"/>
        <family val="1"/>
      </rPr>
      <t xml:space="preserve"> </t>
    </r>
    <r>
      <rPr>
        <b/>
        <sz val="10"/>
        <color rgb="FF000000"/>
        <rFont val="Batang"/>
        <family val="1"/>
        <charset val="129"/>
      </rPr>
      <t>식별되게</t>
    </r>
    <r>
      <rPr>
        <b/>
        <sz val="10"/>
        <color rgb="FF000000"/>
        <rFont val="Times New Roman"/>
        <family val="1"/>
      </rPr>
      <t xml:space="preserve"> </t>
    </r>
    <r>
      <rPr>
        <b/>
        <sz val="10"/>
        <color rgb="FF000000"/>
        <rFont val="Batang"/>
        <family val="1"/>
        <charset val="129"/>
      </rPr>
      <t>하고</t>
    </r>
    <r>
      <rPr>
        <b/>
        <sz val="10"/>
        <color rgb="FF000000"/>
        <rFont val="Times New Roman"/>
        <family val="1"/>
      </rPr>
      <t xml:space="preserve">, </t>
    </r>
    <r>
      <rPr>
        <b/>
        <sz val="10"/>
        <color rgb="FF000000"/>
        <rFont val="Batang"/>
        <family val="1"/>
        <charset val="129"/>
      </rPr>
      <t>차트로도</t>
    </r>
    <r>
      <rPr>
        <b/>
        <sz val="10"/>
        <color rgb="FF000000"/>
        <rFont val="Times New Roman"/>
        <family val="1"/>
      </rPr>
      <t xml:space="preserve"> </t>
    </r>
    <r>
      <rPr>
        <b/>
        <sz val="10"/>
        <color rgb="FF000000"/>
        <rFont val="Batang"/>
        <family val="1"/>
        <charset val="129"/>
      </rPr>
      <t>표시가</t>
    </r>
    <r>
      <rPr>
        <b/>
        <sz val="10"/>
        <color rgb="FF000000"/>
        <rFont val="Times New Roman"/>
        <family val="1"/>
      </rPr>
      <t xml:space="preserve"> </t>
    </r>
    <r>
      <rPr>
        <b/>
        <sz val="10"/>
        <color rgb="FF000000"/>
        <rFont val="Batang"/>
        <family val="1"/>
        <charset val="129"/>
      </rPr>
      <t>되는</t>
    </r>
    <r>
      <rPr>
        <b/>
        <sz val="10"/>
        <color rgb="FF000000"/>
        <rFont val="Times New Roman"/>
        <family val="1"/>
      </rPr>
      <t xml:space="preserve"> </t>
    </r>
    <r>
      <rPr>
        <b/>
        <sz val="10"/>
        <color rgb="FF000000"/>
        <rFont val="Batang"/>
        <family val="1"/>
        <charset val="129"/>
      </rPr>
      <t>것이</t>
    </r>
    <r>
      <rPr>
        <b/>
        <sz val="10"/>
        <color rgb="FF000000"/>
        <rFont val="Times New Roman"/>
        <family val="1"/>
      </rPr>
      <t xml:space="preserve"> </t>
    </r>
    <r>
      <rPr>
        <b/>
        <sz val="10"/>
        <color rgb="FF000000"/>
        <rFont val="Batang"/>
        <family val="1"/>
        <charset val="129"/>
      </rPr>
      <t>핵심</t>
    </r>
    <r>
      <rPr>
        <b/>
        <sz val="10"/>
        <color rgb="FF000000"/>
        <rFont val="Times New Roman"/>
        <family val="1"/>
      </rPr>
      <t xml:space="preserve"> </t>
    </r>
    <r>
      <rPr>
        <b/>
        <sz val="10"/>
        <color rgb="FF000000"/>
        <rFont val="Batang"/>
        <family val="1"/>
        <charset val="129"/>
      </rPr>
      <t>동작알고리즘인데</t>
    </r>
    <r>
      <rPr>
        <b/>
        <sz val="10"/>
        <color rgb="FF000000"/>
        <rFont val="Times New Roman"/>
        <family val="1"/>
      </rPr>
      <t xml:space="preserve">, </t>
    </r>
    <r>
      <rPr>
        <b/>
        <sz val="10"/>
        <color rgb="FF000000"/>
        <rFont val="Batang"/>
        <family val="1"/>
        <charset val="129"/>
      </rPr>
      <t>이부분을</t>
    </r>
    <r>
      <rPr>
        <b/>
        <sz val="10"/>
        <color rgb="FF000000"/>
        <rFont val="Times New Roman"/>
        <family val="1"/>
      </rPr>
      <t xml:space="preserve"> </t>
    </r>
    <r>
      <rPr>
        <b/>
        <sz val="10"/>
        <color rgb="FF000000"/>
        <rFont val="Batang"/>
        <family val="1"/>
        <charset val="129"/>
      </rPr>
      <t>웹으로</t>
    </r>
    <r>
      <rPr>
        <b/>
        <sz val="10"/>
        <color rgb="FF000000"/>
        <rFont val="Times New Roman"/>
        <family val="1"/>
      </rPr>
      <t xml:space="preserve"> </t>
    </r>
    <r>
      <rPr>
        <b/>
        <sz val="10"/>
        <color rgb="FF000000"/>
        <rFont val="Batang"/>
        <family val="1"/>
        <charset val="129"/>
      </rPr>
      <t>만들수</t>
    </r>
    <r>
      <rPr>
        <b/>
        <sz val="10"/>
        <color rgb="FF000000"/>
        <rFont val="Times New Roman"/>
        <family val="1"/>
      </rPr>
      <t xml:space="preserve"> </t>
    </r>
    <r>
      <rPr>
        <b/>
        <sz val="10"/>
        <color rgb="FF000000"/>
        <rFont val="Batang"/>
        <family val="1"/>
        <charset val="129"/>
      </rPr>
      <t>있도록</t>
    </r>
    <r>
      <rPr>
        <b/>
        <sz val="10"/>
        <color rgb="FF000000"/>
        <rFont val="Times New Roman"/>
        <family val="1"/>
      </rPr>
      <t xml:space="preserve"> </t>
    </r>
    <r>
      <rPr>
        <b/>
        <sz val="10"/>
        <color rgb="FF000000"/>
        <rFont val="Batang"/>
        <family val="1"/>
        <charset val="129"/>
      </rPr>
      <t>너가</t>
    </r>
    <r>
      <rPr>
        <b/>
        <sz val="10"/>
        <color rgb="FF000000"/>
        <rFont val="Times New Roman"/>
        <family val="1"/>
      </rPr>
      <t xml:space="preserve"> </t>
    </r>
    <r>
      <rPr>
        <b/>
        <sz val="10"/>
        <color rgb="FF000000"/>
        <rFont val="Batang"/>
        <family val="1"/>
        <charset val="129"/>
      </rPr>
      <t>프롬프트를</t>
    </r>
    <r>
      <rPr>
        <b/>
        <sz val="10"/>
        <color rgb="FF000000"/>
        <rFont val="Times New Roman"/>
        <family val="1"/>
      </rPr>
      <t xml:space="preserve"> </t>
    </r>
    <r>
      <rPr>
        <b/>
        <sz val="10"/>
        <color rgb="FF000000"/>
        <rFont val="Batang"/>
        <family val="1"/>
        <charset val="129"/>
      </rPr>
      <t>만들어줘</t>
    </r>
    <r>
      <rPr>
        <b/>
        <sz val="10"/>
        <color rgb="FF000000"/>
        <rFont val="Times New Roman"/>
        <family val="1"/>
      </rPr>
      <t xml:space="preserve">! </t>
    </r>
    <r>
      <rPr>
        <b/>
        <sz val="10"/>
        <color rgb="FF000000"/>
        <rFont val="Batang"/>
        <family val="1"/>
        <charset val="129"/>
      </rPr>
      <t>지금</t>
    </r>
    <r>
      <rPr>
        <b/>
        <sz val="10"/>
        <color rgb="FF000000"/>
        <rFont val="Times New Roman"/>
        <family val="1"/>
      </rPr>
      <t xml:space="preserve"> </t>
    </r>
    <r>
      <rPr>
        <b/>
        <sz val="10"/>
        <color rgb="FF000000"/>
        <rFont val="Batang"/>
        <family val="1"/>
        <charset val="129"/>
      </rPr>
      <t>시트를</t>
    </r>
    <r>
      <rPr>
        <b/>
        <sz val="10"/>
        <color rgb="FF000000"/>
        <rFont val="Times New Roman"/>
        <family val="1"/>
      </rPr>
      <t xml:space="preserve"> </t>
    </r>
    <r>
      <rPr>
        <b/>
        <sz val="10"/>
        <color rgb="FF000000"/>
        <rFont val="Batang"/>
        <family val="1"/>
        <charset val="129"/>
      </rPr>
      <t>기반으로</t>
    </r>
    <r>
      <rPr>
        <b/>
        <sz val="10"/>
        <color rgb="FF000000"/>
        <rFont val="Times New Roman"/>
        <family val="1"/>
      </rPr>
      <t xml:space="preserve"> </t>
    </r>
    <r>
      <rPr>
        <b/>
        <sz val="10"/>
        <color rgb="FF000000"/>
        <rFont val="Batang"/>
        <family val="1"/>
        <charset val="129"/>
      </rPr>
      <t>해서</t>
    </r>
    <r>
      <rPr>
        <b/>
        <sz val="10"/>
        <color rgb="FF000000"/>
        <rFont val="Times New Roman"/>
        <family val="1"/>
      </rPr>
      <t xml:space="preserve">! </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</si>
</sst>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년&quot;\ m&quot;월&quot;;@"/>
    <numFmt numFmtId="177" formatCode="0_ "/>
    <numFmt numFmtId="178" formatCode="0.0%"/>
    <numFmt numFmtId="179" formatCode="mm"/>
  </numFmts>
  <fonts count="116">
    <font>
      <sz val="10"/>
      <color rgb="FF000000"/>
      <name val="Times New Roman"/>
      <charset val="204"/>
    </font>
    <font>
      <sz val="12"/>
      <color theme="1"/>
      <name val="맑은 고딕"/>
      <family val="2"/>
      <charset val="129"/>
      <scheme val="minor"/>
    </font>
    <font>
      <b/>
      <sz val="9"/>
      <name val="Malgun Gothic"/>
      <family val="2"/>
      <charset val="129"/>
    </font>
    <font>
      <b/>
      <sz val="28"/>
      <name val="Malgun Gothic"/>
      <family val="2"/>
      <charset val="129"/>
    </font>
    <font>
      <b/>
      <sz val="12"/>
      <name val="Malgun Gothic"/>
      <family val="2"/>
      <charset val="129"/>
    </font>
    <font>
      <sz val="12"/>
      <name val="Batang"/>
      <family val="1"/>
      <charset val="129"/>
    </font>
    <font>
      <sz val="8"/>
      <name val="Dotum"/>
      <family val="2"/>
      <charset val="129"/>
    </font>
    <font>
      <b/>
      <sz val="10"/>
      <name val="Malgun Gothic"/>
      <family val="2"/>
      <charset val="129"/>
    </font>
    <font>
      <b/>
      <sz val="22"/>
      <name val="Malgun Gothic"/>
      <family val="2"/>
      <charset val="129"/>
    </font>
    <font>
      <b/>
      <sz val="11"/>
      <name val="Malgun Gothic"/>
      <family val="2"/>
      <charset val="129"/>
    </font>
    <font>
      <sz val="11"/>
      <color rgb="FF000000"/>
      <name val="Batang"/>
      <family val="2"/>
    </font>
    <font>
      <b/>
      <sz val="8"/>
      <name val="Malgun Gothic"/>
      <family val="2"/>
    </font>
    <font>
      <b/>
      <sz val="9"/>
      <name val="Malgun Gothic"/>
      <family val="2"/>
    </font>
    <font>
      <b/>
      <u/>
      <sz val="28"/>
      <name val="Malgun Gothic"/>
      <family val="2"/>
    </font>
    <font>
      <b/>
      <sz val="12"/>
      <name val="Malgun Gothic"/>
      <family val="2"/>
    </font>
    <font>
      <sz val="12"/>
      <name val="Batang"/>
      <family val="1"/>
    </font>
    <font>
      <sz val="12"/>
      <name val="Dotum"/>
      <family val="2"/>
    </font>
    <font>
      <b/>
      <sz val="10"/>
      <name val="Malgun Gothic"/>
      <family val="2"/>
    </font>
    <font>
      <b/>
      <u/>
      <sz val="22"/>
      <name val="Malgun Gothic"/>
      <family val="2"/>
    </font>
    <font>
      <b/>
      <sz val="11"/>
      <name val="Malgun Gothic"/>
      <family val="2"/>
    </font>
    <font>
      <sz val="11"/>
      <name val="Batang"/>
      <family val="1"/>
    </font>
    <font>
      <sz val="11"/>
      <name val="Dotum"/>
      <family val="2"/>
    </font>
    <font>
      <sz val="8"/>
      <name val="나눔명조"/>
      <family val="3"/>
      <charset val="129"/>
    </font>
    <font>
      <sz val="10"/>
      <color rgb="FF000000"/>
      <name val="Times New Roman"/>
      <family val="1"/>
    </font>
    <font>
      <sz val="10"/>
      <color rgb="FF0000FF"/>
      <name val="Times New Roman"/>
      <family val="1"/>
    </font>
    <font>
      <b/>
      <sz val="10"/>
      <color rgb="FFFFFFFF"/>
      <name val="Malgun Gothic"/>
      <family val="2"/>
      <charset val="129"/>
    </font>
    <font>
      <b/>
      <sz val="10"/>
      <color rgb="FF1F4E79"/>
      <name val="Malgun Gothic"/>
      <family val="2"/>
      <charset val="129"/>
    </font>
    <font>
      <b/>
      <sz val="10"/>
      <color rgb="FF1F4E79"/>
      <name val="Times New Roman"/>
      <family val="1"/>
    </font>
    <font>
      <b/>
      <sz val="10"/>
      <color rgb="FF7B2C2C"/>
      <name val="Times New Roman"/>
      <family val="1"/>
    </font>
    <font>
      <b/>
      <sz val="20"/>
      <color rgb="FFFFFFFF"/>
      <name val="Malgun Gothic"/>
      <family val="2"/>
      <charset val="129"/>
    </font>
    <font>
      <b/>
      <sz val="11"/>
      <color rgb="FFFFFFFF"/>
      <name val="Malgun Gothic"/>
      <family val="2"/>
      <charset val="129"/>
    </font>
    <font>
      <b/>
      <sz val="9"/>
      <color rgb="FF000000"/>
      <name val="Malgun Gothic"/>
      <family val="2"/>
      <charset val="129"/>
    </font>
    <font>
      <i/>
      <sz val="8"/>
      <color rgb="FF888888"/>
      <name val="Times New Roman"/>
      <family val="1"/>
    </font>
    <font>
      <b/>
      <sz val="9"/>
      <color rgb="FF000000"/>
      <name val="Times New Roman"/>
      <family val="1"/>
    </font>
    <font>
      <sz val="9"/>
      <color rgb="FF0000FF"/>
      <name val="Times New Roman"/>
      <family val="1"/>
    </font>
    <font>
      <sz val="10"/>
      <color rgb="FF000000"/>
      <name val="Batang"/>
      <family val="1"/>
      <charset val="129"/>
    </font>
    <font>
      <b/>
      <sz val="11"/>
      <color theme="1"/>
      <name val="맑은 고딕"/>
      <family val="3"/>
      <charset val="129"/>
      <scheme val="minor"/>
    </font>
    <font>
      <sz val="8"/>
      <name val="맑은 고딕"/>
      <family val="2"/>
      <charset val="129"/>
      <scheme val="minor"/>
    </font>
    <font>
      <b/>
      <sz val="11"/>
      <color rgb="FFFF0000"/>
      <name val="맑은 고딕"/>
      <family val="3"/>
      <charset val="129"/>
      <scheme val="minor"/>
    </font>
    <font>
      <b/>
      <sz val="18"/>
      <color rgb="FFFFFFFF"/>
      <name val="맑은 고딕"/>
      <family val="2"/>
      <charset val="129"/>
    </font>
    <font>
      <sz val="9"/>
      <color rgb="FF333333"/>
      <name val="맑은 고딕"/>
      <family val="2"/>
      <charset val="129"/>
    </font>
    <font>
      <b/>
      <sz val="9"/>
      <color rgb="FF333333"/>
      <name val="맑은 고딕"/>
      <family val="2"/>
      <charset val="129"/>
    </font>
    <font>
      <sz val="9"/>
      <color rgb="FF94A3B8"/>
      <name val="맑은 고딕"/>
      <family val="2"/>
      <charset val="129"/>
    </font>
    <font>
      <b/>
      <sz val="10"/>
      <color rgb="FF000000"/>
      <name val="Times New Roman"/>
      <family val="1"/>
    </font>
    <font>
      <b/>
      <sz val="14"/>
      <color rgb="FFFFFFFF"/>
      <name val="맑은 고딕"/>
      <family val="2"/>
      <charset val="129"/>
    </font>
    <font>
      <sz val="14"/>
      <color rgb="FF000000"/>
      <name val="Times New Roman"/>
      <family val="1"/>
    </font>
    <font>
      <b/>
      <sz val="14"/>
      <color rgb="FF92400E"/>
      <name val="맑은 고딕"/>
      <family val="2"/>
      <charset val="129"/>
    </font>
    <font>
      <b/>
      <sz val="14"/>
      <color rgb="FF991B1B"/>
      <name val="맑은 고딕"/>
      <family val="2"/>
      <charset val="129"/>
    </font>
    <font>
      <b/>
      <sz val="14"/>
      <color rgb="FF333333"/>
      <name val="맑은 고딕"/>
      <family val="2"/>
      <charset val="129"/>
    </font>
    <font>
      <sz val="14"/>
      <color rgb="FF333333"/>
      <name val="맑은 고딕"/>
      <family val="2"/>
      <charset val="129"/>
    </font>
    <font>
      <sz val="11"/>
      <color rgb="FF333333"/>
      <name val="맑은 고딕"/>
      <family val="2"/>
      <charset val="129"/>
    </font>
    <font>
      <b/>
      <sz val="16"/>
      <color rgb="FFDC2626"/>
      <name val="맑은 고딕"/>
      <family val="2"/>
      <charset val="129"/>
    </font>
    <font>
      <b/>
      <sz val="11"/>
      <color rgb="FF065F46"/>
      <name val="맑은 고딕"/>
      <family val="2"/>
      <charset val="129"/>
    </font>
    <font>
      <b/>
      <sz val="11"/>
      <color rgb="FF333333"/>
      <name val="맑은 고딕"/>
      <family val="2"/>
      <charset val="129"/>
    </font>
    <font>
      <b/>
      <sz val="11"/>
      <color rgb="FFDC2626"/>
      <name val="맑은 고딕"/>
      <family val="2"/>
      <charset val="129"/>
    </font>
    <font>
      <sz val="11"/>
      <color rgb="FF000000"/>
      <name val="Times New Roman"/>
      <family val="1"/>
    </font>
    <font>
      <b/>
      <sz val="9"/>
      <color theme="1"/>
      <name val="Times New Roman"/>
      <family val="1"/>
    </font>
    <font>
      <sz val="10"/>
      <color theme="1"/>
      <name val="Times New Roman"/>
      <family val="1"/>
    </font>
    <font>
      <sz val="9"/>
      <color rgb="FF000000"/>
      <name val="Times New Roman"/>
      <family val="1"/>
    </font>
    <font>
      <b/>
      <sz val="9"/>
      <color theme="1"/>
      <name val="Malgun Gothic"/>
      <family val="2"/>
      <charset val="129"/>
    </font>
    <font>
      <b/>
      <sz val="10"/>
      <name val="Batang"/>
      <family val="2"/>
      <charset val="129"/>
    </font>
    <font>
      <b/>
      <sz val="10"/>
      <name val="Times New Roman"/>
      <family val="2"/>
    </font>
    <font>
      <b/>
      <sz val="10"/>
      <name val="Times New Roman"/>
      <family val="2"/>
      <charset val="129"/>
    </font>
    <font>
      <sz val="10"/>
      <color rgb="FF000000"/>
      <name val="Times New Roman"/>
      <family val="1"/>
      <charset val="129"/>
    </font>
    <font>
      <b/>
      <sz val="10"/>
      <color rgb="FF000000"/>
      <name val="Times New Roman"/>
      <family val="1"/>
      <charset val="129"/>
    </font>
    <font>
      <b/>
      <sz val="10"/>
      <color rgb="FF000000"/>
      <name val="Batang"/>
      <family val="1"/>
      <charset val="129"/>
    </font>
    <font>
      <sz val="10"/>
      <color theme="1"/>
      <name val="Batang"/>
      <family val="1"/>
      <charset val="129"/>
    </font>
    <font>
      <sz val="10"/>
      <color rgb="FF0000FF"/>
      <name val="Batang"/>
      <family val="1"/>
      <charset val="129"/>
    </font>
    <font>
      <sz val="12"/>
      <color rgb="FF333333"/>
      <name val="맑은 고딕"/>
      <family val="2"/>
      <charset val="129"/>
    </font>
    <font>
      <sz val="12"/>
      <color rgb="FF000000"/>
      <name val="Batang"/>
      <family val="1"/>
      <charset val="129"/>
    </font>
    <font>
      <b/>
      <sz val="13"/>
      <color rgb="FF065F46"/>
      <name val="맑은 고딕"/>
      <family val="2"/>
      <charset val="129"/>
    </font>
    <font>
      <b/>
      <sz val="13"/>
      <color rgb="FF333333"/>
      <name val="맑은 고딕"/>
      <family val="2"/>
      <charset val="129"/>
    </font>
    <font>
      <b/>
      <sz val="13"/>
      <color rgb="FFDC2626"/>
      <name val="맑은 고딕"/>
      <family val="2"/>
      <charset val="129"/>
    </font>
    <font>
      <sz val="13"/>
      <color theme="1"/>
      <name val="맑은 고딕"/>
      <family val="2"/>
      <charset val="129"/>
    </font>
    <font>
      <sz val="13"/>
      <color rgb="FF333333"/>
      <name val="맑은 고딕"/>
      <family val="2"/>
      <charset val="129"/>
    </font>
    <font>
      <sz val="13"/>
      <color rgb="FF000000"/>
      <name val="Times New Roman"/>
      <family val="1"/>
    </font>
    <font>
      <sz val="13"/>
      <color theme="1"/>
      <name val="Times New Roman"/>
      <family val="1"/>
    </font>
    <font>
      <sz val="13"/>
      <color rgb="FF000000"/>
      <name val="Times New Roman"/>
      <family val="1"/>
      <charset val="129"/>
    </font>
    <font>
      <sz val="13"/>
      <color rgb="FF000000"/>
      <name val="Batang"/>
      <family val="1"/>
      <charset val="129"/>
    </font>
    <font>
      <b/>
      <sz val="9"/>
      <color rgb="FF000000"/>
      <name val="Batang"/>
      <family val="1"/>
      <charset val="129"/>
    </font>
    <font>
      <sz val="10"/>
      <color theme="0"/>
      <name val="Times New Roman"/>
      <family val="1"/>
    </font>
    <font>
      <b/>
      <sz val="13"/>
      <color theme="0"/>
      <name val="맑은 고딕"/>
      <family val="2"/>
      <charset val="129"/>
    </font>
    <font>
      <sz val="10"/>
      <color rgb="FF0000FF"/>
      <name val="Times New Roman"/>
      <family val="1"/>
      <charset val="129"/>
    </font>
    <font>
      <sz val="10"/>
      <color theme="1"/>
      <name val="Times New Roman"/>
      <family val="1"/>
      <charset val="129"/>
    </font>
    <font>
      <sz val="10"/>
      <color theme="0"/>
      <name val="Batang"/>
      <family val="1"/>
      <charset val="129"/>
    </font>
    <font>
      <sz val="10"/>
      <color theme="1"/>
      <name val="궁서"/>
      <family val="1"/>
      <charset val="129"/>
    </font>
    <font>
      <b/>
      <sz val="14"/>
      <color rgb="FF000000"/>
      <name val="Times New Roman"/>
      <family val="1"/>
      <charset val="129"/>
    </font>
    <font>
      <b/>
      <sz val="14"/>
      <color rgb="FF000000"/>
      <name val="Batang"/>
      <family val="1"/>
      <charset val="129"/>
    </font>
    <font>
      <b/>
      <sz val="14"/>
      <color rgb="FF000000"/>
      <name val="Times New Roman"/>
      <family val="1"/>
    </font>
    <font>
      <b/>
      <sz val="16"/>
      <color rgb="FF000000"/>
      <name val="Times New Roman"/>
      <family val="1"/>
      <charset val="129"/>
    </font>
    <font>
      <b/>
      <sz val="16"/>
      <color rgb="FF000000"/>
      <name val="Batang"/>
      <family val="1"/>
      <charset val="129"/>
    </font>
    <font>
      <b/>
      <sz val="16"/>
      <color rgb="FF000000"/>
      <name val="Times New Roman"/>
      <family val="1"/>
    </font>
    <font>
      <sz val="14"/>
      <color rgb="FF000000"/>
      <name val="Batang"/>
      <family val="1"/>
      <charset val="129"/>
    </font>
    <font>
      <b/>
      <sz val="16"/>
      <color rgb="FF475569"/>
      <name val="맑은 고딕"/>
      <family val="2"/>
      <charset val="129"/>
    </font>
    <font>
      <sz val="16"/>
      <color rgb="FF000000"/>
      <name val="Times New Roman"/>
      <family val="1"/>
    </font>
    <font>
      <b/>
      <sz val="16"/>
      <color rgb="FF64748B"/>
      <name val="맑은 고딕"/>
      <family val="2"/>
      <charset val="129"/>
    </font>
    <font>
      <sz val="16"/>
      <color rgb="FF333333"/>
      <name val="맑은 고딕"/>
      <family val="2"/>
      <charset val="129"/>
    </font>
    <font>
      <b/>
      <sz val="16"/>
      <color rgb="FFFF0000"/>
      <name val="맑은 고딕"/>
      <family val="2"/>
      <charset val="129"/>
    </font>
    <font>
      <sz val="18"/>
      <color rgb="FF000000"/>
      <name val="Times New Roman"/>
      <family val="1"/>
    </font>
    <font>
      <sz val="16"/>
      <color rgb="FF000000"/>
      <name val="Batang"/>
      <family val="1"/>
      <charset val="129"/>
    </font>
    <font>
      <b/>
      <sz val="18"/>
      <color rgb="FF000000"/>
      <name val="Times New Roman"/>
      <family val="1"/>
    </font>
    <font>
      <b/>
      <sz val="16"/>
      <color rgb="FF64748B"/>
      <name val="Apple Color Emoji"/>
      <family val="2"/>
      <charset val="129"/>
    </font>
    <font>
      <b/>
      <sz val="16"/>
      <color rgb="FFFFFFFF"/>
      <name val="맑은 고딕"/>
      <family val="2"/>
      <charset val="129"/>
    </font>
    <font>
      <b/>
      <sz val="16"/>
      <color rgb="FF000000"/>
      <name val="Apple Color Emoji"/>
      <family val="1"/>
    </font>
    <font>
      <sz val="11"/>
      <color rgb="FF000000"/>
      <name val="Batang"/>
      <family val="1"/>
      <charset val="129"/>
    </font>
    <font>
      <i/>
      <sz val="11"/>
      <color rgb="FF333333"/>
      <name val="맑은 고딕"/>
      <family val="2"/>
      <charset val="129"/>
    </font>
    <font>
      <b/>
      <sz val="12"/>
      <color rgb="FF374151"/>
      <name val="맑은 고딕"/>
      <family val="2"/>
      <charset val="129"/>
    </font>
    <font>
      <b/>
      <sz val="12"/>
      <color rgb="FF1E40AF"/>
      <name val="맑은 고딕"/>
      <family val="2"/>
      <charset val="129"/>
    </font>
    <font>
      <i/>
      <sz val="12"/>
      <color rgb="FFC2410C"/>
      <name val="맑은 고딕"/>
      <family val="2"/>
      <charset val="129"/>
    </font>
    <font>
      <b/>
      <sz val="10"/>
      <color rgb="FFFFFFFF"/>
      <name val="Times New Roman"/>
      <family val="1"/>
    </font>
    <font>
      <b/>
      <sz val="13"/>
      <color rgb="FF1F3864"/>
      <name val="Times New Roman"/>
      <family val="1"/>
    </font>
    <font>
      <b/>
      <sz val="10"/>
      <color rgb="FF2E75B6"/>
      <name val="Times New Roman"/>
      <family val="1"/>
    </font>
    <font>
      <i/>
      <sz val="9"/>
      <color rgb="FF999999"/>
      <name val="Times New Roman"/>
      <family val="1"/>
    </font>
    <font>
      <sz val="9"/>
      <color rgb="FF0000FF"/>
      <name val="Batang"/>
      <family val="1"/>
      <charset val="129"/>
    </font>
    <font>
      <sz val="10"/>
      <color rgb="FF000000"/>
      <name val="Times New Roman"/>
      <family val="1"/>
      <charset val="204"/>
    </font>
    <font>
      <b/>
      <sz val="9"/>
      <color rgb="FFFFFFFF"/>
      <name val="Times New Roman"/>
      <family val="1"/>
    </font>
  </fonts>
  <fills count="45">
    <fill>
      <patternFill patternType="none"/>
    </fill>
    <fill>
      <patternFill patternType="gray125"/>
    </fill>
    <fill>
      <patternFill patternType="solid">
        <fgColor rgb="FFE3F4E3"/>
      </patternFill>
    </fill>
    <fill>
      <patternFill patternType="solid">
        <fgColor rgb="FF1F4E79"/>
        <bgColor indexed="64"/>
      </patternFill>
    </fill>
    <fill>
      <patternFill patternType="solid">
        <fgColor rgb="FFD6E4F0"/>
        <bgColor indexed="64"/>
      </patternFill>
    </fill>
    <fill>
      <patternFill patternType="solid">
        <fgColor rgb="FF7B2C2C"/>
        <bgColor indexed="64"/>
      </patternFill>
    </fill>
    <fill>
      <patternFill patternType="solid">
        <fgColor rgb="FF2E75B6"/>
        <bgColor indexed="64"/>
      </patternFill>
    </fill>
    <fill>
      <patternFill patternType="solid">
        <fgColor rgb="FFEBF3FA"/>
        <bgColor indexed="64"/>
      </patternFill>
    </fill>
    <fill>
      <patternFill patternType="solid">
        <fgColor rgb="FFF5F5F5"/>
        <bgColor indexed="64"/>
      </patternFill>
    </fill>
    <fill>
      <patternFill patternType="solid">
        <fgColor rgb="FFF2DCDB"/>
        <bgColor indexed="64"/>
      </patternFill>
    </fill>
    <fill>
      <patternFill patternType="solid">
        <fgColor theme="3" tint="0.89999084444715716"/>
        <bgColor indexed="64"/>
      </patternFill>
    </fill>
    <fill>
      <patternFill patternType="solid">
        <fgColor rgb="FFFFFFFF"/>
        <bgColor indexed="64"/>
      </patternFill>
    </fill>
    <fill>
      <patternFill patternType="solid">
        <fgColor rgb="FFF5F7FA"/>
        <bgColor indexed="64"/>
      </patternFill>
    </fill>
    <fill>
      <patternFill patternType="solid">
        <fgColor rgb="FF0F172A"/>
        <bgColor indexed="64"/>
      </patternFill>
    </fill>
    <fill>
      <patternFill patternType="solid">
        <fgColor rgb="FF1E40AF"/>
        <bgColor indexed="64"/>
      </patternFill>
    </fill>
    <fill>
      <patternFill patternType="solid">
        <fgColor rgb="FFFEF3C7"/>
        <bgColor indexed="64"/>
      </patternFill>
    </fill>
    <fill>
      <patternFill patternType="solid">
        <fgColor rgb="FFD1FAE5"/>
        <bgColor indexed="64"/>
      </patternFill>
    </fill>
    <fill>
      <patternFill patternType="solid">
        <fgColor rgb="FFF8FAFC"/>
        <bgColor indexed="64"/>
      </patternFill>
    </fill>
    <fill>
      <patternFill patternType="solid">
        <fgColor rgb="FFECFDF5"/>
        <bgColor indexed="64"/>
      </patternFill>
    </fill>
    <fill>
      <patternFill patternType="solid">
        <fgColor rgb="FFF9FAFB"/>
        <bgColor indexed="64"/>
      </patternFill>
    </fill>
    <fill>
      <patternFill patternType="solid">
        <fgColor rgb="FFEFF6FF"/>
        <bgColor indexed="64"/>
      </patternFill>
    </fill>
    <fill>
      <patternFill patternType="solid">
        <fgColor rgb="FFFFF7ED"/>
        <bgColor indexed="64"/>
      </patternFill>
    </fill>
    <fill>
      <patternFill patternType="solid">
        <fgColor rgb="FF92400E"/>
        <bgColor indexed="64"/>
      </patternFill>
    </fill>
    <fill>
      <patternFill patternType="solid">
        <fgColor rgb="FFFFFBEB"/>
        <bgColor indexed="64"/>
      </patternFill>
    </fill>
    <fill>
      <patternFill patternType="solid">
        <fgColor rgb="FF991B1B"/>
        <bgColor indexed="64"/>
      </patternFill>
    </fill>
    <fill>
      <patternFill patternType="solid">
        <fgColor rgb="FFFEE2E2"/>
        <bgColor indexed="64"/>
      </patternFill>
    </fill>
    <fill>
      <patternFill patternType="solid">
        <fgColor rgb="FFFEF2F2"/>
        <bgColor indexed="64"/>
      </patternFill>
    </fill>
    <fill>
      <patternFill patternType="solid">
        <fgColor rgb="FF002060"/>
        <bgColor indexed="64"/>
      </patternFill>
    </fill>
    <fill>
      <patternFill patternType="solid">
        <fgColor rgb="FF92D050"/>
        <bgColor indexed="64"/>
      </patternFill>
    </fill>
    <fill>
      <patternFill patternType="solid">
        <fgColor theme="6" tint="0.79998168889431442"/>
        <bgColor indexed="64"/>
      </patternFill>
    </fill>
    <fill>
      <patternFill patternType="solid">
        <fgColor rgb="FFEBF1DE"/>
        <bgColor rgb="FF000000"/>
      </patternFill>
    </fill>
    <fill>
      <patternFill patternType="solid">
        <fgColor theme="0" tint="-0.14999847407452621"/>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3" tint="0.59999389629810485"/>
        <bgColor indexed="64"/>
      </patternFill>
    </fill>
    <fill>
      <patternFill patternType="solid">
        <fgColor rgb="FF1F3864"/>
        <bgColor indexed="64"/>
      </patternFill>
    </fill>
    <fill>
      <patternFill patternType="solid">
        <fgColor rgb="FFBDD7EE"/>
        <bgColor indexed="64"/>
      </patternFill>
    </fill>
    <fill>
      <patternFill patternType="solid">
        <fgColor rgb="FFDDEEFF"/>
        <bgColor indexed="64"/>
      </patternFill>
    </fill>
    <fill>
      <patternFill patternType="solid">
        <fgColor rgb="FFF5F9FF"/>
        <bgColor indexed="64"/>
      </patternFill>
    </fill>
    <fill>
      <patternFill patternType="solid">
        <fgColor rgb="FFC00000"/>
        <bgColor indexed="64"/>
      </patternFill>
    </fill>
    <fill>
      <patternFill patternType="solid">
        <fgColor rgb="FFE26B0A"/>
        <bgColor indexed="64"/>
      </patternFill>
    </fill>
    <fill>
      <patternFill patternType="solid">
        <fgColor rgb="FFFFC000"/>
        <bgColor indexed="64"/>
      </patternFill>
    </fill>
    <fill>
      <patternFill patternType="solid">
        <fgColor rgb="FF375623"/>
        <bgColor indexed="64"/>
      </patternFill>
    </fill>
    <fill>
      <patternFill patternType="solid">
        <fgColor rgb="FFD9D9D9"/>
        <bgColor indexed="64"/>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thin">
        <color rgb="FFD1FAE5"/>
      </top>
      <bottom/>
      <diagonal/>
    </border>
    <border>
      <left/>
      <right/>
      <top/>
      <bottom style="thin">
        <color rgb="FFD1FAE5"/>
      </bottom>
      <diagonal/>
    </border>
    <border>
      <left style="thin">
        <color rgb="FFD1FAE5"/>
      </left>
      <right/>
      <top style="thin">
        <color rgb="FFD1FAE5"/>
      </top>
      <bottom/>
      <diagonal/>
    </border>
    <border>
      <left style="thin">
        <color rgb="FFD1FAE5"/>
      </left>
      <right/>
      <top/>
      <bottom/>
      <diagonal/>
    </border>
    <border>
      <left style="thin">
        <color rgb="FFD1FAE5"/>
      </left>
      <right/>
      <top/>
      <bottom style="thin">
        <color rgb="FFD1FAE5"/>
      </bottom>
      <diagonal/>
    </border>
    <border>
      <left/>
      <right style="thin">
        <color rgb="FFD1FAE5"/>
      </right>
      <top style="thin">
        <color rgb="FFD1FAE5"/>
      </top>
      <bottom/>
      <diagonal/>
    </border>
    <border>
      <left/>
      <right style="thin">
        <color rgb="FFD1FAE5"/>
      </right>
      <top/>
      <bottom/>
      <diagonal/>
    </border>
    <border>
      <left/>
      <right style="thin">
        <color rgb="FFD1FAE5"/>
      </right>
      <top/>
      <bottom style="thin">
        <color rgb="FFD1FAE5"/>
      </bottom>
      <diagonal/>
    </border>
    <border>
      <left style="thin">
        <color rgb="FFE5E7EB"/>
      </left>
      <right/>
      <top style="thin">
        <color rgb="FFE5E7EB"/>
      </top>
      <bottom/>
      <diagonal/>
    </border>
    <border>
      <left style="thin">
        <color rgb="FFE5E7EB"/>
      </left>
      <right/>
      <top/>
      <bottom/>
      <diagonal/>
    </border>
    <border>
      <left style="thin">
        <color rgb="FFE5E7EB"/>
      </left>
      <right/>
      <top/>
      <bottom style="thin">
        <color rgb="FFE5E7EB"/>
      </bottom>
      <diagonal/>
    </border>
    <border>
      <left/>
      <right style="thin">
        <color rgb="FFE5E7EB"/>
      </right>
      <top style="thin">
        <color rgb="FFE5E7EB"/>
      </top>
      <bottom/>
      <diagonal/>
    </border>
    <border>
      <left/>
      <right style="thin">
        <color rgb="FFE5E7EB"/>
      </right>
      <top/>
      <bottom/>
      <diagonal/>
    </border>
    <border>
      <left/>
      <right style="thin">
        <color rgb="FFE5E7EB"/>
      </right>
      <top/>
      <bottom style="thin">
        <color rgb="FFE5E7EB"/>
      </bottom>
      <diagonal/>
    </border>
    <border>
      <left style="thin">
        <color rgb="FFBFDBFE"/>
      </left>
      <right/>
      <top style="thin">
        <color rgb="FFBFDBFE"/>
      </top>
      <bottom/>
      <diagonal/>
    </border>
    <border>
      <left style="thin">
        <color rgb="FFBFDBFE"/>
      </left>
      <right/>
      <top/>
      <bottom/>
      <diagonal/>
    </border>
    <border>
      <left style="thin">
        <color rgb="FFBFDBFE"/>
      </left>
      <right/>
      <top/>
      <bottom style="thin">
        <color rgb="FFBFDBFE"/>
      </bottom>
      <diagonal/>
    </border>
    <border>
      <left/>
      <right style="thin">
        <color rgb="FFBFDBFE"/>
      </right>
      <top style="thin">
        <color rgb="FFBFDBFE"/>
      </top>
      <bottom/>
      <diagonal/>
    </border>
    <border>
      <left/>
      <right style="thin">
        <color rgb="FFBFDBFE"/>
      </right>
      <top/>
      <bottom/>
      <diagonal/>
    </border>
    <border>
      <left/>
      <right style="thin">
        <color rgb="FFBFDBFE"/>
      </right>
      <top/>
      <bottom style="thin">
        <color rgb="FFBFDBFE"/>
      </bottom>
      <diagonal/>
    </border>
    <border>
      <left style="thin">
        <color rgb="FFFDE68A"/>
      </left>
      <right/>
      <top style="thin">
        <color rgb="FFFDE68A"/>
      </top>
      <bottom/>
      <diagonal/>
    </border>
    <border>
      <left style="thin">
        <color rgb="FFFDE68A"/>
      </left>
      <right/>
      <top/>
      <bottom/>
      <diagonal/>
    </border>
    <border>
      <left style="thin">
        <color rgb="FFFDE68A"/>
      </left>
      <right/>
      <top/>
      <bottom style="thin">
        <color rgb="FFFDE68A"/>
      </bottom>
      <diagonal/>
    </border>
    <border>
      <left/>
      <right style="thin">
        <color rgb="FFFDE68A"/>
      </right>
      <top style="thin">
        <color rgb="FFFDE68A"/>
      </top>
      <bottom/>
      <diagonal/>
    </border>
    <border>
      <left/>
      <right style="thin">
        <color rgb="FFFDE68A"/>
      </right>
      <top/>
      <bottom/>
      <diagonal/>
    </border>
    <border>
      <left/>
      <right style="thin">
        <color rgb="FFFDE68A"/>
      </right>
      <top/>
      <bottom style="thin">
        <color rgb="FFFDE68A"/>
      </bottom>
      <diagonal/>
    </border>
    <border>
      <left style="thin">
        <color rgb="FFFECACA"/>
      </left>
      <right/>
      <top style="thin">
        <color rgb="FFFECACA"/>
      </top>
      <bottom/>
      <diagonal/>
    </border>
    <border>
      <left style="thin">
        <color rgb="FFFECACA"/>
      </left>
      <right/>
      <top/>
      <bottom/>
      <diagonal/>
    </border>
    <border>
      <left style="thin">
        <color rgb="FFFECACA"/>
      </left>
      <right/>
      <top/>
      <bottom style="thin">
        <color rgb="FFFECACA"/>
      </bottom>
      <diagonal/>
    </border>
    <border>
      <left/>
      <right style="thin">
        <color rgb="FFFECACA"/>
      </right>
      <top style="thin">
        <color rgb="FFFECACA"/>
      </top>
      <bottom/>
      <diagonal/>
    </border>
    <border>
      <left/>
      <right style="thin">
        <color rgb="FFFECACA"/>
      </right>
      <top/>
      <bottom/>
      <diagonal/>
    </border>
    <border>
      <left/>
      <right style="thin">
        <color rgb="FFFECACA"/>
      </right>
      <top/>
      <bottom style="thin">
        <color rgb="FFFECACA"/>
      </bottom>
      <diagonal/>
    </border>
    <border>
      <left/>
      <right/>
      <top/>
      <bottom style="thin">
        <color rgb="FFFDE68A"/>
      </bottom>
      <diagonal/>
    </border>
    <border>
      <left/>
      <right/>
      <top/>
      <bottom style="thin">
        <color rgb="FFFECACA"/>
      </bottom>
      <diagonal/>
    </border>
    <border>
      <left/>
      <right/>
      <top/>
      <bottom style="thin">
        <color rgb="FFE5E7EB"/>
      </bottom>
      <diagonal/>
    </border>
    <border>
      <left/>
      <right/>
      <top/>
      <bottom style="thin">
        <color rgb="FFBFDBFE"/>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auto="1"/>
      </left>
      <right/>
      <top style="thin">
        <color auto="1"/>
      </top>
      <bottom style="thin">
        <color auto="1"/>
      </bottom>
      <diagonal/>
    </border>
    <border>
      <left style="thin">
        <color rgb="FFB4C7E7"/>
      </left>
      <right style="thin">
        <color rgb="FFB4C7E7"/>
      </right>
      <top style="thin">
        <color rgb="FFB4C7E7"/>
      </top>
      <bottom style="thin">
        <color rgb="FFB4C7E7"/>
      </bottom>
      <diagonal/>
    </border>
  </borders>
  <cellStyleXfs count="2">
    <xf numFmtId="0" fontId="0" fillId="0" borderId="0"/>
    <xf numFmtId="0" fontId="1" fillId="0" borderId="0">
      <alignment vertical="center"/>
    </xf>
  </cellStyleXfs>
  <cellXfs count="333">
    <xf numFmtId="0" fontId="0" fillId="0" borderId="0" xfId="0" applyAlignment="1">
      <alignment horizontal="left" vertical="top"/>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0" borderId="1" xfId="0" applyBorder="1" applyAlignment="1">
      <alignment horizontal="left" wrapText="1"/>
    </xf>
    <xf numFmtId="0" fontId="9" fillId="2" borderId="1" xfId="0" applyFont="1" applyFill="1" applyBorder="1" applyAlignment="1">
      <alignment horizontal="center" vertical="top" wrapText="1"/>
    </xf>
    <xf numFmtId="0" fontId="9" fillId="2" borderId="1" xfId="0" applyFont="1" applyFill="1" applyBorder="1" applyAlignment="1">
      <alignment horizontal="left" vertical="top" wrapText="1" indent="3"/>
    </xf>
    <xf numFmtId="0" fontId="9" fillId="2" borderId="1" xfId="0" applyFont="1" applyFill="1" applyBorder="1" applyAlignment="1">
      <alignment horizontal="left" vertical="top" wrapText="1" indent="1"/>
    </xf>
    <xf numFmtId="1" fontId="10" fillId="0" borderId="1" xfId="0" applyNumberFormat="1" applyFont="1" applyBorder="1" applyAlignment="1">
      <alignment horizontal="center" vertical="top" shrinkToFit="1"/>
    </xf>
    <xf numFmtId="0" fontId="27" fillId="0" borderId="0" xfId="0" applyFont="1" applyAlignment="1">
      <alignment horizontal="left" vertical="top"/>
    </xf>
    <xf numFmtId="0" fontId="28" fillId="0" borderId="0" xfId="0" applyFont="1"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xf numFmtId="0" fontId="0" fillId="0" borderId="0" xfId="0" applyAlignment="1">
      <alignment horizontal="left" vertical="center"/>
    </xf>
    <xf numFmtId="0" fontId="31" fillId="4" borderId="0" xfId="0" applyFont="1" applyFill="1" applyAlignment="1">
      <alignment horizontal="center" vertical="center"/>
    </xf>
    <xf numFmtId="0" fontId="31" fillId="7" borderId="16" xfId="0" applyFont="1" applyFill="1" applyBorder="1" applyAlignment="1">
      <alignment horizontal="left" vertical="center"/>
    </xf>
    <xf numFmtId="0" fontId="0" fillId="0" borderId="0" xfId="0" applyAlignment="1">
      <alignment horizontal="left" vertical="center" wrapText="1"/>
    </xf>
    <xf numFmtId="0" fontId="2" fillId="0" borderId="1" xfId="0" applyFont="1" applyBorder="1" applyAlignment="1">
      <alignment horizontal="left" vertical="center" wrapText="1" indent="1"/>
    </xf>
    <xf numFmtId="0" fontId="4" fillId="2" borderId="1" xfId="0" applyFont="1" applyFill="1" applyBorder="1" applyAlignment="1">
      <alignment horizontal="center" vertical="center" wrapText="1"/>
    </xf>
    <xf numFmtId="0" fontId="23" fillId="0" borderId="16" xfId="0" applyFont="1" applyBorder="1" applyAlignment="1">
      <alignment horizontal="left" vertical="center"/>
    </xf>
    <xf numFmtId="0" fontId="25" fillId="5" borderId="16" xfId="0" applyFont="1" applyFill="1" applyBorder="1" applyAlignment="1">
      <alignment horizontal="center" vertical="center"/>
    </xf>
    <xf numFmtId="0" fontId="28" fillId="0" borderId="16" xfId="0" applyFont="1" applyBorder="1" applyAlignment="1">
      <alignment horizontal="left" vertical="center"/>
    </xf>
    <xf numFmtId="49" fontId="23" fillId="0" borderId="16" xfId="0" applyNumberFormat="1" applyFont="1" applyBorder="1" applyAlignment="1">
      <alignment horizontal="left" vertical="center"/>
    </xf>
    <xf numFmtId="0" fontId="25" fillId="3" borderId="16" xfId="0" applyFont="1" applyFill="1" applyBorder="1" applyAlignment="1">
      <alignment horizontal="center" vertical="center"/>
    </xf>
    <xf numFmtId="0" fontId="26" fillId="0" borderId="16" xfId="0" applyFont="1" applyBorder="1" applyAlignment="1">
      <alignment horizontal="left" vertical="center"/>
    </xf>
    <xf numFmtId="0" fontId="35" fillId="0" borderId="0" xfId="0" applyFont="1" applyAlignment="1">
      <alignment horizontal="left" vertical="top"/>
    </xf>
    <xf numFmtId="0" fontId="36" fillId="10" borderId="0" xfId="1" applyFont="1" applyFill="1">
      <alignment vertical="center"/>
    </xf>
    <xf numFmtId="0" fontId="38" fillId="10" borderId="0" xfId="1" applyFont="1" applyFill="1">
      <alignment vertical="center"/>
    </xf>
    <xf numFmtId="176" fontId="38" fillId="10" borderId="0" xfId="1" applyNumberFormat="1" applyFont="1" applyFill="1" applyAlignment="1">
      <alignment horizontal="center" vertical="center"/>
    </xf>
    <xf numFmtId="0" fontId="1" fillId="0" borderId="0" xfId="1">
      <alignment vertical="center"/>
    </xf>
    <xf numFmtId="177" fontId="1" fillId="0" borderId="0" xfId="1" applyNumberFormat="1">
      <alignment vertical="center"/>
    </xf>
    <xf numFmtId="178" fontId="1" fillId="0" borderId="0" xfId="1" applyNumberFormat="1">
      <alignment vertical="center"/>
    </xf>
    <xf numFmtId="176" fontId="1" fillId="0" borderId="0" xfId="1" applyNumberFormat="1" applyAlignment="1">
      <alignment horizontal="center" vertical="center"/>
    </xf>
    <xf numFmtId="179" fontId="1" fillId="0" borderId="0" xfId="1" applyNumberFormat="1" applyAlignment="1">
      <alignment horizontal="center" vertical="center"/>
    </xf>
    <xf numFmtId="0" fontId="40" fillId="12" borderId="0" xfId="0" applyFont="1" applyFill="1" applyAlignment="1">
      <alignment horizontal="left" vertical="center"/>
    </xf>
    <xf numFmtId="0" fontId="40" fillId="13" borderId="0" xfId="0" applyFont="1" applyFill="1" applyAlignment="1">
      <alignment horizontal="left" vertical="center"/>
    </xf>
    <xf numFmtId="0" fontId="40" fillId="11" borderId="0" xfId="0" applyFont="1" applyFill="1" applyAlignment="1">
      <alignment horizontal="left" vertical="center"/>
    </xf>
    <xf numFmtId="0" fontId="0" fillId="0" borderId="0" xfId="0" applyAlignment="1">
      <alignment horizontal="center" vertical="top"/>
    </xf>
    <xf numFmtId="0" fontId="44" fillId="22" borderId="49" xfId="0" applyFont="1" applyFill="1" applyBorder="1" applyAlignment="1">
      <alignment vertical="center"/>
    </xf>
    <xf numFmtId="0" fontId="45" fillId="0" borderId="0" xfId="0" applyFont="1" applyAlignment="1">
      <alignment horizontal="left" vertical="top"/>
    </xf>
    <xf numFmtId="0" fontId="44" fillId="24" borderId="50" xfId="0" applyFont="1" applyFill="1" applyBorder="1" applyAlignment="1">
      <alignment vertical="center"/>
    </xf>
    <xf numFmtId="0" fontId="46" fillId="15" borderId="37" xfId="0" applyFont="1" applyFill="1" applyBorder="1" applyAlignment="1">
      <alignment horizontal="center" vertical="center"/>
    </xf>
    <xf numFmtId="0" fontId="47" fillId="25" borderId="43" xfId="0" applyFont="1" applyFill="1" applyBorder="1" applyAlignment="1">
      <alignment horizontal="center" vertical="center"/>
    </xf>
    <xf numFmtId="0" fontId="48" fillId="23" borderId="38" xfId="0" applyFont="1" applyFill="1" applyBorder="1" applyAlignment="1">
      <alignment horizontal="center" vertical="center"/>
    </xf>
    <xf numFmtId="0" fontId="48" fillId="23" borderId="41" xfId="0" applyFont="1" applyFill="1" applyBorder="1" applyAlignment="1">
      <alignment horizontal="left" vertical="center"/>
    </xf>
    <xf numFmtId="0" fontId="48" fillId="26" borderId="44" xfId="0" applyFont="1" applyFill="1" applyBorder="1" applyAlignment="1">
      <alignment horizontal="center" vertical="center"/>
    </xf>
    <xf numFmtId="0" fontId="48" fillId="26" borderId="47" xfId="0" applyFont="1" applyFill="1" applyBorder="1" applyAlignment="1">
      <alignment horizontal="left" vertical="center"/>
    </xf>
    <xf numFmtId="0" fontId="48" fillId="11" borderId="38" xfId="0" applyFont="1" applyFill="1" applyBorder="1" applyAlignment="1">
      <alignment horizontal="center" vertical="center"/>
    </xf>
    <xf numFmtId="0" fontId="48" fillId="11" borderId="41" xfId="0" applyFont="1" applyFill="1" applyBorder="1" applyAlignment="1">
      <alignment horizontal="left" vertical="center"/>
    </xf>
    <xf numFmtId="0" fontId="48" fillId="11" borderId="44" xfId="0" applyFont="1" applyFill="1" applyBorder="1" applyAlignment="1">
      <alignment horizontal="center" vertical="center"/>
    </xf>
    <xf numFmtId="0" fontId="48" fillId="11" borderId="47" xfId="0" applyFont="1" applyFill="1" applyBorder="1" applyAlignment="1">
      <alignment horizontal="left" vertical="center"/>
    </xf>
    <xf numFmtId="0" fontId="49" fillId="11" borderId="38" xfId="0" applyFont="1" applyFill="1" applyBorder="1" applyAlignment="1">
      <alignment horizontal="center" vertical="center"/>
    </xf>
    <xf numFmtId="0" fontId="49" fillId="11" borderId="41" xfId="0" applyFont="1" applyFill="1" applyBorder="1" applyAlignment="1">
      <alignment horizontal="left" vertical="center"/>
    </xf>
    <xf numFmtId="0" fontId="49" fillId="11" borderId="44" xfId="0" applyFont="1" applyFill="1" applyBorder="1" applyAlignment="1">
      <alignment horizontal="center" vertical="center"/>
    </xf>
    <xf numFmtId="0" fontId="49" fillId="11" borderId="47" xfId="0" applyFont="1" applyFill="1" applyBorder="1" applyAlignment="1">
      <alignment horizontal="left" vertical="center"/>
    </xf>
    <xf numFmtId="0" fontId="49" fillId="23" borderId="38" xfId="0" applyFont="1" applyFill="1" applyBorder="1" applyAlignment="1">
      <alignment horizontal="center" vertical="center"/>
    </xf>
    <xf numFmtId="0" fontId="49" fillId="23" borderId="41" xfId="0" applyFont="1" applyFill="1" applyBorder="1" applyAlignment="1">
      <alignment horizontal="left" vertical="center"/>
    </xf>
    <xf numFmtId="0" fontId="49" fillId="26" borderId="44" xfId="0" applyFont="1" applyFill="1" applyBorder="1" applyAlignment="1">
      <alignment horizontal="center" vertical="center"/>
    </xf>
    <xf numFmtId="0" fontId="49" fillId="26" borderId="47" xfId="0" applyFont="1" applyFill="1" applyBorder="1" applyAlignment="1">
      <alignment horizontal="left" vertical="center"/>
    </xf>
    <xf numFmtId="0" fontId="49" fillId="26" borderId="45" xfId="0" applyFont="1" applyFill="1" applyBorder="1" applyAlignment="1">
      <alignment horizontal="center" vertical="center"/>
    </xf>
    <xf numFmtId="0" fontId="49" fillId="26" borderId="48" xfId="0" applyFont="1" applyFill="1" applyBorder="1" applyAlignment="1">
      <alignment horizontal="left" vertical="center"/>
    </xf>
    <xf numFmtId="0" fontId="49" fillId="11" borderId="39" xfId="0" applyFont="1" applyFill="1" applyBorder="1" applyAlignment="1">
      <alignment horizontal="center" vertical="center"/>
    </xf>
    <xf numFmtId="0" fontId="49" fillId="11" borderId="42" xfId="0" applyFont="1" applyFill="1" applyBorder="1" applyAlignment="1">
      <alignment horizontal="left" vertical="center"/>
    </xf>
    <xf numFmtId="0" fontId="49" fillId="12" borderId="0" xfId="0" applyFont="1" applyFill="1" applyAlignment="1">
      <alignment horizontal="center" vertical="center"/>
    </xf>
    <xf numFmtId="0" fontId="49" fillId="12" borderId="0" xfId="0" applyFont="1" applyFill="1" applyAlignment="1">
      <alignment horizontal="left" vertical="center"/>
    </xf>
    <xf numFmtId="0" fontId="52" fillId="16" borderId="19" xfId="0" applyFont="1" applyFill="1" applyBorder="1" applyAlignment="1">
      <alignment horizontal="center" vertical="center"/>
    </xf>
    <xf numFmtId="0" fontId="52" fillId="16" borderId="17" xfId="0" applyFont="1" applyFill="1" applyBorder="1" applyAlignment="1">
      <alignment horizontal="center" vertical="center"/>
    </xf>
    <xf numFmtId="0" fontId="52" fillId="16" borderId="22" xfId="0" applyFont="1" applyFill="1" applyBorder="1" applyAlignment="1">
      <alignment horizontal="center" vertical="center"/>
    </xf>
    <xf numFmtId="0" fontId="53" fillId="18" borderId="20" xfId="0" applyFont="1" applyFill="1" applyBorder="1" applyAlignment="1">
      <alignment horizontal="center" vertical="center"/>
    </xf>
    <xf numFmtId="0" fontId="53" fillId="18" borderId="0" xfId="0" applyFont="1" applyFill="1" applyAlignment="1">
      <alignment horizontal="left" vertical="center"/>
    </xf>
    <xf numFmtId="0" fontId="54" fillId="18" borderId="23" xfId="0" applyFont="1" applyFill="1" applyBorder="1" applyAlignment="1">
      <alignment horizontal="center" vertical="center"/>
    </xf>
    <xf numFmtId="0" fontId="50" fillId="12" borderId="20" xfId="0" applyFont="1" applyFill="1" applyBorder="1" applyAlignment="1">
      <alignment horizontal="center" vertical="center"/>
    </xf>
    <xf numFmtId="0" fontId="50" fillId="12" borderId="0" xfId="0" applyFont="1" applyFill="1" applyAlignment="1">
      <alignment horizontal="left" vertical="center"/>
    </xf>
    <xf numFmtId="0" fontId="50" fillId="12" borderId="23" xfId="0" applyFont="1" applyFill="1" applyBorder="1" applyAlignment="1">
      <alignment horizontal="center" vertical="center"/>
    </xf>
    <xf numFmtId="0" fontId="50" fillId="11" borderId="20" xfId="0" applyFont="1" applyFill="1" applyBorder="1" applyAlignment="1">
      <alignment horizontal="center" vertical="center"/>
    </xf>
    <xf numFmtId="0" fontId="50" fillId="11" borderId="0" xfId="0" applyFont="1" applyFill="1" applyAlignment="1">
      <alignment horizontal="left" vertical="center"/>
    </xf>
    <xf numFmtId="0" fontId="50" fillId="11" borderId="23" xfId="0" applyFont="1" applyFill="1" applyBorder="1" applyAlignment="1">
      <alignment horizontal="center" vertical="center"/>
    </xf>
    <xf numFmtId="0" fontId="50" fillId="17" borderId="20" xfId="0" applyFont="1" applyFill="1" applyBorder="1" applyAlignment="1">
      <alignment horizontal="center" vertical="center"/>
    </xf>
    <xf numFmtId="0" fontId="50" fillId="17" borderId="0" xfId="0" applyFont="1" applyFill="1" applyAlignment="1">
      <alignment horizontal="left" vertical="center"/>
    </xf>
    <xf numFmtId="0" fontId="50" fillId="17" borderId="23" xfId="0" applyFont="1" applyFill="1" applyBorder="1" applyAlignment="1">
      <alignment horizontal="center" vertical="center"/>
    </xf>
    <xf numFmtId="0" fontId="50" fillId="0" borderId="23" xfId="0" applyFont="1" applyBorder="1" applyAlignment="1">
      <alignment horizontal="center" vertical="center"/>
    </xf>
    <xf numFmtId="0" fontId="50" fillId="12" borderId="21" xfId="0" applyFont="1" applyFill="1" applyBorder="1" applyAlignment="1">
      <alignment horizontal="center" vertical="center"/>
    </xf>
    <xf numFmtId="0" fontId="50" fillId="12" borderId="18" xfId="0" applyFont="1" applyFill="1" applyBorder="1" applyAlignment="1">
      <alignment horizontal="left" vertical="center"/>
    </xf>
    <xf numFmtId="0" fontId="50" fillId="12" borderId="24" xfId="0" applyFont="1" applyFill="1" applyBorder="1" applyAlignment="1">
      <alignment horizontal="center" vertical="center"/>
    </xf>
    <xf numFmtId="0" fontId="55" fillId="0" borderId="0" xfId="0" applyFont="1" applyAlignment="1">
      <alignment horizontal="left" vertical="top"/>
    </xf>
    <xf numFmtId="0" fontId="55" fillId="0" borderId="0" xfId="0" applyFont="1" applyAlignment="1">
      <alignment horizontal="left" vertical="center"/>
    </xf>
    <xf numFmtId="0" fontId="50" fillId="0" borderId="0" xfId="0" applyFont="1" applyAlignment="1">
      <alignment horizontal="center" vertical="center"/>
    </xf>
    <xf numFmtId="0" fontId="46" fillId="15" borderId="40" xfId="0" applyFont="1" applyFill="1" applyBorder="1" applyAlignment="1">
      <alignment horizontal="center" vertical="center"/>
    </xf>
    <xf numFmtId="0" fontId="45" fillId="0" borderId="0" xfId="0" applyFont="1" applyAlignment="1">
      <alignment horizontal="center" vertical="top"/>
    </xf>
    <xf numFmtId="0" fontId="47" fillId="25" borderId="46" xfId="0" applyFont="1" applyFill="1" applyBorder="1" applyAlignment="1">
      <alignment horizontal="center" vertical="center"/>
    </xf>
    <xf numFmtId="0" fontId="40" fillId="27" borderId="0" xfId="0" applyFont="1" applyFill="1" applyAlignment="1">
      <alignment vertical="center"/>
    </xf>
    <xf numFmtId="0" fontId="39" fillId="27" borderId="0" xfId="0" applyFont="1" applyFill="1" applyAlignment="1">
      <alignment vertical="center"/>
    </xf>
    <xf numFmtId="0" fontId="41" fillId="27" borderId="0" xfId="0" applyFont="1" applyFill="1" applyAlignment="1">
      <alignment vertical="center"/>
    </xf>
    <xf numFmtId="0" fontId="0" fillId="27" borderId="0" xfId="0" applyFill="1" applyAlignment="1">
      <alignment horizontal="left" vertical="top"/>
    </xf>
    <xf numFmtId="0" fontId="42" fillId="27" borderId="0" xfId="0" applyFont="1" applyFill="1" applyAlignment="1">
      <alignment vertical="center"/>
    </xf>
    <xf numFmtId="0" fontId="9" fillId="2" borderId="3" xfId="0" applyFont="1" applyFill="1" applyBorder="1" applyAlignment="1">
      <alignment horizontal="center" vertical="top" wrapText="1"/>
    </xf>
    <xf numFmtId="0" fontId="9" fillId="2" borderId="3" xfId="0" applyFont="1" applyFill="1" applyBorder="1" applyAlignment="1">
      <alignment horizontal="left" vertical="top" wrapText="1" indent="3"/>
    </xf>
    <xf numFmtId="0" fontId="9" fillId="2" borderId="3" xfId="0" applyFont="1" applyFill="1" applyBorder="1" applyAlignment="1">
      <alignment horizontal="left" vertical="top" wrapText="1" indent="1"/>
    </xf>
    <xf numFmtId="0" fontId="59" fillId="9" borderId="54" xfId="0" applyFont="1" applyFill="1" applyBorder="1" applyAlignment="1">
      <alignment horizontal="center" vertical="center" wrapText="1"/>
    </xf>
    <xf numFmtId="0" fontId="59" fillId="9" borderId="55" xfId="0" applyFont="1" applyFill="1" applyBorder="1" applyAlignment="1">
      <alignment horizontal="center" vertical="center" wrapText="1"/>
    </xf>
    <xf numFmtId="0" fontId="29" fillId="0" borderId="0" xfId="0" applyFont="1" applyAlignment="1">
      <alignment vertical="center"/>
    </xf>
    <xf numFmtId="49" fontId="34" fillId="0" borderId="53" xfId="0" applyNumberFormat="1" applyFont="1" applyBorder="1" applyAlignment="1">
      <alignment horizontal="center" vertical="center"/>
    </xf>
    <xf numFmtId="0" fontId="34" fillId="0" borderId="16" xfId="0" applyFont="1" applyBorder="1" applyAlignment="1">
      <alignment horizontal="left" vertical="center"/>
    </xf>
    <xf numFmtId="0" fontId="58" fillId="0" borderId="16" xfId="0" applyFont="1" applyBorder="1" applyAlignment="1">
      <alignment horizontal="center" vertical="center"/>
    </xf>
    <xf numFmtId="49" fontId="34" fillId="0" borderId="56" xfId="0" applyNumberFormat="1" applyFont="1" applyBorder="1" applyAlignment="1">
      <alignment horizontal="center" vertical="center"/>
    </xf>
    <xf numFmtId="0" fontId="34" fillId="0" borderId="57" xfId="0" applyFont="1" applyBorder="1" applyAlignment="1">
      <alignment horizontal="left" vertical="center"/>
    </xf>
    <xf numFmtId="0" fontId="56" fillId="28" borderId="55" xfId="0" applyFont="1" applyFill="1" applyBorder="1" applyAlignment="1">
      <alignment horizontal="center" vertical="center" wrapText="1"/>
    </xf>
    <xf numFmtId="0" fontId="34" fillId="29" borderId="16" xfId="0" applyFont="1" applyFill="1" applyBorder="1" applyAlignment="1">
      <alignment horizontal="center" vertical="center"/>
    </xf>
    <xf numFmtId="0" fontId="34" fillId="29" borderId="57" xfId="0" applyFont="1" applyFill="1" applyBorder="1" applyAlignment="1">
      <alignment horizontal="center" vertical="center"/>
    </xf>
    <xf numFmtId="0" fontId="33" fillId="29" borderId="57" xfId="0" applyFont="1" applyFill="1" applyBorder="1" applyAlignment="1">
      <alignment horizontal="center" vertical="center"/>
    </xf>
    <xf numFmtId="0" fontId="33" fillId="29" borderId="16" xfId="0" applyFont="1" applyFill="1" applyBorder="1" applyAlignment="1">
      <alignment horizontal="center" vertical="center"/>
    </xf>
    <xf numFmtId="0" fontId="34" fillId="0" borderId="16" xfId="0" applyFont="1" applyBorder="1" applyAlignment="1">
      <alignment horizontal="center" vertical="center"/>
    </xf>
    <xf numFmtId="0" fontId="34" fillId="0" borderId="57" xfId="0" applyFont="1" applyBorder="1" applyAlignment="1">
      <alignment horizontal="center" vertical="center"/>
    </xf>
    <xf numFmtId="0" fontId="7" fillId="2" borderId="16"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62" fillId="2" borderId="16" xfId="0" applyFont="1" applyFill="1" applyBorder="1" applyAlignment="1">
      <alignment horizontal="center" vertical="center" wrapText="1"/>
    </xf>
    <xf numFmtId="0" fontId="0" fillId="2" borderId="16" xfId="0" applyFill="1" applyBorder="1" applyAlignment="1">
      <alignment horizontal="center" vertical="center" wrapText="1"/>
    </xf>
    <xf numFmtId="0" fontId="0" fillId="0" borderId="16" xfId="0" applyBorder="1" applyAlignment="1">
      <alignment horizontal="left" vertical="top"/>
    </xf>
    <xf numFmtId="0" fontId="17" fillId="29" borderId="16" xfId="0" applyFont="1" applyFill="1" applyBorder="1" applyAlignment="1">
      <alignment horizontal="center" vertical="center" wrapText="1"/>
    </xf>
    <xf numFmtId="0" fontId="23" fillId="0" borderId="16" xfId="0" applyFont="1" applyBorder="1" applyAlignment="1">
      <alignment horizontal="center" vertical="center"/>
    </xf>
    <xf numFmtId="0" fontId="34" fillId="30" borderId="16" xfId="0" applyFont="1" applyFill="1" applyBorder="1" applyAlignment="1">
      <alignment horizontal="center" vertical="center"/>
    </xf>
    <xf numFmtId="0" fontId="35" fillId="0" borderId="0" xfId="0" applyFont="1" applyAlignment="1">
      <alignment horizontal="center" vertical="center"/>
    </xf>
    <xf numFmtId="0" fontId="63" fillId="0" borderId="0" xfId="0" applyFont="1" applyAlignment="1">
      <alignment horizontal="left" vertical="top"/>
    </xf>
    <xf numFmtId="0" fontId="64" fillId="0" borderId="0" xfId="0" applyFont="1" applyAlignment="1">
      <alignment horizontal="left" vertical="top"/>
    </xf>
    <xf numFmtId="0" fontId="52" fillId="0" borderId="0" xfId="0" applyFont="1" applyAlignment="1">
      <alignment horizontal="center" vertical="center"/>
    </xf>
    <xf numFmtId="0" fontId="35" fillId="0" borderId="0" xfId="0" applyFont="1" applyAlignment="1">
      <alignment horizontal="center" vertical="top"/>
    </xf>
    <xf numFmtId="0" fontId="0" fillId="0" borderId="0" xfId="0" applyAlignment="1">
      <alignment horizontal="center" vertical="center"/>
    </xf>
    <xf numFmtId="0" fontId="35" fillId="0" borderId="0" xfId="0" applyFont="1" applyAlignment="1">
      <alignment vertical="center"/>
    </xf>
    <xf numFmtId="0" fontId="55" fillId="0" borderId="0" xfId="0" applyFont="1" applyAlignment="1">
      <alignment horizontal="center" vertical="center"/>
    </xf>
    <xf numFmtId="0" fontId="64" fillId="0" borderId="0" xfId="0" applyFont="1" applyAlignment="1">
      <alignment horizontal="right" vertical="center"/>
    </xf>
    <xf numFmtId="0" fontId="70" fillId="0" borderId="0" xfId="0" applyFont="1" applyAlignment="1">
      <alignment horizontal="center" vertical="center"/>
    </xf>
    <xf numFmtId="0" fontId="71" fillId="18" borderId="20" xfId="0" applyFont="1" applyFill="1" applyBorder="1" applyAlignment="1">
      <alignment horizontal="center" vertical="center"/>
    </xf>
    <xf numFmtId="0" fontId="71" fillId="18" borderId="0" xfId="0" applyFont="1" applyFill="1" applyAlignment="1">
      <alignment horizontal="left" vertical="center"/>
    </xf>
    <xf numFmtId="0" fontId="72" fillId="18" borderId="23" xfId="0" applyFont="1" applyFill="1" applyBorder="1" applyAlignment="1">
      <alignment horizontal="center" vertical="center"/>
    </xf>
    <xf numFmtId="0" fontId="73" fillId="18" borderId="0" xfId="0" applyFont="1" applyFill="1" applyAlignment="1">
      <alignment horizontal="center" vertical="center"/>
    </xf>
    <xf numFmtId="0" fontId="74" fillId="0" borderId="0" xfId="0" applyFont="1" applyAlignment="1">
      <alignment horizontal="center" vertical="center"/>
    </xf>
    <xf numFmtId="0" fontId="74" fillId="12" borderId="20" xfId="0" applyFont="1" applyFill="1" applyBorder="1" applyAlignment="1">
      <alignment horizontal="center" vertical="center"/>
    </xf>
    <xf numFmtId="0" fontId="74" fillId="12" borderId="0" xfId="0" applyFont="1" applyFill="1" applyAlignment="1">
      <alignment horizontal="left" vertical="center"/>
    </xf>
    <xf numFmtId="0" fontId="74" fillId="12" borderId="23" xfId="0" applyFont="1" applyFill="1" applyBorder="1" applyAlignment="1">
      <alignment horizontal="center" vertical="center"/>
    </xf>
    <xf numFmtId="0" fontId="73" fillId="12" borderId="0" xfId="0" applyFont="1" applyFill="1" applyAlignment="1">
      <alignment horizontal="center" vertical="center"/>
    </xf>
    <xf numFmtId="0" fontId="74" fillId="11" borderId="20" xfId="0" applyFont="1" applyFill="1" applyBorder="1" applyAlignment="1">
      <alignment horizontal="center" vertical="center"/>
    </xf>
    <xf numFmtId="0" fontId="74" fillId="11" borderId="0" xfId="0" applyFont="1" applyFill="1" applyAlignment="1">
      <alignment horizontal="left" vertical="center"/>
    </xf>
    <xf numFmtId="0" fontId="74" fillId="11" borderId="23" xfId="0" applyFont="1" applyFill="1" applyBorder="1" applyAlignment="1">
      <alignment horizontal="center" vertical="center"/>
    </xf>
    <xf numFmtId="0" fontId="73" fillId="11" borderId="0" xfId="0" applyFont="1" applyFill="1" applyAlignment="1">
      <alignment horizontal="center" vertical="center"/>
    </xf>
    <xf numFmtId="0" fontId="74" fillId="17" borderId="20" xfId="0" applyFont="1" applyFill="1" applyBorder="1" applyAlignment="1">
      <alignment horizontal="center" vertical="center"/>
    </xf>
    <xf numFmtId="0" fontId="74" fillId="17" borderId="0" xfId="0" applyFont="1" applyFill="1" applyAlignment="1">
      <alignment horizontal="left" vertical="center"/>
    </xf>
    <xf numFmtId="0" fontId="74" fillId="17" borderId="23" xfId="0" applyFont="1" applyFill="1" applyBorder="1" applyAlignment="1">
      <alignment horizontal="center" vertical="center"/>
    </xf>
    <xf numFmtId="0" fontId="73" fillId="17" borderId="0" xfId="0" applyFont="1" applyFill="1" applyAlignment="1">
      <alignment horizontal="center" vertical="center"/>
    </xf>
    <xf numFmtId="0" fontId="75" fillId="0" borderId="0" xfId="0" applyFont="1" applyAlignment="1">
      <alignment horizontal="left" vertical="center"/>
    </xf>
    <xf numFmtId="0" fontId="74" fillId="0" borderId="23" xfId="0" applyFont="1" applyBorder="1" applyAlignment="1">
      <alignment horizontal="center" vertical="center"/>
    </xf>
    <xf numFmtId="0" fontId="76" fillId="0" borderId="0" xfId="0" applyFont="1" applyAlignment="1">
      <alignment horizontal="center" vertical="top"/>
    </xf>
    <xf numFmtId="0" fontId="75" fillId="0" borderId="0" xfId="0" applyFont="1" applyAlignment="1">
      <alignment horizontal="left" vertical="top"/>
    </xf>
    <xf numFmtId="0" fontId="77" fillId="0" borderId="0" xfId="0" applyFont="1" applyAlignment="1">
      <alignment horizontal="left" vertical="top"/>
    </xf>
    <xf numFmtId="0" fontId="78" fillId="0" borderId="0" xfId="0" applyFont="1" applyAlignment="1">
      <alignment horizontal="left" vertical="top"/>
    </xf>
    <xf numFmtId="0" fontId="74" fillId="12" borderId="21" xfId="0" applyFont="1" applyFill="1" applyBorder="1" applyAlignment="1">
      <alignment horizontal="center" vertical="center"/>
    </xf>
    <xf numFmtId="0" fontId="74" fillId="12" borderId="18" xfId="0" applyFont="1" applyFill="1" applyBorder="1" applyAlignment="1">
      <alignment horizontal="left" vertical="center"/>
    </xf>
    <xf numFmtId="0" fontId="74" fillId="12" borderId="24" xfId="0" applyFont="1" applyFill="1" applyBorder="1" applyAlignment="1">
      <alignment horizontal="center" vertical="center"/>
    </xf>
    <xf numFmtId="0" fontId="0" fillId="31" borderId="16" xfId="0" applyFill="1" applyBorder="1" applyAlignment="1">
      <alignment horizontal="left" vertical="center"/>
    </xf>
    <xf numFmtId="0" fontId="0" fillId="31" borderId="16" xfId="0" applyFill="1" applyBorder="1" applyAlignment="1">
      <alignment horizontal="left" vertical="center" wrapText="1"/>
    </xf>
    <xf numFmtId="0" fontId="63" fillId="0" borderId="0" xfId="0" applyFont="1" applyAlignment="1">
      <alignment horizontal="left" vertical="top" wrapText="1"/>
    </xf>
    <xf numFmtId="0" fontId="64" fillId="0" borderId="0" xfId="0" applyFont="1" applyAlignment="1">
      <alignment horizontal="left" vertical="top" wrapText="1"/>
    </xf>
    <xf numFmtId="0" fontId="35" fillId="31" borderId="16" xfId="0" applyFont="1" applyFill="1" applyBorder="1" applyAlignment="1">
      <alignment horizontal="left" vertical="center"/>
    </xf>
    <xf numFmtId="0" fontId="79" fillId="4" borderId="0" xfId="0" applyFont="1" applyFill="1" applyAlignment="1">
      <alignment horizontal="center" vertical="center"/>
    </xf>
    <xf numFmtId="0" fontId="24" fillId="31" borderId="16" xfId="0" applyFont="1" applyFill="1" applyBorder="1" applyAlignment="1">
      <alignment horizontal="left" vertical="center"/>
    </xf>
    <xf numFmtId="0" fontId="81" fillId="0" borderId="0" xfId="0" applyFont="1" applyAlignment="1">
      <alignment horizontal="center" vertical="center"/>
    </xf>
    <xf numFmtId="0" fontId="80" fillId="0" borderId="0" xfId="0" applyFont="1" applyAlignment="1">
      <alignment horizontal="center" vertical="center"/>
    </xf>
    <xf numFmtId="0" fontId="74" fillId="0" borderId="0" xfId="0" applyFont="1" applyAlignment="1">
      <alignment horizontal="left" vertical="center"/>
    </xf>
    <xf numFmtId="0" fontId="35" fillId="32" borderId="16" xfId="0" applyFont="1" applyFill="1" applyBorder="1" applyAlignment="1">
      <alignment horizontal="left" vertical="top"/>
    </xf>
    <xf numFmtId="0" fontId="9" fillId="2" borderId="0" xfId="0" applyFont="1" applyFill="1" applyAlignment="1">
      <alignment horizontal="left" vertical="top" wrapText="1" indent="1"/>
    </xf>
    <xf numFmtId="0" fontId="64" fillId="0" borderId="0" xfId="0" applyFont="1" applyAlignment="1">
      <alignment horizontal="left" vertical="center"/>
    </xf>
    <xf numFmtId="0" fontId="65" fillId="0" borderId="0" xfId="0" applyFont="1" applyAlignment="1">
      <alignment horizontal="left" vertical="center" wrapText="1"/>
    </xf>
    <xf numFmtId="0" fontId="84" fillId="33" borderId="0" xfId="0" applyFont="1" applyFill="1" applyAlignment="1">
      <alignment horizontal="center" vertical="center"/>
    </xf>
    <xf numFmtId="0" fontId="65" fillId="0" borderId="0" xfId="0" applyFont="1" applyAlignment="1">
      <alignment horizontal="left" vertical="center"/>
    </xf>
    <xf numFmtId="0" fontId="57" fillId="31" borderId="16" xfId="0" applyFont="1" applyFill="1" applyBorder="1" applyAlignment="1">
      <alignment horizontal="left" vertical="center"/>
    </xf>
    <xf numFmtId="0" fontId="82" fillId="31" borderId="16" xfId="0" applyFont="1" applyFill="1" applyBorder="1" applyAlignment="1">
      <alignment horizontal="left" vertical="center"/>
    </xf>
    <xf numFmtId="0" fontId="70" fillId="31" borderId="19" xfId="0" applyFont="1" applyFill="1" applyBorder="1" applyAlignment="1">
      <alignment horizontal="center" vertical="center"/>
    </xf>
    <xf numFmtId="0" fontId="70" fillId="31" borderId="17" xfId="0" applyFont="1" applyFill="1" applyBorder="1" applyAlignment="1">
      <alignment horizontal="center" vertical="center"/>
    </xf>
    <xf numFmtId="0" fontId="70" fillId="31" borderId="22" xfId="0" applyFont="1" applyFill="1" applyBorder="1" applyAlignment="1">
      <alignment horizontal="center" vertical="center"/>
    </xf>
    <xf numFmtId="0" fontId="70" fillId="34" borderId="0" xfId="0" applyFont="1" applyFill="1" applyAlignment="1">
      <alignment horizontal="center" vertical="center"/>
    </xf>
    <xf numFmtId="0" fontId="89" fillId="0" borderId="0" xfId="0" applyFont="1" applyAlignment="1">
      <alignment horizontal="left" vertical="center"/>
    </xf>
    <xf numFmtId="0" fontId="92" fillId="0" borderId="0" xfId="0" applyFont="1" applyAlignment="1">
      <alignment horizontal="left" vertical="top"/>
    </xf>
    <xf numFmtId="0" fontId="94" fillId="0" borderId="0" xfId="0" applyFont="1" applyAlignment="1">
      <alignment horizontal="left" vertical="center"/>
    </xf>
    <xf numFmtId="0" fontId="98" fillId="0" borderId="0" xfId="0" applyFont="1" applyAlignment="1">
      <alignment horizontal="center" vertical="top" wrapText="1"/>
    </xf>
    <xf numFmtId="0" fontId="91" fillId="0" borderId="0" xfId="0" applyFont="1" applyAlignment="1">
      <alignment horizontal="left" vertical="center"/>
    </xf>
    <xf numFmtId="0" fontId="105" fillId="0" borderId="0" xfId="0" applyFont="1" applyAlignment="1">
      <alignment horizontal="left" vertical="center"/>
    </xf>
    <xf numFmtId="0" fontId="50" fillId="0" borderId="0" xfId="0" applyFont="1" applyAlignment="1">
      <alignment horizontal="left" vertical="center"/>
    </xf>
    <xf numFmtId="0" fontId="104" fillId="0" borderId="0" xfId="0" applyFont="1" applyAlignment="1">
      <alignment horizontal="center" vertical="center"/>
    </xf>
    <xf numFmtId="0" fontId="106" fillId="31" borderId="25" xfId="0" applyFont="1" applyFill="1" applyBorder="1" applyAlignment="1">
      <alignment horizontal="center" vertical="center"/>
    </xf>
    <xf numFmtId="0" fontId="69" fillId="31" borderId="0" xfId="0" applyFont="1" applyFill="1" applyAlignment="1">
      <alignment horizontal="center" vertical="center"/>
    </xf>
    <xf numFmtId="0" fontId="106" fillId="31" borderId="28" xfId="0" applyFont="1" applyFill="1" applyBorder="1" applyAlignment="1">
      <alignment horizontal="center" vertical="center"/>
    </xf>
    <xf numFmtId="0" fontId="68" fillId="11" borderId="26" xfId="0" applyFont="1" applyFill="1" applyBorder="1" applyAlignment="1">
      <alignment horizontal="center" vertical="center" wrapText="1"/>
    </xf>
    <xf numFmtId="0" fontId="68" fillId="11" borderId="0" xfId="0" applyFont="1" applyFill="1" applyAlignment="1">
      <alignment horizontal="center" vertical="center" wrapText="1"/>
    </xf>
    <xf numFmtId="0" fontId="68" fillId="11" borderId="29" xfId="0" applyFont="1" applyFill="1" applyBorder="1" applyAlignment="1">
      <alignment horizontal="left" vertical="top" wrapText="1"/>
    </xf>
    <xf numFmtId="0" fontId="68" fillId="19" borderId="26" xfId="0" applyFont="1" applyFill="1" applyBorder="1" applyAlignment="1">
      <alignment horizontal="center" vertical="center" wrapText="1"/>
    </xf>
    <xf numFmtId="0" fontId="68" fillId="19" borderId="0" xfId="0" applyFont="1" applyFill="1" applyAlignment="1">
      <alignment horizontal="center" vertical="center" wrapText="1"/>
    </xf>
    <xf numFmtId="0" fontId="68" fillId="19" borderId="29" xfId="0" applyFont="1" applyFill="1" applyBorder="1" applyAlignment="1">
      <alignment horizontal="left" vertical="top" wrapText="1"/>
    </xf>
    <xf numFmtId="0" fontId="68" fillId="19" borderId="27" xfId="0" applyFont="1" applyFill="1" applyBorder="1" applyAlignment="1">
      <alignment horizontal="center" vertical="center" wrapText="1"/>
    </xf>
    <xf numFmtId="0" fontId="68" fillId="19" borderId="51" xfId="0" applyFont="1" applyFill="1" applyBorder="1" applyAlignment="1">
      <alignment horizontal="center" vertical="center" wrapText="1"/>
    </xf>
    <xf numFmtId="0" fontId="68" fillId="19" borderId="30" xfId="0" applyFont="1" applyFill="1" applyBorder="1" applyAlignment="1">
      <alignment horizontal="left" vertical="top" wrapText="1"/>
    </xf>
    <xf numFmtId="0" fontId="107" fillId="35" borderId="31" xfId="0" applyFont="1" applyFill="1" applyBorder="1" applyAlignment="1">
      <alignment horizontal="center" vertical="center"/>
    </xf>
    <xf numFmtId="0" fontId="69" fillId="35" borderId="0" xfId="0" applyFont="1" applyFill="1" applyAlignment="1">
      <alignment horizontal="center" vertical="center"/>
    </xf>
    <xf numFmtId="0" fontId="107" fillId="35" borderId="34" xfId="0" applyFont="1" applyFill="1" applyBorder="1" applyAlignment="1">
      <alignment horizontal="center" vertical="center"/>
    </xf>
    <xf numFmtId="0" fontId="68" fillId="20" borderId="32" xfId="0" applyFont="1" applyFill="1" applyBorder="1" applyAlignment="1">
      <alignment horizontal="center" vertical="center" wrapText="1"/>
    </xf>
    <xf numFmtId="0" fontId="68" fillId="20" borderId="0" xfId="0" applyFont="1" applyFill="1" applyAlignment="1">
      <alignment horizontal="center" vertical="center" wrapText="1"/>
    </xf>
    <xf numFmtId="0" fontId="68" fillId="20" borderId="35" xfId="0" applyFont="1" applyFill="1" applyBorder="1" applyAlignment="1">
      <alignment horizontal="left" vertical="top" wrapText="1"/>
    </xf>
    <xf numFmtId="0" fontId="68" fillId="11" borderId="32" xfId="0" applyFont="1" applyFill="1" applyBorder="1" applyAlignment="1">
      <alignment horizontal="center" vertical="center" wrapText="1"/>
    </xf>
    <xf numFmtId="0" fontId="68" fillId="11" borderId="35" xfId="0" applyFont="1" applyFill="1" applyBorder="1" applyAlignment="1">
      <alignment horizontal="left" vertical="top" wrapText="1"/>
    </xf>
    <xf numFmtId="0" fontId="68" fillId="11" borderId="32" xfId="0" applyFont="1" applyFill="1" applyBorder="1" applyAlignment="1">
      <alignment horizontal="center" vertical="center"/>
    </xf>
    <xf numFmtId="0" fontId="68" fillId="11" borderId="0" xfId="0" applyFont="1" applyFill="1" applyAlignment="1">
      <alignment horizontal="center" vertical="center"/>
    </xf>
    <xf numFmtId="0" fontId="68" fillId="11" borderId="35" xfId="0" applyFont="1" applyFill="1" applyBorder="1" applyAlignment="1">
      <alignment horizontal="left" vertical="center" wrapText="1"/>
    </xf>
    <xf numFmtId="0" fontId="108" fillId="21" borderId="33" xfId="0" applyFont="1" applyFill="1" applyBorder="1" applyAlignment="1">
      <alignment horizontal="center" vertical="center"/>
    </xf>
    <xf numFmtId="0" fontId="108" fillId="21" borderId="52" xfId="0" applyFont="1" applyFill="1" applyBorder="1" applyAlignment="1">
      <alignment horizontal="center" vertical="center"/>
    </xf>
    <xf numFmtId="0" fontId="108" fillId="21" borderId="36" xfId="0" applyFont="1" applyFill="1" applyBorder="1" applyAlignment="1">
      <alignment horizontal="left" vertical="center" wrapText="1"/>
    </xf>
    <xf numFmtId="0" fontId="111" fillId="0" borderId="0" xfId="0" applyFont="1" applyAlignment="1">
      <alignment horizontal="left" vertical="top"/>
    </xf>
    <xf numFmtId="0" fontId="0" fillId="0" borderId="66" xfId="0" applyBorder="1" applyAlignment="1">
      <alignment horizontal="center" vertical="top"/>
    </xf>
    <xf numFmtId="0" fontId="109" fillId="36" borderId="66" xfId="0" applyFont="1" applyFill="1" applyBorder="1" applyAlignment="1">
      <alignment horizontal="center" vertical="top" wrapText="1"/>
    </xf>
    <xf numFmtId="0" fontId="43" fillId="44" borderId="66" xfId="0" applyFont="1" applyFill="1" applyBorder="1" applyAlignment="1">
      <alignment horizontal="left" vertical="top"/>
    </xf>
    <xf numFmtId="9" fontId="43" fillId="44" borderId="66" xfId="0" applyNumberFormat="1" applyFont="1" applyFill="1" applyBorder="1" applyAlignment="1">
      <alignment horizontal="left" vertical="top"/>
    </xf>
    <xf numFmtId="0" fontId="0" fillId="38" borderId="66" xfId="0" applyFill="1" applyBorder="1" applyAlignment="1">
      <alignment horizontal="center" vertical="top"/>
    </xf>
    <xf numFmtId="9" fontId="0" fillId="38" borderId="66" xfId="0" applyNumberFormat="1" applyFill="1" applyBorder="1" applyAlignment="1">
      <alignment horizontal="center" vertical="top"/>
    </xf>
    <xf numFmtId="0" fontId="0" fillId="39" borderId="66" xfId="0" applyFill="1" applyBorder="1" applyAlignment="1">
      <alignment horizontal="center" vertical="top"/>
    </xf>
    <xf numFmtId="9" fontId="0" fillId="39" borderId="66" xfId="0" applyNumberFormat="1" applyFill="1" applyBorder="1" applyAlignment="1">
      <alignment horizontal="center" vertical="top"/>
    </xf>
    <xf numFmtId="0" fontId="73" fillId="34" borderId="0" xfId="0" applyFont="1" applyFill="1" applyAlignment="1">
      <alignment horizontal="center" vertical="center"/>
    </xf>
    <xf numFmtId="0" fontId="43" fillId="44" borderId="66" xfId="0" applyFont="1" applyFill="1" applyBorder="1" applyAlignment="1">
      <alignment horizontal="center" vertical="top"/>
    </xf>
    <xf numFmtId="0" fontId="109" fillId="40" borderId="66" xfId="0" applyFont="1" applyFill="1" applyBorder="1" applyAlignment="1">
      <alignment horizontal="center" vertical="top"/>
    </xf>
    <xf numFmtId="0" fontId="109" fillId="41" borderId="66" xfId="0" applyFont="1" applyFill="1" applyBorder="1" applyAlignment="1">
      <alignment horizontal="center" vertical="top"/>
    </xf>
    <xf numFmtId="0" fontId="43" fillId="42" borderId="66" xfId="0" applyFont="1" applyFill="1" applyBorder="1" applyAlignment="1">
      <alignment horizontal="center" vertical="top"/>
    </xf>
    <xf numFmtId="0" fontId="109" fillId="43" borderId="66" xfId="0" applyFont="1" applyFill="1" applyBorder="1" applyAlignment="1">
      <alignment horizontal="center" vertical="top"/>
    </xf>
    <xf numFmtId="0" fontId="109" fillId="6" borderId="0" xfId="0" applyFont="1" applyFill="1" applyAlignment="1">
      <alignment horizontal="left" vertical="top"/>
    </xf>
    <xf numFmtId="0" fontId="0" fillId="34" borderId="0" xfId="0" applyFill="1" applyAlignment="1">
      <alignment horizontal="center" vertical="top"/>
    </xf>
    <xf numFmtId="0" fontId="35" fillId="34" borderId="0" xfId="0" applyFont="1" applyFill="1" applyAlignment="1">
      <alignment horizontal="left" vertical="top"/>
    </xf>
    <xf numFmtId="0" fontId="0" fillId="34" borderId="0" xfId="0" applyFill="1" applyAlignment="1">
      <alignment horizontal="left" vertical="top"/>
    </xf>
    <xf numFmtId="0" fontId="24" fillId="34" borderId="16" xfId="0" applyFont="1" applyFill="1" applyBorder="1" applyAlignment="1">
      <alignment horizontal="left" vertical="center"/>
    </xf>
    <xf numFmtId="0" fontId="82" fillId="34" borderId="16" xfId="0" applyFont="1" applyFill="1" applyBorder="1" applyAlignment="1">
      <alignment horizontal="left" vertical="center"/>
    </xf>
    <xf numFmtId="0" fontId="0" fillId="34" borderId="16" xfId="0" applyFill="1" applyBorder="1" applyAlignment="1">
      <alignment horizontal="left" vertical="center"/>
    </xf>
    <xf numFmtId="0" fontId="35" fillId="34" borderId="16" xfId="0" applyFont="1" applyFill="1" applyBorder="1" applyAlignment="1">
      <alignment horizontal="left" vertical="center"/>
    </xf>
    <xf numFmtId="0" fontId="63" fillId="34" borderId="0" xfId="0" applyFont="1" applyFill="1" applyAlignment="1">
      <alignment horizontal="left" vertical="top"/>
    </xf>
    <xf numFmtId="0" fontId="57" fillId="34" borderId="16" xfId="0" applyFont="1" applyFill="1" applyBorder="1" applyAlignment="1">
      <alignment vertical="center"/>
    </xf>
    <xf numFmtId="0" fontId="0" fillId="34" borderId="0" xfId="0" applyFill="1" applyAlignment="1">
      <alignment horizontal="left" vertical="center"/>
    </xf>
    <xf numFmtId="0" fontId="83" fillId="34" borderId="16" xfId="0" applyFont="1" applyFill="1" applyBorder="1" applyAlignment="1">
      <alignment vertical="center"/>
    </xf>
    <xf numFmtId="0" fontId="113" fillId="0" borderId="16" xfId="0" applyFont="1" applyBorder="1" applyAlignment="1">
      <alignment horizontal="left" vertical="center"/>
    </xf>
    <xf numFmtId="0" fontId="56" fillId="28" borderId="15" xfId="0" applyFont="1" applyFill="1" applyBorder="1" applyAlignment="1">
      <alignment horizontal="center" vertical="center" wrapText="1"/>
    </xf>
    <xf numFmtId="0" fontId="58" fillId="29" borderId="65" xfId="0" applyFont="1" applyFill="1" applyBorder="1" applyAlignment="1">
      <alignment horizontal="center" vertical="center"/>
    </xf>
    <xf numFmtId="0" fontId="58" fillId="29" borderId="65" xfId="0" applyFont="1" applyFill="1" applyBorder="1" applyAlignment="1">
      <alignment horizontal="center" vertical="center" wrapText="1"/>
    </xf>
    <xf numFmtId="0" fontId="33" fillId="29" borderId="65" xfId="0" applyFont="1" applyFill="1" applyBorder="1" applyAlignment="1">
      <alignment horizontal="center" vertical="center"/>
    </xf>
    <xf numFmtId="0" fontId="33" fillId="29" borderId="14" xfId="0" applyFont="1" applyFill="1" applyBorder="1" applyAlignment="1">
      <alignment horizontal="center" vertical="center"/>
    </xf>
    <xf numFmtId="0" fontId="115" fillId="36" borderId="66" xfId="0" applyFont="1" applyFill="1" applyBorder="1" applyAlignment="1">
      <alignment horizontal="center" vertical="center" wrapText="1"/>
    </xf>
    <xf numFmtId="0" fontId="112" fillId="0" borderId="0" xfId="0" applyFont="1" applyAlignment="1">
      <alignment horizontal="left" vertical="top"/>
    </xf>
    <xf numFmtId="0" fontId="113" fillId="0" borderId="57" xfId="0" applyFont="1" applyBorder="1" applyAlignment="1">
      <alignment horizontal="left" vertical="center"/>
    </xf>
    <xf numFmtId="0" fontId="64" fillId="0" borderId="0" xfId="0" applyFont="1" applyAlignment="1">
      <alignment horizontal="center" vertical="top" wrapText="1"/>
    </xf>
    <xf numFmtId="0" fontId="30" fillId="6" borderId="0" xfId="0" applyFont="1" applyFill="1" applyAlignment="1">
      <alignment horizontal="left" vertical="center" wrapText="1"/>
    </xf>
    <xf numFmtId="0" fontId="32" fillId="8" borderId="0" xfId="0" applyFont="1" applyFill="1" applyAlignment="1">
      <alignment horizontal="left" vertical="center"/>
    </xf>
    <xf numFmtId="0" fontId="30" fillId="5" borderId="0" xfId="0" applyFont="1" applyFill="1" applyAlignment="1">
      <alignment horizontal="left" vertical="center" wrapText="1"/>
    </xf>
    <xf numFmtId="0" fontId="110" fillId="37" borderId="0" xfId="0" applyFont="1" applyFill="1" applyAlignment="1">
      <alignment horizontal="center" vertical="top"/>
    </xf>
    <xf numFmtId="0" fontId="0" fillId="0" borderId="0" xfId="0" applyAlignment="1">
      <alignment horizontal="left" vertical="top"/>
    </xf>
    <xf numFmtId="0" fontId="57" fillId="34" borderId="16" xfId="0" applyFont="1" applyFill="1" applyBorder="1" applyAlignment="1">
      <alignment horizontal="left" vertical="center"/>
    </xf>
    <xf numFmtId="0" fontId="85" fillId="34" borderId="16" xfId="0" applyFont="1" applyFill="1" applyBorder="1" applyAlignment="1">
      <alignment horizontal="left" vertical="center"/>
    </xf>
    <xf numFmtId="0" fontId="29" fillId="3" borderId="0" xfId="0" applyFont="1" applyFill="1" applyAlignment="1">
      <alignment horizontal="center" vertical="center"/>
    </xf>
    <xf numFmtId="0" fontId="100" fillId="34" borderId="58" xfId="0" applyFont="1" applyFill="1" applyBorder="1" applyAlignment="1">
      <alignment horizontal="center" vertical="center" wrapText="1"/>
    </xf>
    <xf numFmtId="0" fontId="100" fillId="34" borderId="59" xfId="0" applyFont="1" applyFill="1" applyBorder="1" applyAlignment="1">
      <alignment horizontal="center" vertical="center" wrapText="1"/>
    </xf>
    <xf numFmtId="0" fontId="100" fillId="34" borderId="60" xfId="0" applyFont="1" applyFill="1" applyBorder="1" applyAlignment="1">
      <alignment horizontal="center" vertical="center" wrapText="1"/>
    </xf>
    <xf numFmtId="0" fontId="100" fillId="34" borderId="61" xfId="0" applyFont="1" applyFill="1" applyBorder="1" applyAlignment="1">
      <alignment horizontal="center" vertical="center" wrapText="1"/>
    </xf>
    <xf numFmtId="0" fontId="100" fillId="34" borderId="62" xfId="0" applyFont="1" applyFill="1" applyBorder="1" applyAlignment="1">
      <alignment horizontal="center" vertical="center" wrapText="1"/>
    </xf>
    <xf numFmtId="0" fontId="100" fillId="34" borderId="63" xfId="0" applyFont="1" applyFill="1" applyBorder="1" applyAlignment="1">
      <alignment horizontal="center" vertical="center" wrapText="1"/>
    </xf>
    <xf numFmtId="0" fontId="86" fillId="31" borderId="64" xfId="0" applyFont="1" applyFill="1" applyBorder="1" applyAlignment="1">
      <alignment horizontal="center" vertical="center"/>
    </xf>
    <xf numFmtId="0" fontId="88" fillId="31" borderId="64" xfId="0" applyFont="1" applyFill="1" applyBorder="1" applyAlignment="1">
      <alignment horizontal="center" vertical="center"/>
    </xf>
    <xf numFmtId="0" fontId="102" fillId="14" borderId="16" xfId="0" applyFont="1" applyFill="1" applyBorder="1" applyAlignment="1">
      <alignment horizontal="center" vertical="center"/>
    </xf>
    <xf numFmtId="0" fontId="99" fillId="34" borderId="16" xfId="0" applyFont="1" applyFill="1" applyBorder="1" applyAlignment="1">
      <alignment horizontal="center" vertical="center"/>
    </xf>
    <xf numFmtId="0" fontId="96" fillId="11" borderId="16" xfId="0" applyFont="1" applyFill="1" applyBorder="1" applyAlignment="1">
      <alignment horizontal="center" vertical="center"/>
    </xf>
    <xf numFmtId="0" fontId="51" fillId="11" borderId="16" xfId="0" applyFont="1" applyFill="1" applyBorder="1" applyAlignment="1">
      <alignment horizontal="center" vertical="center"/>
    </xf>
    <xf numFmtId="0" fontId="97" fillId="11" borderId="16" xfId="0" applyFont="1" applyFill="1" applyBorder="1" applyAlignment="1">
      <alignment horizontal="center" vertical="center"/>
    </xf>
    <xf numFmtId="0" fontId="93" fillId="11" borderId="16" xfId="0" applyFont="1" applyFill="1" applyBorder="1" applyAlignment="1">
      <alignment horizontal="left" vertical="center"/>
    </xf>
    <xf numFmtId="0" fontId="95" fillId="11" borderId="16" xfId="0" applyFont="1" applyFill="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4" xfId="0" applyFont="1" applyBorder="1" applyAlignment="1">
      <alignment horizontal="left" vertical="center" wrapText="1" indent="1"/>
    </xf>
    <xf numFmtId="0" fontId="2" fillId="0" borderId="5" xfId="0" applyFont="1" applyBorder="1" applyAlignment="1">
      <alignment horizontal="left" vertical="center" wrapText="1" inden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4" fillId="2" borderId="4"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4" xfId="0" applyFont="1" applyBorder="1" applyAlignment="1">
      <alignment horizontal="left" vertical="center" wrapText="1" indent="1"/>
    </xf>
    <xf numFmtId="0" fontId="5" fillId="0" borderId="5" xfId="0" applyFont="1" applyBorder="1" applyAlignment="1">
      <alignment horizontal="left" vertical="center" wrapText="1" indent="1"/>
    </xf>
    <xf numFmtId="0" fontId="5" fillId="0" borderId="12" xfId="0" applyFont="1" applyBorder="1" applyAlignment="1">
      <alignment horizontal="left" vertical="center" wrapText="1" indent="1"/>
    </xf>
    <xf numFmtId="0" fontId="4" fillId="2" borderId="4" xfId="0" applyFont="1" applyFill="1" applyBorder="1" applyAlignment="1">
      <alignment horizontal="left" vertical="center" wrapText="1" indent="4"/>
    </xf>
    <xf numFmtId="0" fontId="4" fillId="2" borderId="12" xfId="0" applyFont="1" applyFill="1" applyBorder="1" applyAlignment="1">
      <alignment horizontal="left" vertical="center" wrapText="1" indent="4"/>
    </xf>
    <xf numFmtId="0" fontId="4" fillId="2" borderId="5" xfId="0" applyFont="1" applyFill="1" applyBorder="1" applyAlignment="1">
      <alignment horizontal="left" vertical="center" wrapText="1" indent="4"/>
    </xf>
    <xf numFmtId="0" fontId="0" fillId="0" borderId="4" xfId="0" applyBorder="1" applyAlignment="1">
      <alignment horizontal="left" vertical="center" wrapText="1" indent="1"/>
    </xf>
    <xf numFmtId="0" fontId="0" fillId="0" borderId="12" xfId="0" applyBorder="1" applyAlignment="1">
      <alignment horizontal="left" vertical="center" wrapText="1" indent="1"/>
    </xf>
    <xf numFmtId="0" fontId="0" fillId="0" borderId="5" xfId="0" applyBorder="1" applyAlignment="1">
      <alignment horizontal="left" vertical="center" wrapText="1" indent="1"/>
    </xf>
    <xf numFmtId="0" fontId="4" fillId="2" borderId="4" xfId="0" applyFont="1" applyFill="1" applyBorder="1" applyAlignment="1">
      <alignment horizontal="left" vertical="center" wrapText="1" indent="5"/>
    </xf>
    <xf numFmtId="0" fontId="4" fillId="2" borderId="12" xfId="0" applyFont="1" applyFill="1" applyBorder="1" applyAlignment="1">
      <alignment horizontal="left" vertical="center" wrapText="1" indent="5"/>
    </xf>
    <xf numFmtId="0" fontId="4" fillId="2" borderId="5" xfId="0" applyFont="1" applyFill="1" applyBorder="1" applyAlignment="1">
      <alignment horizontal="left" vertical="center" wrapText="1" indent="5"/>
    </xf>
    <xf numFmtId="0" fontId="6" fillId="0" borderId="4"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5" xfId="0" applyFont="1" applyBorder="1" applyAlignment="1">
      <alignment horizontal="left" vertical="center" wrapText="1" indent="1"/>
    </xf>
    <xf numFmtId="0" fontId="4" fillId="2" borderId="4" xfId="0" applyFont="1" applyFill="1" applyBorder="1" applyAlignment="1">
      <alignment horizontal="left" vertical="center" wrapText="1" indent="6"/>
    </xf>
    <xf numFmtId="0" fontId="4" fillId="2" borderId="12" xfId="0" applyFont="1" applyFill="1" applyBorder="1" applyAlignment="1">
      <alignment horizontal="left" vertical="center" wrapText="1" indent="6"/>
    </xf>
    <xf numFmtId="0" fontId="4" fillId="2" borderId="5" xfId="0" applyFont="1" applyFill="1" applyBorder="1" applyAlignment="1">
      <alignment horizontal="left" vertical="center" wrapText="1" indent="6"/>
    </xf>
    <xf numFmtId="0" fontId="0" fillId="0" borderId="4" xfId="0" applyBorder="1" applyAlignment="1">
      <alignment horizontal="left" vertical="center" wrapText="1" indent="2"/>
    </xf>
    <xf numFmtId="0" fontId="0" fillId="0" borderId="12" xfId="0" applyBorder="1" applyAlignment="1">
      <alignment horizontal="left" vertical="center" wrapText="1" indent="2"/>
    </xf>
    <xf numFmtId="0" fontId="0" fillId="0" borderId="5" xfId="0" applyBorder="1" applyAlignment="1">
      <alignment horizontal="left" vertical="center" wrapText="1" indent="2"/>
    </xf>
    <xf numFmtId="0" fontId="12" fillId="0" borderId="2" xfId="0" applyFont="1" applyBorder="1" applyAlignment="1">
      <alignment horizontal="left" vertical="center" wrapText="1"/>
    </xf>
    <xf numFmtId="0" fontId="0" fillId="0" borderId="13" xfId="0" applyBorder="1" applyAlignment="1">
      <alignment horizontal="left" vertical="center" wrapText="1"/>
    </xf>
    <xf numFmtId="0" fontId="4" fillId="2" borderId="4" xfId="0" applyFont="1" applyFill="1" applyBorder="1" applyAlignment="1">
      <alignment horizontal="left" vertical="center" wrapText="1" indent="3"/>
    </xf>
    <xf numFmtId="0" fontId="4" fillId="2" borderId="12" xfId="0" applyFont="1" applyFill="1" applyBorder="1" applyAlignment="1">
      <alignment horizontal="left" vertical="center" wrapText="1" indent="3"/>
    </xf>
    <xf numFmtId="0" fontId="4" fillId="2" borderId="5" xfId="0" applyFont="1" applyFill="1" applyBorder="1" applyAlignment="1">
      <alignment horizontal="left" vertical="center" wrapText="1" indent="3"/>
    </xf>
    <xf numFmtId="0" fontId="35" fillId="0" borderId="7" xfId="0" applyFont="1" applyBorder="1" applyAlignment="1">
      <alignment horizontal="center" vertical="top"/>
    </xf>
    <xf numFmtId="0" fontId="0" fillId="0" borderId="7" xfId="0" applyBorder="1" applyAlignment="1">
      <alignment horizontal="center" vertical="top"/>
    </xf>
    <xf numFmtId="0" fontId="13" fillId="0" borderId="0" xfId="0" applyFont="1" applyAlignment="1">
      <alignment horizontal="center" vertical="center" wrapText="1"/>
    </xf>
    <xf numFmtId="0" fontId="3" fillId="0" borderId="0" xfId="0" applyFont="1" applyAlignment="1">
      <alignment horizontal="center" vertical="center" wrapText="1"/>
    </xf>
    <xf numFmtId="0" fontId="8" fillId="0" borderId="4" xfId="0" applyFont="1" applyBorder="1" applyAlignment="1">
      <alignment horizontal="center" vertical="top" wrapText="1"/>
    </xf>
    <xf numFmtId="0" fontId="8" fillId="0" borderId="12" xfId="0" applyFont="1" applyBorder="1" applyAlignment="1">
      <alignment horizontal="center" vertical="top" wrapText="1"/>
    </xf>
    <xf numFmtId="0" fontId="8" fillId="0" borderId="5" xfId="0" applyFont="1" applyBorder="1" applyAlignment="1">
      <alignment horizontal="center" vertical="top" wrapText="1"/>
    </xf>
    <xf numFmtId="0" fontId="0" fillId="2" borderId="4" xfId="0" applyFill="1" applyBorder="1" applyAlignment="1">
      <alignment horizontal="left" vertical="top" wrapText="1" indent="1"/>
    </xf>
    <xf numFmtId="0" fontId="0" fillId="2" borderId="12" xfId="0" applyFill="1" applyBorder="1" applyAlignment="1">
      <alignment horizontal="left" vertical="top" wrapText="1" indent="1"/>
    </xf>
    <xf numFmtId="0" fontId="0" fillId="2" borderId="5" xfId="0" applyFill="1" applyBorder="1" applyAlignment="1">
      <alignment horizontal="left" vertical="top" wrapText="1" indent="1"/>
    </xf>
    <xf numFmtId="0" fontId="0" fillId="2" borderId="4" xfId="0" applyFill="1" applyBorder="1" applyAlignment="1">
      <alignment horizontal="left" wrapText="1"/>
    </xf>
    <xf numFmtId="0" fontId="0" fillId="2" borderId="5" xfId="0" applyFill="1" applyBorder="1" applyAlignment="1">
      <alignment horizontal="left" wrapText="1"/>
    </xf>
    <xf numFmtId="0" fontId="0" fillId="0" borderId="4" xfId="0" applyBorder="1" applyAlignment="1">
      <alignment horizontal="left" wrapText="1"/>
    </xf>
    <xf numFmtId="0" fontId="0" fillId="0" borderId="12"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vertical="top" wrapText="1"/>
    </xf>
    <xf numFmtId="0" fontId="0" fillId="0" borderId="13" xfId="0" applyBorder="1" applyAlignment="1">
      <alignment horizontal="left" vertical="top" wrapText="1"/>
    </xf>
    <xf numFmtId="0" fontId="0" fillId="0" borderId="3" xfId="0" applyBorder="1" applyAlignment="1">
      <alignment horizontal="left" vertical="top" wrapText="1"/>
    </xf>
  </cellXfs>
  <cellStyles count="2">
    <cellStyle name="표준" xfId="0" builtinId="0"/>
    <cellStyle name="표준 2" xfId="1" xr:uid="{80F04DF2-9789-AE48-BC8D-A52319064DFF}"/>
  </cellStyles>
  <dxfs count="57">
    <dxf>
      <font>
        <color rgb="FF9C0006"/>
      </font>
      <fill>
        <patternFill>
          <bgColor rgb="FFFFC7CE"/>
        </patternFill>
      </fill>
    </dxf>
    <dxf>
      <font>
        <color rgb="FF808080"/>
      </font>
    </dxf>
    <dxf>
      <font>
        <b/>
        <i val="0"/>
        <color rgb="FF375623"/>
      </font>
    </dxf>
    <dxf>
      <font>
        <b/>
        <i val="0"/>
        <color rgb="FFE26B0A"/>
      </font>
    </dxf>
    <dxf>
      <font>
        <b/>
        <i val="0"/>
        <color rgb="FFC00000"/>
      </font>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right style="thin">
          <color rgb="FF000000"/>
        </right>
        <top style="thin">
          <color rgb="FF000000"/>
        </top>
        <bottom style="thin">
          <color auto="1"/>
        </bottom>
      </border>
    </dxf>
    <dxf>
      <fill>
        <patternFill patternType="none">
          <fgColor indexed="64"/>
          <bgColor auto="1"/>
        </patternFill>
      </fill>
    </dxf>
    <dxf>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dxf>
    <dxf>
      <font>
        <b val="0"/>
        <i val="0"/>
        <strike val="0"/>
        <condense val="0"/>
        <extend val="0"/>
        <outline val="0"/>
        <shadow val="0"/>
        <u val="none"/>
        <vertAlign val="baseline"/>
        <sz val="13"/>
        <color theme="1"/>
        <name val="맑은 고딕"/>
        <charset val="129"/>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3"/>
        <color rgb="FF333333"/>
        <name val="맑은 고딕"/>
        <family val="2"/>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333333"/>
        <name val="맑은 고딕"/>
        <family val="2"/>
        <charset val="129"/>
        <scheme val="none"/>
      </font>
      <alignment horizontal="left" vertical="center"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color theme="0"/>
      </font>
      <alignment horizontal="center" vertical="center" textRotation="0" wrapText="0" indent="0" justifyLastLine="0" shrinkToFit="0" readingOrder="0"/>
    </dxf>
    <dxf>
      <fill>
        <patternFill patternType="solid">
          <fgColor indexed="64"/>
          <bgColor rgb="FFFFFF00"/>
        </patternFill>
      </fill>
      <alignment vertical="center" textRotation="0" wrapText="0" indent="0" justifyLastLine="0" shrinkToFit="0" readingOrder="0"/>
    </dxf>
    <dxf>
      <fill>
        <patternFill patternType="solid">
          <fgColor indexed="64"/>
          <bgColor rgb="FFFFFF00"/>
        </patternFill>
      </fill>
      <alignment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fill>
        <patternFill patternType="solid">
          <fgColor indexed="64"/>
          <bgColor rgb="FFFFFF00"/>
        </patternFill>
      </fill>
      <alignment horizontal="general" vertical="center" textRotation="0" wrapText="0" indent="0" justifyLastLine="0" shrinkToFit="0" readingOrder="0"/>
      <border diagonalUp="0" diagonalDown="0" outline="0">
        <left/>
        <right style="thin">
          <color auto="1"/>
        </right>
        <top style="thin">
          <color auto="1"/>
        </top>
        <bottom style="thin">
          <color auto="1"/>
        </bottom>
      </border>
    </dxf>
    <dxf>
      <alignment horizontal="center"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rgb="FF000000"/>
        <name val="Batang"/>
        <family val="1"/>
        <charset val="129"/>
        <scheme val="none"/>
      </font>
      <alignment horizontal="center" vertical="center"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alignment horizontal="center" textRotation="0" indent="0" justifyLastLine="0" shrinkToFit="0" readingOrder="0"/>
    </dxf>
    <dxf>
      <border outline="0">
        <top style="thin">
          <color rgb="FF000000"/>
        </top>
      </border>
    </dxf>
    <dxf>
      <fill>
        <patternFill patternType="solid">
          <fgColor indexed="64"/>
          <bgColor rgb="FFFFFF00"/>
        </patternFill>
      </fill>
    </dxf>
    <dxf>
      <border outline="0">
        <bottom style="thin">
          <color rgb="FF000000"/>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9"/>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none">
          <fgColor indexed="64"/>
          <bgColor indexed="65"/>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FF"/>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FF"/>
        <name val="Times New Roman"/>
        <family val="1"/>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9"/>
        <color theme="1"/>
        <name val="Times New Roman"/>
        <family val="1"/>
        <scheme val="none"/>
      </font>
      <fill>
        <patternFill patternType="solid">
          <fgColor indexed="64"/>
          <bgColor rgb="FFF2DCDB"/>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공정별 평균위험도 비교 </a:t>
            </a:r>
            <a:r>
              <a:rPr lang="en-US" altLang="ko-KR"/>
              <a:t>(</a:t>
            </a:r>
            <a:r>
              <a:rPr lang="ko-KR" altLang="en-US"/>
              <a:t>개선 전 </a:t>
            </a:r>
            <a:r>
              <a:rPr lang="en" altLang="ko-KR"/>
              <a:t>vs </a:t>
            </a:r>
            <a:r>
              <a:rPr lang="ko-KR" altLang="en-US"/>
              <a:t>후</a:t>
            </a:r>
            <a:r>
              <a:rPr lang="en-US" altLang="ko-K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'Dashboard 입력'!$AM$60</c:f>
              <c:strCache>
                <c:ptCount val="1"/>
                <c:pt idx="0">
                  <c:v>개선전</c:v>
                </c:pt>
              </c:strCache>
            </c:strRef>
          </c:tx>
          <c:spPr>
            <a:solidFill>
              <a:srgbClr val="E26B0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입력'!$AL$61:$AL$69</c:f>
              <c:strCache>
                <c:ptCount val="9"/>
                <c:pt idx="0">
                  <c:v>ㄱㄱㄱ</c:v>
                </c:pt>
                <c:pt idx="1">
                  <c:v>ㄴㅇ</c:v>
                </c:pt>
                <c:pt idx="2">
                  <c:v>ㄹㄹㅇ</c:v>
                </c:pt>
                <c:pt idx="3">
                  <c:v>ㅁㅁ</c:v>
                </c:pt>
                <c:pt idx="4">
                  <c:v>배전반 해체</c:v>
                </c:pt>
                <c:pt idx="5">
                  <c:v>새 배전반 설치</c:v>
                </c:pt>
                <c:pt idx="6">
                  <c:v>시운전 및 점검</c:v>
                </c:pt>
                <c:pt idx="7">
                  <c:v>전원차단</c:v>
                </c:pt>
                <c:pt idx="8">
                  <c:v>접지 점검</c:v>
                </c:pt>
              </c:strCache>
            </c:strRef>
          </c:cat>
          <c:val>
            <c:numRef>
              <c:f>'Dashboard 입력'!$AM$61:$AM$69</c:f>
              <c:numCache>
                <c:formatCode>General</c:formatCode>
                <c:ptCount val="9"/>
                <c:pt idx="0">
                  <c:v>4</c:v>
                </c:pt>
                <c:pt idx="1">
                  <c:v>7.3</c:v>
                </c:pt>
                <c:pt idx="2">
                  <c:v>4</c:v>
                </c:pt>
                <c:pt idx="3">
                  <c:v>9</c:v>
                </c:pt>
                <c:pt idx="4">
                  <c:v>6</c:v>
                </c:pt>
                <c:pt idx="5">
                  <c:v>7</c:v>
                </c:pt>
                <c:pt idx="6">
                  <c:v>12.5</c:v>
                </c:pt>
                <c:pt idx="7">
                  <c:v>11</c:v>
                </c:pt>
                <c:pt idx="8">
                  <c:v>10.3</c:v>
                </c:pt>
              </c:numCache>
            </c:numRef>
          </c:val>
          <c:extLst>
            <c:ext xmlns:c16="http://schemas.microsoft.com/office/drawing/2014/chart" uri="{C3380CC4-5D6E-409C-BE32-E72D297353CC}">
              <c16:uniqueId val="{00000000-78E2-534D-B1B3-CF1210F184AF}"/>
            </c:ext>
          </c:extLst>
        </c:ser>
        <c:ser>
          <c:idx val="1"/>
          <c:order val="1"/>
          <c:tx>
            <c:strRef>
              <c:f>'Dashboard 입력'!$AN$60</c:f>
              <c:strCache>
                <c:ptCount val="1"/>
                <c:pt idx="0">
                  <c:v>개선후</c:v>
                </c:pt>
              </c:strCache>
            </c:strRef>
          </c:tx>
          <c:spPr>
            <a:solidFill>
              <a:srgbClr val="3756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입력'!$AL$61:$AL$69</c:f>
              <c:strCache>
                <c:ptCount val="9"/>
                <c:pt idx="0">
                  <c:v>ㄱㄱㄱ</c:v>
                </c:pt>
                <c:pt idx="1">
                  <c:v>ㄴㅇ</c:v>
                </c:pt>
                <c:pt idx="2">
                  <c:v>ㄹㄹㅇ</c:v>
                </c:pt>
                <c:pt idx="3">
                  <c:v>ㅁㅁ</c:v>
                </c:pt>
                <c:pt idx="4">
                  <c:v>배전반 해체</c:v>
                </c:pt>
                <c:pt idx="5">
                  <c:v>새 배전반 설치</c:v>
                </c:pt>
                <c:pt idx="6">
                  <c:v>시운전 및 점검</c:v>
                </c:pt>
                <c:pt idx="7">
                  <c:v>전원차단</c:v>
                </c:pt>
                <c:pt idx="8">
                  <c:v>접지 점검</c:v>
                </c:pt>
              </c:strCache>
            </c:strRef>
          </c:cat>
          <c:val>
            <c:numRef>
              <c:f>'Dashboard 입력'!$AN$61:$AN$69</c:f>
              <c:numCache>
                <c:formatCode>General</c:formatCode>
                <c:ptCount val="9"/>
                <c:pt idx="0">
                  <c:v>0</c:v>
                </c:pt>
                <c:pt idx="1">
                  <c:v>0</c:v>
                </c:pt>
                <c:pt idx="2">
                  <c:v>0</c:v>
                </c:pt>
                <c:pt idx="3">
                  <c:v>0</c:v>
                </c:pt>
                <c:pt idx="4">
                  <c:v>2.7</c:v>
                </c:pt>
                <c:pt idx="5">
                  <c:v>2.2999999999999998</c:v>
                </c:pt>
                <c:pt idx="6">
                  <c:v>2</c:v>
                </c:pt>
                <c:pt idx="7">
                  <c:v>2.2999999999999998</c:v>
                </c:pt>
                <c:pt idx="8">
                  <c:v>2.7</c:v>
                </c:pt>
              </c:numCache>
            </c:numRef>
          </c:val>
          <c:extLst>
            <c:ext xmlns:c16="http://schemas.microsoft.com/office/drawing/2014/chart" uri="{C3380CC4-5D6E-409C-BE32-E72D297353CC}">
              <c16:uniqueId val="{00000001-78E2-534D-B1B3-CF1210F184AF}"/>
            </c:ext>
          </c:extLst>
        </c:ser>
        <c:dLbls>
          <c:showLegendKey val="0"/>
          <c:showVal val="0"/>
          <c:showCatName val="0"/>
          <c:showSerName val="0"/>
          <c:showPercent val="0"/>
          <c:showBubbleSize val="0"/>
        </c:dLbls>
        <c:gapWidth val="219"/>
        <c:overlap val="-27"/>
        <c:axId val="1612373439"/>
        <c:axId val="1612370751"/>
      </c:barChart>
      <c:catAx>
        <c:axId val="161237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12370751"/>
        <c:crosses val="autoZero"/>
        <c:auto val="1"/>
        <c:lblAlgn val="ctr"/>
        <c:lblOffset val="100"/>
        <c:noMultiLvlLbl val="0"/>
      </c:catAx>
      <c:valAx>
        <c:axId val="1612370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ko-KR" altLang="en-US"/>
                  <a:t>평균 위험도</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1237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4C7E7"/>
      </a:solidFill>
      <a:prstDash val="solid"/>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개선전 위험성 등급 분포</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doughnutChart>
        <c:varyColors val="1"/>
        <c:ser>
          <c:idx val="0"/>
          <c:order val="0"/>
          <c:tx>
            <c:strRef>
              <c:f>'Dashboard 입력'!$AQ$60</c:f>
              <c:strCache>
                <c:ptCount val="1"/>
                <c:pt idx="0">
                  <c:v>개선전 건수</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E653-0241-A591-129BD672C6D0}"/>
              </c:ext>
            </c:extLst>
          </c:dPt>
          <c:dPt>
            <c:idx val="1"/>
            <c:bubble3D val="0"/>
            <c:spPr>
              <a:solidFill>
                <a:srgbClr val="E26B0A"/>
              </a:solidFill>
              <a:ln w="19050">
                <a:solidFill>
                  <a:schemeClr val="lt1"/>
                </a:solidFill>
              </a:ln>
              <a:effectLst/>
            </c:spPr>
            <c:extLst>
              <c:ext xmlns:c16="http://schemas.microsoft.com/office/drawing/2014/chart" uri="{C3380CC4-5D6E-409C-BE32-E72D297353CC}">
                <c16:uniqueId val="{00000002-E653-0241-A591-129BD672C6D0}"/>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E653-0241-A591-129BD672C6D0}"/>
              </c:ext>
            </c:extLst>
          </c:dPt>
          <c:dPt>
            <c:idx val="3"/>
            <c:bubble3D val="0"/>
            <c:spPr>
              <a:solidFill>
                <a:srgbClr val="375623"/>
              </a:solidFill>
              <a:ln w="19050">
                <a:solidFill>
                  <a:schemeClr val="lt1"/>
                </a:solidFill>
              </a:ln>
              <a:effectLst/>
            </c:spPr>
            <c:extLst>
              <c:ext xmlns:c16="http://schemas.microsoft.com/office/drawing/2014/chart" uri="{C3380CC4-5D6E-409C-BE32-E72D297353CC}">
                <c16:uniqueId val="{00000004-E653-0241-A591-129BD672C6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입력'!$AP$61:$AP$64</c:f>
              <c:strCache>
                <c:ptCount val="4"/>
                <c:pt idx="0">
                  <c:v>매우위험(VH)</c:v>
                </c:pt>
                <c:pt idx="1">
                  <c:v>고위험(H)</c:v>
                </c:pt>
                <c:pt idx="2">
                  <c:v>중위험(M)</c:v>
                </c:pt>
                <c:pt idx="3">
                  <c:v>저위험(L)</c:v>
                </c:pt>
              </c:strCache>
            </c:strRef>
          </c:cat>
          <c:val>
            <c:numRef>
              <c:f>'Dashboard 입력'!$AQ$61:$AQ$64</c:f>
              <c:numCache>
                <c:formatCode>General</c:formatCode>
                <c:ptCount val="4"/>
                <c:pt idx="0">
                  <c:v>6</c:v>
                </c:pt>
                <c:pt idx="1">
                  <c:v>19</c:v>
                </c:pt>
                <c:pt idx="2">
                  <c:v>21</c:v>
                </c:pt>
                <c:pt idx="3">
                  <c:v>0</c:v>
                </c:pt>
              </c:numCache>
            </c:numRef>
          </c:val>
          <c:extLst>
            <c:ext xmlns:c16="http://schemas.microsoft.com/office/drawing/2014/chart" uri="{C3380CC4-5D6E-409C-BE32-E72D297353CC}">
              <c16:uniqueId val="{00000000-E653-0241-A591-129BD672C6D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4C7E7"/>
      </a:solidFill>
      <a:prstDash val="solid"/>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개선 전후 위험성 등급 비교</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'Dashboard 입력'!$AT$60</c:f>
              <c:strCache>
                <c:ptCount val="1"/>
                <c:pt idx="0">
                  <c:v>건수</c:v>
                </c:pt>
              </c:strCache>
            </c:strRef>
          </c:tx>
          <c:spPr>
            <a:solidFill>
              <a:schemeClr val="accent1"/>
            </a:solidFill>
            <a:ln>
              <a:noFill/>
            </a:ln>
            <a:effectLst/>
          </c:spPr>
          <c:invertIfNegative val="0"/>
          <c:dPt>
            <c:idx val="0"/>
            <c:invertIfNegative val="0"/>
            <c:bubble3D val="0"/>
            <c:spPr>
              <a:solidFill>
                <a:srgbClr val="E26B0A"/>
              </a:solidFill>
              <a:ln>
                <a:noFill/>
              </a:ln>
              <a:effectLst/>
            </c:spPr>
            <c:extLst>
              <c:ext xmlns:c16="http://schemas.microsoft.com/office/drawing/2014/chart" uri="{C3380CC4-5D6E-409C-BE32-E72D297353CC}">
                <c16:uniqueId val="{00000001-C252-884A-B4DC-D9CE4B4B826E}"/>
              </c:ext>
            </c:extLst>
          </c:dPt>
          <c:dPt>
            <c:idx val="1"/>
            <c:invertIfNegative val="0"/>
            <c:bubble3D val="0"/>
            <c:spPr>
              <a:solidFill>
                <a:srgbClr val="375623"/>
              </a:solidFill>
              <a:ln>
                <a:noFill/>
              </a:ln>
              <a:effectLst/>
            </c:spPr>
            <c:extLst>
              <c:ext xmlns:c16="http://schemas.microsoft.com/office/drawing/2014/chart" uri="{C3380CC4-5D6E-409C-BE32-E72D297353CC}">
                <c16:uniqueId val="{00000002-C252-884A-B4DC-D9CE4B4B826E}"/>
              </c:ext>
            </c:extLst>
          </c:dPt>
          <c:dPt>
            <c:idx val="2"/>
            <c:invertIfNegative val="0"/>
            <c:bubble3D val="0"/>
            <c:spPr>
              <a:solidFill>
                <a:srgbClr val="E26B0A"/>
              </a:solidFill>
              <a:ln>
                <a:noFill/>
              </a:ln>
              <a:effectLst/>
            </c:spPr>
            <c:extLst>
              <c:ext xmlns:c16="http://schemas.microsoft.com/office/drawing/2014/chart" uri="{C3380CC4-5D6E-409C-BE32-E72D297353CC}">
                <c16:uniqueId val="{00000003-C252-884A-B4DC-D9CE4B4B826E}"/>
              </c:ext>
            </c:extLst>
          </c:dPt>
          <c:dPt>
            <c:idx val="3"/>
            <c:invertIfNegative val="0"/>
            <c:bubble3D val="0"/>
            <c:spPr>
              <a:solidFill>
                <a:srgbClr val="375623"/>
              </a:solidFill>
              <a:ln>
                <a:noFill/>
              </a:ln>
              <a:effectLst/>
            </c:spPr>
            <c:extLst>
              <c:ext xmlns:c16="http://schemas.microsoft.com/office/drawing/2014/chart" uri="{C3380CC4-5D6E-409C-BE32-E72D297353CC}">
                <c16:uniqueId val="{00000004-C252-884A-B4DC-D9CE4B4B826E}"/>
              </c:ext>
            </c:extLst>
          </c:dPt>
          <c:dPt>
            <c:idx val="4"/>
            <c:invertIfNegative val="0"/>
            <c:bubble3D val="0"/>
            <c:spPr>
              <a:solidFill>
                <a:srgbClr val="E26B0A"/>
              </a:solidFill>
              <a:ln>
                <a:noFill/>
              </a:ln>
              <a:effectLst/>
            </c:spPr>
            <c:extLst>
              <c:ext xmlns:c16="http://schemas.microsoft.com/office/drawing/2014/chart" uri="{C3380CC4-5D6E-409C-BE32-E72D297353CC}">
                <c16:uniqueId val="{00000005-C252-884A-B4DC-D9CE4B4B826E}"/>
              </c:ext>
            </c:extLst>
          </c:dPt>
          <c:dPt>
            <c:idx val="5"/>
            <c:invertIfNegative val="0"/>
            <c:bubble3D val="0"/>
            <c:spPr>
              <a:solidFill>
                <a:srgbClr val="375623"/>
              </a:solidFill>
              <a:ln>
                <a:noFill/>
              </a:ln>
              <a:effectLst/>
            </c:spPr>
            <c:extLst>
              <c:ext xmlns:c16="http://schemas.microsoft.com/office/drawing/2014/chart" uri="{C3380CC4-5D6E-409C-BE32-E72D297353CC}">
                <c16:uniqueId val="{00000006-C252-884A-B4DC-D9CE4B4B826E}"/>
              </c:ext>
            </c:extLst>
          </c:dPt>
          <c:dPt>
            <c:idx val="6"/>
            <c:invertIfNegative val="0"/>
            <c:bubble3D val="0"/>
            <c:spPr>
              <a:solidFill>
                <a:srgbClr val="E26B0A"/>
              </a:solidFill>
              <a:ln>
                <a:noFill/>
              </a:ln>
              <a:effectLst/>
            </c:spPr>
            <c:extLst>
              <c:ext xmlns:c16="http://schemas.microsoft.com/office/drawing/2014/chart" uri="{C3380CC4-5D6E-409C-BE32-E72D297353CC}">
                <c16:uniqueId val="{00000007-C252-884A-B4DC-D9CE4B4B826E}"/>
              </c:ext>
            </c:extLst>
          </c:dPt>
          <c:dPt>
            <c:idx val="7"/>
            <c:invertIfNegative val="0"/>
            <c:bubble3D val="0"/>
            <c:spPr>
              <a:solidFill>
                <a:srgbClr val="375623"/>
              </a:solidFill>
              <a:ln>
                <a:noFill/>
              </a:ln>
              <a:effectLst/>
            </c:spPr>
            <c:extLst>
              <c:ext xmlns:c16="http://schemas.microsoft.com/office/drawing/2014/chart" uri="{C3380CC4-5D6E-409C-BE32-E72D297353CC}">
                <c16:uniqueId val="{00000008-C252-884A-B4DC-D9CE4B4B82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입력'!$AS$61:$AS$68</c:f>
              <c:strCache>
                <c:ptCount val="8"/>
                <c:pt idx="0">
                  <c:v>매우위험-개선전</c:v>
                </c:pt>
                <c:pt idx="1">
                  <c:v>매우위험-개선후</c:v>
                </c:pt>
                <c:pt idx="2">
                  <c:v>고위험-개선전</c:v>
                </c:pt>
                <c:pt idx="3">
                  <c:v>고위험-개선후</c:v>
                </c:pt>
                <c:pt idx="4">
                  <c:v>중위험-개선전</c:v>
                </c:pt>
                <c:pt idx="5">
                  <c:v>중위험-개선후</c:v>
                </c:pt>
                <c:pt idx="6">
                  <c:v>저위험-개선전</c:v>
                </c:pt>
                <c:pt idx="7">
                  <c:v>저위험-개선후</c:v>
                </c:pt>
              </c:strCache>
            </c:strRef>
          </c:cat>
          <c:val>
            <c:numRef>
              <c:f>'Dashboard 입력'!$AT$61:$AT$68</c:f>
              <c:numCache>
                <c:formatCode>General</c:formatCode>
                <c:ptCount val="8"/>
                <c:pt idx="0">
                  <c:v>6</c:v>
                </c:pt>
                <c:pt idx="1">
                  <c:v>0</c:v>
                </c:pt>
                <c:pt idx="2">
                  <c:v>19</c:v>
                </c:pt>
                <c:pt idx="3">
                  <c:v>0</c:v>
                </c:pt>
                <c:pt idx="4">
                  <c:v>21</c:v>
                </c:pt>
                <c:pt idx="5">
                  <c:v>0</c:v>
                </c:pt>
                <c:pt idx="6">
                  <c:v>0</c:v>
                </c:pt>
                <c:pt idx="7">
                  <c:v>40</c:v>
                </c:pt>
              </c:numCache>
            </c:numRef>
          </c:val>
          <c:extLst>
            <c:ext xmlns:c16="http://schemas.microsoft.com/office/drawing/2014/chart" uri="{C3380CC4-5D6E-409C-BE32-E72D297353CC}">
              <c16:uniqueId val="{00000000-C252-884A-B4DC-D9CE4B4B826E}"/>
            </c:ext>
          </c:extLst>
        </c:ser>
        <c:dLbls>
          <c:showLegendKey val="0"/>
          <c:showVal val="0"/>
          <c:showCatName val="0"/>
          <c:showSerName val="0"/>
          <c:showPercent val="0"/>
          <c:showBubbleSize val="0"/>
        </c:dLbls>
        <c:gapWidth val="182"/>
        <c:axId val="1548504575"/>
        <c:axId val="1548510399"/>
      </c:barChart>
      <c:catAx>
        <c:axId val="154850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8510399"/>
        <c:crosses val="autoZero"/>
        <c:auto val="1"/>
        <c:lblAlgn val="ctr"/>
        <c:lblOffset val="100"/>
        <c:noMultiLvlLbl val="0"/>
      </c:catAx>
      <c:valAx>
        <c:axId val="15485103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ko-KR" altLang="en-US"/>
                  <a:t>건수</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850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4C7E7"/>
      </a:solidFill>
      <a:prstDash val="solid"/>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ko-KR" sz="1800" b="1" i="0" u="none" strike="noStrike" kern="1200" spc="0" baseline="0">
                <a:solidFill>
                  <a:srgbClr val="7F1D1D"/>
                </a:solidFill>
                <a:latin typeface="+mn-lt"/>
                <a:ea typeface="+mn-ea"/>
                <a:cs typeface="+mn-cs"/>
              </a:defRPr>
            </a:pPr>
            <a:r>
              <a:rPr lang="en-US" sz="1800"/>
              <a:t>③ </a:t>
            </a:r>
            <a:r>
              <a:rPr lang="ko-KR" sz="1800"/>
              <a:t>다빈도 재해형태 </a:t>
            </a:r>
            <a:r>
              <a:rPr lang="en-US" sz="1800"/>
              <a:t>Top 10</a:t>
            </a:r>
          </a:p>
        </c:rich>
      </c:tx>
      <c:overlay val="0"/>
      <c:spPr>
        <a:noFill/>
        <a:ln>
          <a:noFill/>
        </a:ln>
        <a:effectLst/>
      </c:spPr>
      <c:txPr>
        <a:bodyPr rot="0" spcFirstLastPara="1" vertOverflow="ellipsis" vert="horz" wrap="square" anchor="ctr" anchorCtr="1"/>
        <a:lstStyle/>
        <a:p>
          <a:pPr>
            <a:defRPr altLang="ko-KR" sz="1800" b="1" i="0" u="none" strike="noStrike" kern="1200" spc="0" baseline="0">
              <a:solidFill>
                <a:srgbClr val="7F1D1D"/>
              </a:solidFill>
              <a:latin typeface="+mn-lt"/>
              <a:ea typeface="+mn-ea"/>
              <a:cs typeface="+mn-cs"/>
            </a:defRPr>
          </a:pPr>
          <a:endParaRPr lang="ko-KR"/>
        </a:p>
      </c:txPr>
    </c:title>
    <c:autoTitleDeleted val="0"/>
    <c:plotArea>
      <c:layout/>
      <c:barChart>
        <c:barDir val="bar"/>
        <c:grouping val="clustered"/>
        <c:varyColors val="0"/>
        <c:ser>
          <c:idx val="0"/>
          <c:order val="0"/>
          <c:tx>
            <c:strRef>
              <c:f>'기인물 위험정보제공'!$N$71</c:f>
              <c:strCache>
                <c:ptCount val="1"/>
                <c:pt idx="0">
                  <c:v>건수</c:v>
                </c:pt>
              </c:strCache>
            </c:strRef>
          </c:tx>
          <c:spPr>
            <a:solidFill>
              <a:srgbClr val="EF44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F1D1D"/>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'기인물 위험정보제공'!$L$72:$L$79</c:f>
              <c:strCache>
                <c:ptCount val="8"/>
                <c:pt idx="0">
                  <c:v>떨어짐</c:v>
                </c:pt>
                <c:pt idx="1">
                  <c:v>부딪힘 접촉</c:v>
                </c:pt>
                <c:pt idx="2">
                  <c:v>깔림 뒤집힘</c:v>
                </c:pt>
                <c:pt idx="3">
                  <c:v>넘어짐</c:v>
                </c:pt>
                <c:pt idx="4">
                  <c:v>0</c:v>
                </c:pt>
                <c:pt idx="5">
                  <c:v>0</c:v>
                </c:pt>
                <c:pt idx="6">
                  <c:v>0</c:v>
                </c:pt>
                <c:pt idx="7">
                  <c:v>0</c:v>
                </c:pt>
              </c:strCache>
            </c:strRef>
          </c:cat>
          <c:val>
            <c:numRef>
              <c:f>'기인물 위험정보제공'!$N$72:$N$79</c:f>
              <c:numCache>
                <c:formatCode>General</c:formatCode>
                <c:ptCount val="8"/>
                <c:pt idx="0">
                  <c:v>28</c:v>
                </c:pt>
                <c:pt idx="1">
                  <c:v>2</c:v>
                </c:pt>
                <c:pt idx="2">
                  <c:v>1</c:v>
                </c:pt>
                <c:pt idx="3">
                  <c:v>1</c:v>
                </c:pt>
                <c:pt idx="4">
                  <c:v>0</c:v>
                </c:pt>
                <c:pt idx="5">
                  <c:v>0</c:v>
                </c:pt>
                <c:pt idx="6">
                  <c:v>0</c:v>
                </c:pt>
                <c:pt idx="7">
                  <c:v>0</c:v>
                </c:pt>
              </c:numCache>
            </c:numRef>
          </c:val>
          <c:extLst>
            <c:ext xmlns:c16="http://schemas.microsoft.com/office/drawing/2014/chart" uri="{C3380CC4-5D6E-409C-BE32-E72D297353CC}">
              <c16:uniqueId val="{00000000-E7CA-EC43-91B5-79CA296BA9F2}"/>
            </c:ext>
          </c:extLst>
        </c:ser>
        <c:dLbls>
          <c:showLegendKey val="0"/>
          <c:showVal val="0"/>
          <c:showCatName val="0"/>
          <c:showSerName val="0"/>
          <c:showPercent val="0"/>
          <c:showBubbleSize val="0"/>
        </c:dLbls>
        <c:gapWidth val="182"/>
        <c:axId val="1549228607"/>
        <c:axId val="1547063679"/>
      </c:barChart>
      <c:catAx>
        <c:axId val="15492286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ko-KR"/>
          </a:p>
        </c:txPr>
        <c:crossAx val="1547063679"/>
        <c:crosses val="autoZero"/>
        <c:auto val="1"/>
        <c:lblAlgn val="ctr"/>
        <c:lblOffset val="100"/>
        <c:noMultiLvlLbl val="0"/>
      </c:catAx>
      <c:valAx>
        <c:axId val="1547063679"/>
        <c:scaling>
          <c:orientation val="minMax"/>
        </c:scaling>
        <c:delete val="0"/>
        <c:axPos val="t"/>
        <c:majorGridlines>
          <c:spPr>
            <a:ln w="9525" cap="flat" cmpd="sng" algn="ctr">
              <a:solidFill>
                <a:srgbClr val="FECACA"/>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4922860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5F5"/>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ko-KR" sz="1200" b="1" i="0" u="none" strike="noStrike" kern="1200" spc="0" baseline="0">
                <a:solidFill>
                  <a:srgbClr val="92400E"/>
                </a:solidFill>
                <a:latin typeface="+mn-lt"/>
                <a:ea typeface="+mn-ea"/>
                <a:cs typeface="+mn-cs"/>
              </a:defRPr>
            </a:pPr>
            <a:r>
              <a:rPr lang="en-US"/>
              <a:t>② </a:t>
            </a:r>
            <a:r>
              <a:rPr lang="ko-KR"/>
              <a:t>다빈도 사용공정 </a:t>
            </a:r>
            <a:r>
              <a:rPr lang="en-US"/>
              <a:t>Top 10</a:t>
            </a:r>
          </a:p>
        </c:rich>
      </c:tx>
      <c:overlay val="0"/>
      <c:spPr>
        <a:noFill/>
        <a:ln>
          <a:noFill/>
        </a:ln>
        <a:effectLst/>
      </c:spPr>
      <c:txPr>
        <a:bodyPr rot="0" spcFirstLastPara="1" vertOverflow="ellipsis" vert="horz" wrap="square" anchor="ctr" anchorCtr="1"/>
        <a:lstStyle/>
        <a:p>
          <a:pPr>
            <a:defRPr altLang="ko-KR" sz="1200" b="1" i="0" u="none" strike="noStrike" kern="1200" spc="0" baseline="0">
              <a:solidFill>
                <a:srgbClr val="92400E"/>
              </a:solidFill>
              <a:latin typeface="+mn-lt"/>
              <a:ea typeface="+mn-ea"/>
              <a:cs typeface="+mn-cs"/>
            </a:defRPr>
          </a:pPr>
          <a:endParaRPr lang="ko-KR"/>
        </a:p>
      </c:txPr>
    </c:title>
    <c:autoTitleDeleted val="0"/>
    <c:plotArea>
      <c:layout/>
      <c:barChart>
        <c:barDir val="bar"/>
        <c:grouping val="clustered"/>
        <c:varyColors val="0"/>
        <c:ser>
          <c:idx val="0"/>
          <c:order val="0"/>
          <c:tx>
            <c:strRef>
              <c:f>'기인물 위험정보제공'!$J$71</c:f>
              <c:strCache>
                <c:ptCount val="1"/>
                <c:pt idx="0">
                  <c:v>건수</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8350F"/>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'기인물 위험정보제공'!$J$72:$J$81</c:f>
            </c:numRef>
          </c:val>
          <c:extLst>
            <c:ext xmlns:c15="http://schemas.microsoft.com/office/drawing/2012/chart" uri="{02D57815-91ED-43cb-92C2-25804820EDAC}">
              <c15:filteredCategoryTitle>
                <c15:cat>
                  <c:multiLvlStrRef>
                    <c:extLst>
                      <c:ext uri="{02D57815-91ED-43cb-92C2-25804820EDAC}">
                        <c15:formulaRef>
                          <c15:sqref>'기인물 위험정보제공'!$I$72:$I$81</c15:sqref>
                        </c15:formulaRef>
                      </c:ext>
                    </c:extLst>
                  </c:multiLvlStrRef>
                </c15:cat>
              </c15:filteredCategoryTitle>
            </c:ext>
            <c:ext xmlns:c16="http://schemas.microsoft.com/office/drawing/2014/chart" uri="{C3380CC4-5D6E-409C-BE32-E72D297353CC}">
              <c16:uniqueId val="{00000000-F7A8-094A-9D5F-E8EA79315C91}"/>
            </c:ext>
          </c:extLst>
        </c:ser>
        <c:dLbls>
          <c:showLegendKey val="0"/>
          <c:showVal val="0"/>
          <c:showCatName val="0"/>
          <c:showSerName val="0"/>
          <c:showPercent val="0"/>
          <c:showBubbleSize val="0"/>
        </c:dLbls>
        <c:gapWidth val="182"/>
        <c:axId val="1601772095"/>
        <c:axId val="1601768511"/>
      </c:barChart>
      <c:catAx>
        <c:axId val="1601772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01768511"/>
        <c:crosses val="autoZero"/>
        <c:auto val="1"/>
        <c:lblAlgn val="ctr"/>
        <c:lblOffset val="100"/>
        <c:noMultiLvlLbl val="0"/>
      </c:catAx>
      <c:valAx>
        <c:axId val="1601768511"/>
        <c:scaling>
          <c:orientation val="minMax"/>
        </c:scaling>
        <c:delete val="0"/>
        <c:axPos val="t"/>
        <c:majorGridlines>
          <c:spPr>
            <a:ln w="9525" cap="flat" cmpd="sng" algn="ctr">
              <a:solidFill>
                <a:srgbClr val="FDE68A"/>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01772095"/>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BEB"/>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45</xdr:col>
      <xdr:colOff>237066</xdr:colOff>
      <xdr:row>13</xdr:row>
      <xdr:rowOff>148166</xdr:rowOff>
    </xdr:from>
    <xdr:to>
      <xdr:col>55</xdr:col>
      <xdr:colOff>101599</xdr:colOff>
      <xdr:row>32</xdr:row>
      <xdr:rowOff>148166</xdr:rowOff>
    </xdr:to>
    <xdr:graphicFrame macro="">
      <xdr:nvGraphicFramePr>
        <xdr:cNvPr id="26" name="차트 25">
          <a:extLst>
            <a:ext uri="{FF2B5EF4-FFF2-40B4-BE49-F238E27FC236}">
              <a16:creationId xmlns:a16="http://schemas.microsoft.com/office/drawing/2014/main" id="{069268B1-6877-58AC-F113-EC2FFAB7E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64</xdr:col>
      <xdr:colOff>169333</xdr:colOff>
      <xdr:row>13</xdr:row>
      <xdr:rowOff>198966</xdr:rowOff>
    </xdr:from>
    <xdr:to>
      <xdr:col>70</xdr:col>
      <xdr:colOff>237066</xdr:colOff>
      <xdr:row>32</xdr:row>
      <xdr:rowOff>198966</xdr:rowOff>
    </xdr:to>
    <xdr:graphicFrame macro="">
      <xdr:nvGraphicFramePr>
        <xdr:cNvPr id="27" name="차트 26">
          <a:extLst>
            <a:ext uri="{FF2B5EF4-FFF2-40B4-BE49-F238E27FC236}">
              <a16:creationId xmlns:a16="http://schemas.microsoft.com/office/drawing/2014/main" id="{92351CFD-7C0F-6C2C-8CC8-4E8DB9B5D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423333</xdr:colOff>
      <xdr:row>34</xdr:row>
      <xdr:rowOff>249766</xdr:rowOff>
    </xdr:from>
    <xdr:to>
      <xdr:col>70</xdr:col>
      <xdr:colOff>440266</xdr:colOff>
      <xdr:row>52</xdr:row>
      <xdr:rowOff>249766</xdr:rowOff>
    </xdr:to>
    <xdr:graphicFrame macro="">
      <xdr:nvGraphicFramePr>
        <xdr:cNvPr id="28" name="차트 27">
          <a:extLst>
            <a:ext uri="{FF2B5EF4-FFF2-40B4-BE49-F238E27FC236}">
              <a16:creationId xmlns:a16="http://schemas.microsoft.com/office/drawing/2014/main" id="{124D65E9-5856-FCA1-43B8-1B462A353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750693</xdr:colOff>
      <xdr:row>10</xdr:row>
      <xdr:rowOff>110436</xdr:rowOff>
    </xdr:from>
    <xdr:to>
      <xdr:col>6</xdr:col>
      <xdr:colOff>5190434</xdr:colOff>
      <xdr:row>18</xdr:row>
      <xdr:rowOff>349711</xdr:rowOff>
    </xdr:to>
    <xdr:graphicFrame macro="">
      <xdr:nvGraphicFramePr>
        <xdr:cNvPr id="19" name="차트 18">
          <a:extLst>
            <a:ext uri="{FF2B5EF4-FFF2-40B4-BE49-F238E27FC236}">
              <a16:creationId xmlns:a16="http://schemas.microsoft.com/office/drawing/2014/main" id="{F76B0B18-3188-4C96-62E6-FAAE1934D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22</xdr:row>
      <xdr:rowOff>0</xdr:rowOff>
    </xdr:from>
    <xdr:to>
      <xdr:col>33</xdr:col>
      <xdr:colOff>319914</xdr:colOff>
      <xdr:row>34</xdr:row>
      <xdr:rowOff>2938</xdr:rowOff>
    </xdr:to>
    <xdr:graphicFrame macro="">
      <xdr:nvGraphicFramePr>
        <xdr:cNvPr id="2" name="차트 1">
          <a:extLst>
            <a:ext uri="{FF2B5EF4-FFF2-40B4-BE49-F238E27FC236}">
              <a16:creationId xmlns:a16="http://schemas.microsoft.com/office/drawing/2014/main" id="{93224092-9E83-BF41-8A35-FD71C7316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110435</xdr:colOff>
      <xdr:row>4</xdr:row>
      <xdr:rowOff>36812</xdr:rowOff>
    </xdr:from>
    <xdr:to>
      <xdr:col>4</xdr:col>
      <xdr:colOff>606568</xdr:colOff>
      <xdr:row>7</xdr:row>
      <xdr:rowOff>276087</xdr:rowOff>
    </xdr:to>
    <xdr:sp macro="" textlink="">
      <xdr:nvSpPr>
        <xdr:cNvPr id="3" name="갈매기형 수장[C] 2">
          <a:extLst>
            <a:ext uri="{FF2B5EF4-FFF2-40B4-BE49-F238E27FC236}">
              <a16:creationId xmlns:a16="http://schemas.microsoft.com/office/drawing/2014/main" id="{6FF2FD93-8983-1614-A609-8B5199B7ED84}"/>
            </a:ext>
          </a:extLst>
        </xdr:cNvPr>
        <xdr:cNvSpPr/>
      </xdr:nvSpPr>
      <xdr:spPr>
        <a:xfrm>
          <a:off x="4545957" y="1685916"/>
          <a:ext cx="496133" cy="1831514"/>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9</xdr:col>
      <xdr:colOff>69849</xdr:colOff>
      <xdr:row>10</xdr:row>
      <xdr:rowOff>273050</xdr:rowOff>
    </xdr:from>
    <xdr:ext cx="1378039" cy="111125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49" y="5365750"/>
          <a:ext cx="1378039" cy="11112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12</xdr:col>
      <xdr:colOff>127000</xdr:colOff>
      <xdr:row>1</xdr:row>
      <xdr:rowOff>31750</xdr:rowOff>
    </xdr:from>
    <xdr:ext cx="990600" cy="1016000"/>
    <xdr:pic>
      <xdr:nvPicPr>
        <xdr:cNvPr id="3" name="image2.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0600" cy="1016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KOEN/251123_SIF%20&#4359;&#4462;&#4523;&#4361;&#4453;&#4520;/260302_SIF%20&#4369;&#4467;&#4357;&#4457;&#4352;&#4467;&#4357;&#4450;&#4535;/260302_SIF%20&#4369;&#4467;&#4357;&#4457;&#4352;&#4467;&#4357;&#4450;&#4535;_r1_&#4352;&#4457;&#4540;&#4364;&#4453;&#4540;&#4364;&#4457;&#4370;&#4460;%20&#4366;&#4449;&#4368;&#4467;.xlsx" TargetMode="External"/><Relationship Id="rId2" Type="http://schemas.openxmlformats.org/officeDocument/2006/relationships/externalLinkPath" Target="/Users/kimjihwan/Desktop/KOEN/251123_SIF%20&#4359;&#4462;&#4523;&#4361;&#4453;&#4520;/260302_SIF%20&#4369;&#4467;&#4357;&#4457;&#4352;&#4467;&#4357;&#4450;&#4535;/260302_SIF%20&#4369;&#4467;&#4357;&#4457;&#4352;&#4467;&#4357;&#4450;&#4535;_r1_&#4352;&#4457;&#4540;&#4364;&#4453;&#4540;&#4364;&#4457;&#4370;&#4460;%20&#4366;&#4449;&#4368;&#4467;.xlsx" TargetMode="External"/><Relationship Id="rId1" Type="http://schemas.openxmlformats.org/officeDocument/2006/relationships/externalLinkPath" Target="/Users/kimjihwan/Desktop/KOEN/251123_SIF%20&#4359;&#4462;&#4523;&#4361;&#4453;&#4520;/260302_SIF%20&#4369;&#4467;&#4357;&#4457;&#4352;&#4467;&#4357;&#4450;&#4535;/260302_SIF%20&#4369;&#4467;&#4357;&#4457;&#4352;&#4467;&#4357;&#4450;&#4535;_r1_&#4352;&#4457;&#4540;&#4364;&#4453;&#4540;&#4364;&#4457;&#4370;&#4460;%20&#4366;&#4449;&#4368;&#44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③공정조회"/>
      <sheetName val="③기인물조회"/>
      <sheetName val="DB"/>
      <sheetName val="공종별 재해건수"/>
      <sheetName val="공정별-기인물"/>
      <sheetName val="공정별-기인물_분석"/>
      <sheetName val="기인물 재해건수"/>
      <sheetName val="기인물-재해형태"/>
      <sheetName val="기인물-재해형태 분석"/>
      <sheetName val="재해형태-기인물 분석"/>
      <sheetName val="_드롭다운참조"/>
    </sheetNames>
    <sheetDataSet>
      <sheetData sheetId="0">
        <row r="14">
          <cell r="U14" t="str">
            <v>11.4 맨홀 및 관부설작업</v>
          </cell>
          <cell r="V14">
            <v>106</v>
          </cell>
          <cell r="X14" t="str">
            <v>토사</v>
          </cell>
          <cell r="Y14">
            <v>47</v>
          </cell>
        </row>
        <row r="15">
          <cell r="U15" t="str">
            <v>11.1 부대 토목 작업</v>
          </cell>
          <cell r="X15" t="str">
            <v>굴착기</v>
          </cell>
        </row>
        <row r="16">
          <cell r="U16" t="str">
            <v>11.2 가설도로 작업</v>
          </cell>
          <cell r="X16" t="str">
            <v>트럭</v>
          </cell>
        </row>
        <row r="17">
          <cell r="U17" t="str">
            <v>11.3 지장물 조사 및 이설 작업</v>
          </cell>
          <cell r="X17" t="str">
            <v>기타구조물</v>
          </cell>
        </row>
        <row r="18">
          <cell r="U18" t="str">
            <v/>
          </cell>
          <cell r="X18" t="str">
            <v>물</v>
          </cell>
        </row>
        <row r="19">
          <cell r="U19" t="str">
            <v/>
          </cell>
          <cell r="X19" t="str">
            <v>배관</v>
          </cell>
        </row>
        <row r="20">
          <cell r="U20" t="str">
            <v/>
          </cell>
          <cell r="X20" t="str">
            <v>화학물질</v>
          </cell>
        </row>
        <row r="21">
          <cell r="U21" t="str">
            <v/>
          </cell>
          <cell r="X21" t="str">
            <v>기타자재(내부마감재,시멘트,마대)</v>
          </cell>
        </row>
        <row r="22">
          <cell r="U22" t="str">
            <v/>
          </cell>
          <cell r="X22" t="str">
            <v>벽체</v>
          </cell>
        </row>
        <row r="23">
          <cell r="U23" t="str">
            <v/>
          </cell>
          <cell r="X23" t="str">
            <v>수목</v>
          </cell>
        </row>
        <row r="24">
          <cell r="U24" t="str">
            <v/>
          </cell>
          <cell r="X24" t="str">
            <v>슬라브단부</v>
          </cell>
        </row>
        <row r="25">
          <cell r="U25" t="str">
            <v/>
          </cell>
          <cell r="X25" t="str">
            <v>각재(파이프,강관,합판)</v>
          </cell>
        </row>
        <row r="26">
          <cell r="U26" t="str">
            <v/>
          </cell>
          <cell r="X26" t="str">
            <v>암석</v>
          </cell>
        </row>
        <row r="27">
          <cell r="U27" t="str">
            <v/>
          </cell>
          <cell r="X27" t="str">
            <v>로울러</v>
          </cell>
        </row>
        <row r="28">
          <cell r="U28" t="str">
            <v/>
          </cell>
          <cell r="X28" t="str">
            <v>철근콘크리트자재(철근,콘크리트,PC)</v>
          </cell>
        </row>
        <row r="29">
          <cell r="U29" t="str">
            <v/>
          </cell>
          <cell r="X29" t="str">
            <v>절단기/톱</v>
          </cell>
        </row>
        <row r="30">
          <cell r="U30" t="str">
            <v/>
          </cell>
          <cell r="X30" t="str">
            <v>전주</v>
          </cell>
        </row>
        <row r="31">
          <cell r="U31" t="str">
            <v/>
          </cell>
          <cell r="X31" t="str">
            <v>충전부</v>
          </cell>
        </row>
        <row r="32">
          <cell r="U32" t="str">
            <v/>
          </cell>
          <cell r="X32" t="str">
            <v>콘크리트펌프카</v>
          </cell>
        </row>
        <row r="33">
          <cell r="U33" t="str">
            <v/>
          </cell>
          <cell r="X33" t="str">
            <v>이동식크레인</v>
          </cell>
        </row>
        <row r="34">
          <cell r="U34" t="str">
            <v/>
          </cell>
          <cell r="X34" t="str">
            <v>기타건설장비</v>
          </cell>
        </row>
        <row r="35">
          <cell r="U35" t="str">
            <v/>
          </cell>
          <cell r="X35" t="str">
            <v>교통수단</v>
          </cell>
        </row>
        <row r="36">
          <cell r="U36" t="str">
            <v/>
          </cell>
          <cell r="X36" t="str">
            <v>바닥(바닥에 걸려 넘어짐)</v>
          </cell>
        </row>
        <row r="37">
          <cell r="U37" t="str">
            <v/>
          </cell>
          <cell r="X37" t="str">
            <v>원인미상</v>
          </cell>
        </row>
        <row r="38">
          <cell r="U38" t="str">
            <v/>
          </cell>
          <cell r="X38" t="str">
            <v>분류불능</v>
          </cell>
        </row>
        <row r="39">
          <cell r="U39" t="str">
            <v/>
          </cell>
          <cell r="X39" t="str">
            <v>비계</v>
          </cell>
        </row>
        <row r="40">
          <cell r="U40" t="str">
            <v/>
          </cell>
          <cell r="X40" t="str">
            <v>작업발판/가설계단</v>
          </cell>
        </row>
        <row r="41">
          <cell r="U41" t="str">
            <v/>
          </cell>
          <cell r="X41" t="str">
            <v>흙막이가시설</v>
          </cell>
        </row>
        <row r="42">
          <cell r="U42" t="str">
            <v/>
          </cell>
          <cell r="X42" t="str">
            <v/>
          </cell>
        </row>
        <row r="43">
          <cell r="U43" t="str">
            <v/>
          </cell>
          <cell r="X43" t="str">
            <v/>
          </cell>
        </row>
        <row r="44">
          <cell r="U44" t="str">
            <v/>
          </cell>
          <cell r="X44" t="str">
            <v/>
          </cell>
        </row>
        <row r="45">
          <cell r="U45" t="str">
            <v/>
          </cell>
          <cell r="X45" t="str">
            <v/>
          </cell>
        </row>
        <row r="46">
          <cell r="U46" t="str">
            <v/>
          </cell>
          <cell r="X46" t="str">
            <v/>
          </cell>
        </row>
        <row r="47">
          <cell r="U47" t="str">
            <v/>
          </cell>
          <cell r="X47" t="str">
            <v/>
          </cell>
        </row>
        <row r="48">
          <cell r="U48" t="str">
            <v/>
          </cell>
          <cell r="X48" t="str">
            <v/>
          </cell>
        </row>
        <row r="49">
          <cell r="U49" t="str">
            <v/>
          </cell>
          <cell r="X49" t="str">
            <v/>
          </cell>
        </row>
        <row r="50">
          <cell r="U50" t="str">
            <v/>
          </cell>
          <cell r="X50" t="str">
            <v/>
          </cell>
        </row>
        <row r="51">
          <cell r="U51" t="str">
            <v/>
          </cell>
          <cell r="X51" t="str">
            <v/>
          </cell>
        </row>
        <row r="52">
          <cell r="U52" t="str">
            <v/>
          </cell>
          <cell r="X52" t="str">
            <v/>
          </cell>
        </row>
        <row r="53">
          <cell r="U53" t="str">
            <v/>
          </cell>
          <cell r="X53" t="str">
            <v/>
          </cell>
        </row>
        <row r="54">
          <cell r="U54" t="str">
            <v/>
          </cell>
          <cell r="X54" t="str">
            <v/>
          </cell>
        </row>
        <row r="55">
          <cell r="U55" t="str">
            <v/>
          </cell>
          <cell r="X55" t="str">
            <v/>
          </cell>
        </row>
        <row r="56">
          <cell r="U56" t="str">
            <v/>
          </cell>
          <cell r="X56" t="str">
            <v/>
          </cell>
        </row>
        <row r="57">
          <cell r="U57" t="str">
            <v/>
          </cell>
          <cell r="X57" t="str">
            <v/>
          </cell>
        </row>
        <row r="58">
          <cell r="U58" t="str">
            <v/>
          </cell>
          <cell r="X58" t="str">
            <v/>
          </cell>
        </row>
        <row r="59">
          <cell r="U59" t="str">
            <v/>
          </cell>
          <cell r="X59" t="str">
            <v/>
          </cell>
        </row>
        <row r="60">
          <cell r="U60" t="str">
            <v/>
          </cell>
          <cell r="X60" t="str">
            <v/>
          </cell>
        </row>
        <row r="61">
          <cell r="U61" t="str">
            <v/>
          </cell>
          <cell r="X61" t="str">
            <v/>
          </cell>
        </row>
        <row r="62">
          <cell r="U62" t="str">
            <v/>
          </cell>
          <cell r="X62" t="str">
            <v/>
          </cell>
        </row>
        <row r="63">
          <cell r="U63" t="str">
            <v/>
          </cell>
          <cell r="X63" t="str">
            <v/>
          </cell>
        </row>
      </sheetData>
      <sheetData sheetId="1"/>
      <sheetData sheetId="2"/>
      <sheetData sheetId="3"/>
      <sheetData sheetId="4"/>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BD2630-1B6C-B545-99AD-9EC1CAFAF236}" name="위험성평가_입력" displayName="위험성평가_입력" ref="AB7:AR307" totalsRowShown="0" headerRowDxfId="56" dataDxfId="54" headerRowBorderDxfId="55" tableBorderDxfId="53" totalsRowBorderDxfId="52">
  <autoFilter ref="AB7:AR307" xr:uid="{A5BD2630-1B6C-B545-99AD-9EC1CAFAF236}"/>
  <tableColumns count="17">
    <tableColumn id="1" xr3:uid="{159F2FE3-F1B6-7A48-83F5-C8D9A1FA4153}" name="공정번호" dataDxfId="51"/>
    <tableColumn id="2" xr3:uid="{0587DA96-2735-B44A-8B06-72810FACC196}" name="작업(공정)단계" dataDxfId="50"/>
    <tableColumn id="3" xr3:uid="{92CC187C-36FE-D642-8814-BE4A56513071}" name="유해위험요인" dataDxfId="49"/>
    <tableColumn id="4" xr3:uid="{152DDE48-8478-2F4C-AAB7-2BFBF51CACD4}" name="안전조치사항" dataDxfId="48"/>
    <tableColumn id="9" xr3:uid="{5955D932-9307-C84D-A9AA-6B6A2E00B8BC}" name="가능성(전)" dataDxfId="47"/>
    <tableColumn id="11" xr3:uid="{F15781DC-F9A3-C840-87FD-90552F5DA992}" name="중대성(전)" dataDxfId="46"/>
    <tableColumn id="10" xr3:uid="{2086C4A0-AA5A-EF46-BE6E-777781524B94}" name="위험도(전)" dataDxfId="45">
      <calculatedColumnFormula>IF(AND(AF8&lt;&gt;"",AG8&lt;&gt;""),AF8*AG8,"")</calculatedColumnFormula>
    </tableColumn>
    <tableColumn id="5" xr3:uid="{1DB6E532-8884-EB47-8EDA-75F23E433C44}" name="가능성_x000a_(빈도)" dataDxfId="44"/>
    <tableColumn id="6" xr3:uid="{F8B7CE7F-F6E7-C64C-AF5A-D25DDA90E839}" name="중대성_x000a_(강도)" dataDxfId="43"/>
    <tableColumn id="7" xr3:uid="{1FA63CC6-5CE7-4E4C-86CC-8DFF1C44A0CC}" name="위험성" dataDxfId="42">
      <calculatedColumnFormula>IF(AND(AI8&lt;&gt;"",AJ8&lt;&gt;""),AI8*AJ8,"")</calculatedColumnFormula>
    </tableColumn>
    <tableColumn id="15" xr3:uid="{4961E4F9-4CE0-204D-8FCD-081281E9C0D6}" name="작업공정" dataDxfId="41"/>
    <tableColumn id="16" xr3:uid="{3C8AB23E-E86C-9540-8890-7663C6229C55}" name="위험요인 수" dataDxfId="40"/>
    <tableColumn id="17" xr3:uid="{AB712270-C36E-F348-AE0C-0F40F37B035D}" name="고위험 건수_x000a_(위험도≥9)" dataDxfId="39"/>
    <tableColumn id="18" xr3:uid="{6C4E5BF8-ED1B-EA48-838F-8038A7A26B86}" name="평균위험도_x000a_(개선전)" dataDxfId="38"/>
    <tableColumn id="19" xr3:uid="{50000017-ACF4-8141-A083-BF0EB3448883}" name="평균위험도_x000a_(개선후)" dataDxfId="37"/>
    <tableColumn id="20" xr3:uid="{C206F506-DA2E-0E4A-881B-B36226CC6694}" name="위험도_x000a_감소율" dataDxfId="36"/>
    <tableColumn id="21" xr3:uid="{1865D594-DBFE-734C-976B-BF2831FFA851}" name="위험성 분류" dataDxfId="3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FF7313-44B7-E24C-987B-7A2A0C5FB5BF}" name="표3" displayName="표3" ref="H20:J50" totalsRowShown="0" dataDxfId="33" headerRowBorderDxfId="34" tableBorderDxfId="32">
  <autoFilter ref="H20:J50" xr:uid="{BFFF7313-44B7-E24C-987B-7A2A0C5FB5BF}"/>
  <tableColumns count="3">
    <tableColumn id="1" xr3:uid="{7F4002E3-BE0E-7E44-976D-503167C9288C}" name="순번" dataDxfId="31"/>
    <tableColumn id="2" xr3:uid="{51FA09CA-B5A6-9C4E-9CBD-89F14304EBE5}" name="소 속" dataDxfId="30"/>
    <tableColumn id="3" xr3:uid="{D2D36D63-D1BE-4B4C-8A0F-19463A38E55B}" name="성 명" dataDxfId="2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E58E23-1CC6-0A40-BEF5-CEDABE4AABAC}" name="표2" displayName="표2" ref="U7:X14" totalsRowShown="0" headerRowDxfId="28" dataDxfId="27">
  <autoFilter ref="U7:X14" xr:uid="{D3E58E23-1CC6-0A40-BEF5-CEDABE4AABAC}"/>
  <tableColumns count="4">
    <tableColumn id="1" xr3:uid="{5F04E54E-3E95-0148-9D5F-1498F6CE51E3}" name="관리번호" dataDxfId="26"/>
    <tableColumn id="2" xr3:uid="{756232CD-248B-8046-944A-75BEE3E64BD5}" name="작업단계 (공정)" dataDxfId="25"/>
    <tableColumn id="3" xr3:uid="{8E3857EE-901D-CD41-8534-133EFAE1EB8A}" name="작업내용" dataDxfId="24"/>
    <tableColumn id="4" xr3:uid="{00474DDC-4DB9-D444-8472-D78255A075B1}" name="기인물" dataDxfId="23"/>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AADBFA-3F30-F948-BD57-85B40715DA91}" name="표5" displayName="표5" ref="H7:M17" totalsRowShown="0" headerRowDxfId="22">
  <autoFilter ref="H7:M17" xr:uid="{11AADBFA-3F30-F948-BD57-85B40715DA91}"/>
  <tableColumns count="6">
    <tableColumn id="1" xr3:uid="{4E483F80-651E-A04E-A3DF-7BA7876589E3}" name="순" dataDxfId="21"/>
    <tableColumn id="2" xr3:uid="{1E8BBDF6-834C-3741-90B7-ADECB69A9EFC}" name="구분" dataDxfId="20"/>
    <tableColumn id="3" xr3:uid="{D2E4858E-7CBC-5243-80A2-EB99E0709293}" name="결과" dataDxfId="19">
      <calculatedColumnFormula>IF(OR(K8="해당",L8="해당"),"해당","미해당")</calculatedColumnFormula>
    </tableColumn>
    <tableColumn id="4" xr3:uid="{B7147EDD-B74C-1748-8D15-D77203671993}" name="수동" dataDxfId="18"/>
    <tableColumn id="5" xr3:uid="{93EAD41F-FCE6-174A-872A-87EE915069C3}" name="자동" dataDxfId="17"/>
    <tableColumn id="6" xr3:uid="{DCDA555A-277F-C149-8432-ABDE9C958F50}" name="비고"/>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11BCE4-7777-FA41-AADD-B30F531D1A9D}" name="표7" displayName="표7" ref="A3:G303" totalsRowShown="0" headerRowDxfId="16" dataDxfId="15" tableBorderDxfId="14">
  <autoFilter ref="A3:G303" xr:uid="{D811BCE4-7777-FA41-AADD-B30F531D1A9D}"/>
  <tableColumns count="7">
    <tableColumn id="1" xr3:uid="{57F00C92-066D-CC48-8C3A-65E166B0F38A}" name="관리 번호" dataDxfId="13">
      <calculatedColumnFormula>IF('Dashboard 입력'!AB8="","",'Dashboard 입력'!AB8)</calculatedColumnFormula>
    </tableColumn>
    <tableColumn id="2" xr3:uid="{3FC0B718-0791-C942-A114-1831B2692251}" name="작업(공정)단계" dataDxfId="12">
      <calculatedColumnFormula>IF('Dashboard 입력'!AC8="","",'Dashboard 입력'!AC8)</calculatedColumnFormula>
    </tableColumn>
    <tableColumn id="3" xr3:uid="{DA29D8E1-BB98-914E-8A9C-3D507E918F4E}" name="유해위험 요인" dataDxfId="11">
      <calculatedColumnFormula>IF('Dashboard 입력'!AD8="","",'Dashboard 입력'!AD8)</calculatedColumnFormula>
    </tableColumn>
    <tableColumn id="4" xr3:uid="{C3EA1BDE-3245-F544-BB97-EEADA160E076}" name="안전조치사항" dataDxfId="10">
      <calculatedColumnFormula>IF('Dashboard 입력'!AE8="","",'Dashboard 입력'!AE8)</calculatedColumnFormula>
    </tableColumn>
    <tableColumn id="5" xr3:uid="{4D3308FC-BEF0-8E45-84F3-2567D2FA70D8}" name="가능성_x000a_(빈도)" dataDxfId="9">
      <calculatedColumnFormula>IF('Dashboard 입력'!AI8="", "", 'Dashboard 입력'!AI8 &amp; " (" &amp; 'Dashboard 입력'!AF8 &amp; ")")</calculatedColumnFormula>
    </tableColumn>
    <tableColumn id="6" xr3:uid="{08828C9C-9106-0F44-A6FB-2B6B63788A63}" name="중대성_x000a_(강도)" dataDxfId="8">
      <calculatedColumnFormula>IF('Dashboard 입력'!AJ8="", "", 'Dashboard 입력'!AJ8 &amp; " (" &amp; 'Dashboard 입력'!AG8 &amp; ")")</calculatedColumnFormula>
    </tableColumn>
    <tableColumn id="7" xr3:uid="{17FDC252-8F95-514F-95FB-6B723B859BD0}" name="위험성" dataDxfId="7">
      <calculatedColumnFormula>IF(위험성평가_입력[[#This Row],[위험성]]="","", 위험성평가_입력[[#This Row],[위험성]] &amp; " (" &amp; 위험성평가_입력[[#This Row],[위험도(전)]] &amp; ")")</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511207-2C48-2C46-8EAF-235CEC337C6B}">
  <we:reference id="wa200009404" version="1.0.0.8" store="en-US" storeType="OMEX"/>
  <we:alternateReferences>
    <we:reference id="wa200009404" version="1.0.0.8" store="" storeType="OMEX"/>
  </we:alternateReferences>
  <we:properties>
    <we:property name="Office.AutoShowTaskpaneWithDocument" value="true"/>
    <we:property name="claude.fileId" value="&quot;6540d33b-f18d-4946-a6d1-1eb6007cf3c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koenergy.kr/safety3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CA933-BA82-934D-82C9-263D46405B00}">
  <sheetPr filterMode="1"/>
  <dimension ref="A1:R2575"/>
  <sheetViews>
    <sheetView topLeftCell="F566" zoomScale="86" workbookViewId="0">
      <selection activeCell="J767" sqref="J767"/>
    </sheetView>
  </sheetViews>
  <sheetFormatPr baseColWidth="10" defaultRowHeight="18"/>
  <cols>
    <col min="1" max="1" width="15.19921875" style="28" bestFit="1" customWidth="1"/>
    <col min="2" max="2" width="26.3984375" style="28" bestFit="1" customWidth="1"/>
    <col min="3" max="3" width="51.19921875" style="28" bestFit="1" customWidth="1"/>
    <col min="4" max="5" width="37" style="28" customWidth="1"/>
    <col min="6" max="7" width="11" style="28"/>
    <col min="8" max="8" width="38.796875" style="28" bestFit="1" customWidth="1"/>
    <col min="9" max="10" width="15.19921875" style="28" bestFit="1" customWidth="1"/>
    <col min="11" max="11" width="11" style="28"/>
    <col min="12" max="12" width="16" style="28" bestFit="1" customWidth="1"/>
    <col min="13" max="13" width="15.19921875" style="28" bestFit="1" customWidth="1"/>
    <col min="14" max="15" width="11" style="28"/>
    <col min="16" max="16" width="66" style="28" customWidth="1"/>
    <col min="17" max="17" width="48" style="28" customWidth="1"/>
    <col min="18" max="16384" width="11" style="28"/>
  </cols>
  <sheetData>
    <row r="1" spans="1:18">
      <c r="A1" s="25" t="s">
        <v>152</v>
      </c>
      <c r="B1" s="25" t="s">
        <v>153</v>
      </c>
      <c r="C1" s="25" t="s">
        <v>39</v>
      </c>
      <c r="D1" s="25" t="s">
        <v>154</v>
      </c>
      <c r="E1" s="25" t="s">
        <v>155</v>
      </c>
      <c r="F1" s="26" t="s">
        <v>156</v>
      </c>
      <c r="G1" s="25" t="s">
        <v>157</v>
      </c>
      <c r="H1" s="25" t="s">
        <v>158</v>
      </c>
      <c r="I1" s="25" t="s">
        <v>159</v>
      </c>
      <c r="J1" s="25" t="s">
        <v>160</v>
      </c>
      <c r="K1" s="26" t="s">
        <v>161</v>
      </c>
      <c r="L1" s="27" t="s">
        <v>162</v>
      </c>
      <c r="M1" s="27" t="s">
        <v>163</v>
      </c>
      <c r="N1" s="27" t="s">
        <v>164</v>
      </c>
      <c r="O1" s="25" t="s">
        <v>165</v>
      </c>
      <c r="P1" s="25" t="s">
        <v>166</v>
      </c>
      <c r="Q1" s="25" t="s">
        <v>167</v>
      </c>
      <c r="R1" s="25" t="s">
        <v>168</v>
      </c>
    </row>
    <row r="2" spans="1:18" hidden="1">
      <c r="A2" s="28">
        <v>11</v>
      </c>
      <c r="B2" s="29" t="s">
        <v>169</v>
      </c>
      <c r="C2" s="29" t="s">
        <v>170</v>
      </c>
      <c r="D2" s="29" t="s">
        <v>171</v>
      </c>
      <c r="E2" s="29" t="s">
        <v>172</v>
      </c>
      <c r="F2" s="28" t="s">
        <v>173</v>
      </c>
      <c r="G2" s="28" t="s">
        <v>173</v>
      </c>
      <c r="H2" s="28" t="s">
        <v>174</v>
      </c>
      <c r="I2" s="28" t="s">
        <v>174</v>
      </c>
      <c r="J2" s="30" t="s">
        <v>174</v>
      </c>
      <c r="K2" s="28" t="s">
        <v>175</v>
      </c>
      <c r="L2" s="31">
        <v>42339</v>
      </c>
      <c r="M2" s="28">
        <v>12</v>
      </c>
      <c r="N2" s="32" t="s">
        <v>176</v>
      </c>
      <c r="O2" s="28" t="s">
        <v>177</v>
      </c>
      <c r="P2" s="28" t="s">
        <v>178</v>
      </c>
      <c r="Q2" s="28" t="s">
        <v>179</v>
      </c>
      <c r="R2" s="28" t="s">
        <v>180</v>
      </c>
    </row>
    <row r="3" spans="1:18" hidden="1">
      <c r="A3" s="28">
        <v>11</v>
      </c>
      <c r="B3" s="29" t="s">
        <v>169</v>
      </c>
      <c r="C3" s="29" t="s">
        <v>181</v>
      </c>
      <c r="D3" s="29" t="s">
        <v>182</v>
      </c>
      <c r="E3" s="29" t="s">
        <v>172</v>
      </c>
      <c r="F3" s="28" t="s">
        <v>173</v>
      </c>
      <c r="G3" s="28" t="s">
        <v>173</v>
      </c>
      <c r="H3" s="28" t="s">
        <v>174</v>
      </c>
      <c r="I3" s="28" t="s">
        <v>174</v>
      </c>
      <c r="J3" s="30" t="s">
        <v>174</v>
      </c>
      <c r="K3" s="28" t="s">
        <v>183</v>
      </c>
      <c r="L3" s="31">
        <v>43983</v>
      </c>
      <c r="M3" s="28">
        <v>6</v>
      </c>
      <c r="N3" s="32" t="s">
        <v>184</v>
      </c>
      <c r="O3" s="28" t="s">
        <v>185</v>
      </c>
      <c r="P3" s="28" t="s">
        <v>186</v>
      </c>
      <c r="Q3" s="28" t="s">
        <v>187</v>
      </c>
      <c r="R3" s="28" t="s">
        <v>188</v>
      </c>
    </row>
    <row r="4" spans="1:18" hidden="1">
      <c r="A4" s="28">
        <v>11</v>
      </c>
      <c r="B4" s="29" t="s">
        <v>169</v>
      </c>
      <c r="C4" s="29" t="s">
        <v>181</v>
      </c>
      <c r="D4" s="29" t="s">
        <v>189</v>
      </c>
      <c r="E4" s="29" t="s">
        <v>172</v>
      </c>
      <c r="F4" s="28" t="s">
        <v>173</v>
      </c>
      <c r="G4" s="28" t="s">
        <v>173</v>
      </c>
      <c r="H4" s="28" t="s">
        <v>174</v>
      </c>
      <c r="I4" s="28" t="s">
        <v>174</v>
      </c>
      <c r="J4" s="30" t="s">
        <v>174</v>
      </c>
      <c r="K4" s="28" t="s">
        <v>190</v>
      </c>
      <c r="L4" s="31">
        <v>44287</v>
      </c>
      <c r="M4" s="28">
        <v>4</v>
      </c>
      <c r="N4" s="32" t="s">
        <v>191</v>
      </c>
      <c r="O4" s="28" t="s">
        <v>177</v>
      </c>
      <c r="P4" s="28" t="s">
        <v>192</v>
      </c>
      <c r="Q4" s="28" t="s">
        <v>193</v>
      </c>
      <c r="R4" s="28" t="s">
        <v>194</v>
      </c>
    </row>
    <row r="5" spans="1:18" hidden="1">
      <c r="A5" s="28">
        <v>12</v>
      </c>
      <c r="B5" s="29" t="s">
        <v>195</v>
      </c>
      <c r="C5" s="29" t="s">
        <v>196</v>
      </c>
      <c r="D5" s="29" t="s">
        <v>197</v>
      </c>
      <c r="E5" s="29" t="s">
        <v>172</v>
      </c>
      <c r="F5" s="28" t="s">
        <v>173</v>
      </c>
      <c r="G5" s="28" t="s">
        <v>173</v>
      </c>
      <c r="H5" s="28" t="s">
        <v>174</v>
      </c>
      <c r="I5" s="28" t="s">
        <v>174</v>
      </c>
      <c r="J5" s="30" t="s">
        <v>174</v>
      </c>
      <c r="K5" s="28" t="s">
        <v>198</v>
      </c>
      <c r="L5" s="31">
        <v>42767</v>
      </c>
      <c r="M5" s="28">
        <v>2</v>
      </c>
      <c r="N5" s="32" t="s">
        <v>176</v>
      </c>
      <c r="O5" s="28" t="s">
        <v>185</v>
      </c>
      <c r="P5" s="28" t="s">
        <v>199</v>
      </c>
      <c r="Q5" s="28" t="s">
        <v>200</v>
      </c>
      <c r="R5" s="28" t="s">
        <v>201</v>
      </c>
    </row>
    <row r="6" spans="1:18" hidden="1">
      <c r="A6" s="28">
        <v>12</v>
      </c>
      <c r="B6" s="29" t="s">
        <v>195</v>
      </c>
      <c r="C6" s="29" t="s">
        <v>202</v>
      </c>
      <c r="D6" s="29" t="s">
        <v>203</v>
      </c>
      <c r="E6" s="29" t="s">
        <v>172</v>
      </c>
      <c r="F6" s="28" t="s">
        <v>173</v>
      </c>
      <c r="G6" s="28" t="s">
        <v>173</v>
      </c>
      <c r="H6" s="28" t="s">
        <v>174</v>
      </c>
      <c r="I6" s="28" t="s">
        <v>174</v>
      </c>
      <c r="J6" s="30" t="s">
        <v>174</v>
      </c>
      <c r="K6" s="28" t="s">
        <v>198</v>
      </c>
      <c r="L6" s="31">
        <v>42767</v>
      </c>
      <c r="M6" s="28">
        <v>2</v>
      </c>
      <c r="N6" s="32" t="s">
        <v>176</v>
      </c>
      <c r="O6" s="28" t="s">
        <v>204</v>
      </c>
      <c r="P6" s="28" t="s">
        <v>205</v>
      </c>
      <c r="Q6" s="28" t="s">
        <v>206</v>
      </c>
      <c r="R6" s="28" t="s">
        <v>207</v>
      </c>
    </row>
    <row r="7" spans="1:18" hidden="1">
      <c r="A7" s="28">
        <v>12</v>
      </c>
      <c r="B7" s="29" t="s">
        <v>195</v>
      </c>
      <c r="C7" s="29" t="s">
        <v>202</v>
      </c>
      <c r="D7" s="29" t="s">
        <v>203</v>
      </c>
      <c r="E7" s="29" t="s">
        <v>172</v>
      </c>
      <c r="F7" s="28" t="s">
        <v>173</v>
      </c>
      <c r="G7" s="28" t="s">
        <v>173</v>
      </c>
      <c r="H7" s="28" t="s">
        <v>174</v>
      </c>
      <c r="I7" s="28" t="s">
        <v>174</v>
      </c>
      <c r="J7" s="30" t="s">
        <v>174</v>
      </c>
      <c r="K7" s="28" t="s">
        <v>208</v>
      </c>
      <c r="L7" s="31">
        <v>43101</v>
      </c>
      <c r="M7" s="28">
        <v>1</v>
      </c>
      <c r="N7" s="32" t="s">
        <v>176</v>
      </c>
      <c r="O7" s="28" t="s">
        <v>204</v>
      </c>
      <c r="P7" s="28" t="s">
        <v>209</v>
      </c>
      <c r="Q7" s="28" t="s">
        <v>210</v>
      </c>
      <c r="R7" s="28" t="s">
        <v>211</v>
      </c>
    </row>
    <row r="8" spans="1:18" hidden="1">
      <c r="A8" s="28">
        <v>12</v>
      </c>
      <c r="B8" s="29" t="s">
        <v>195</v>
      </c>
      <c r="C8" s="29" t="s">
        <v>202</v>
      </c>
      <c r="D8" s="29" t="s">
        <v>203</v>
      </c>
      <c r="E8" s="29" t="s">
        <v>172</v>
      </c>
      <c r="F8" s="28" t="s">
        <v>173</v>
      </c>
      <c r="G8" s="28" t="s">
        <v>173</v>
      </c>
      <c r="H8" s="28" t="s">
        <v>174</v>
      </c>
      <c r="I8" s="28" t="s">
        <v>174</v>
      </c>
      <c r="J8" s="30" t="s">
        <v>174</v>
      </c>
      <c r="K8" s="28" t="s">
        <v>212</v>
      </c>
      <c r="L8" s="31">
        <v>43313</v>
      </c>
      <c r="M8" s="28">
        <v>8</v>
      </c>
      <c r="N8" s="32" t="s">
        <v>184</v>
      </c>
      <c r="O8" s="28" t="s">
        <v>204</v>
      </c>
      <c r="P8" s="28" t="s">
        <v>213</v>
      </c>
      <c r="Q8" s="28" t="s">
        <v>206</v>
      </c>
      <c r="R8" s="28" t="s">
        <v>207</v>
      </c>
    </row>
    <row r="9" spans="1:18" hidden="1">
      <c r="A9" s="28">
        <v>12</v>
      </c>
      <c r="B9" s="29" t="s">
        <v>195</v>
      </c>
      <c r="C9" s="29" t="s">
        <v>202</v>
      </c>
      <c r="D9" s="29" t="s">
        <v>203</v>
      </c>
      <c r="E9" s="29" t="s">
        <v>172</v>
      </c>
      <c r="F9" s="28" t="s">
        <v>173</v>
      </c>
      <c r="G9" s="28" t="s">
        <v>173</v>
      </c>
      <c r="H9" s="28" t="s">
        <v>174</v>
      </c>
      <c r="I9" s="28" t="s">
        <v>174</v>
      </c>
      <c r="J9" s="30" t="s">
        <v>174</v>
      </c>
      <c r="K9" s="28" t="s">
        <v>214</v>
      </c>
      <c r="L9" s="31">
        <v>43466</v>
      </c>
      <c r="M9" s="28">
        <v>1</v>
      </c>
      <c r="N9" s="32" t="s">
        <v>176</v>
      </c>
      <c r="O9" s="28" t="s">
        <v>177</v>
      </c>
      <c r="P9" s="28" t="s">
        <v>215</v>
      </c>
      <c r="Q9" s="28" t="s">
        <v>216</v>
      </c>
      <c r="R9" s="28" t="s">
        <v>217</v>
      </c>
    </row>
    <row r="10" spans="1:18" hidden="1">
      <c r="A10" s="28">
        <v>12</v>
      </c>
      <c r="B10" s="29" t="s">
        <v>195</v>
      </c>
      <c r="C10" s="29" t="s">
        <v>202</v>
      </c>
      <c r="D10" s="29" t="s">
        <v>203</v>
      </c>
      <c r="E10" s="29" t="s">
        <v>172</v>
      </c>
      <c r="F10" s="28" t="s">
        <v>173</v>
      </c>
      <c r="G10" s="28" t="s">
        <v>173</v>
      </c>
      <c r="H10" s="28" t="s">
        <v>174</v>
      </c>
      <c r="I10" s="28" t="s">
        <v>174</v>
      </c>
      <c r="J10" s="30" t="s">
        <v>174</v>
      </c>
      <c r="K10" s="28" t="s">
        <v>218</v>
      </c>
      <c r="L10" s="31">
        <v>44044</v>
      </c>
      <c r="M10" s="28">
        <v>8</v>
      </c>
      <c r="N10" s="32" t="s">
        <v>184</v>
      </c>
      <c r="O10" s="28" t="s">
        <v>177</v>
      </c>
      <c r="P10" s="28" t="s">
        <v>219</v>
      </c>
      <c r="Q10" s="28" t="s">
        <v>216</v>
      </c>
      <c r="R10" s="28" t="s">
        <v>217</v>
      </c>
    </row>
    <row r="11" spans="1:18" hidden="1">
      <c r="A11" s="28">
        <v>12</v>
      </c>
      <c r="B11" s="29" t="s">
        <v>195</v>
      </c>
      <c r="C11" s="29" t="s">
        <v>202</v>
      </c>
      <c r="D11" s="29" t="s">
        <v>203</v>
      </c>
      <c r="E11" s="29" t="s">
        <v>172</v>
      </c>
      <c r="F11" s="28" t="s">
        <v>173</v>
      </c>
      <c r="G11" s="28" t="s">
        <v>173</v>
      </c>
      <c r="H11" s="28" t="s">
        <v>174</v>
      </c>
      <c r="I11" s="28" t="s">
        <v>174</v>
      </c>
      <c r="J11" s="30" t="s">
        <v>174</v>
      </c>
      <c r="K11" s="28" t="s">
        <v>220</v>
      </c>
      <c r="L11" s="31" t="s">
        <v>221</v>
      </c>
      <c r="M11" s="28" t="e">
        <v>#VALUE!</v>
      </c>
      <c r="N11" s="32" t="e">
        <v>#VALUE!</v>
      </c>
      <c r="O11" s="28" t="s">
        <v>177</v>
      </c>
      <c r="P11" s="28" t="s">
        <v>222</v>
      </c>
      <c r="Q11" s="28" t="s">
        <v>223</v>
      </c>
      <c r="R11" s="28" t="s">
        <v>224</v>
      </c>
    </row>
    <row r="12" spans="1:18" hidden="1">
      <c r="A12" s="28">
        <v>12</v>
      </c>
      <c r="B12" s="29" t="s">
        <v>195</v>
      </c>
      <c r="C12" s="29" t="s">
        <v>225</v>
      </c>
      <c r="D12" s="29" t="s">
        <v>226</v>
      </c>
      <c r="E12" s="29" t="s">
        <v>172</v>
      </c>
      <c r="F12" s="28" t="s">
        <v>173</v>
      </c>
      <c r="G12" s="28" t="s">
        <v>173</v>
      </c>
      <c r="H12" s="28" t="s">
        <v>174</v>
      </c>
      <c r="I12" s="28" t="s">
        <v>174</v>
      </c>
      <c r="J12" s="30" t="s">
        <v>174</v>
      </c>
      <c r="K12" s="28" t="s">
        <v>212</v>
      </c>
      <c r="L12" s="31">
        <v>43313</v>
      </c>
      <c r="M12" s="28">
        <v>8</v>
      </c>
      <c r="N12" s="32" t="s">
        <v>184</v>
      </c>
      <c r="O12" s="28" t="s">
        <v>177</v>
      </c>
      <c r="P12" s="28" t="s">
        <v>227</v>
      </c>
      <c r="Q12" s="28" t="s">
        <v>228</v>
      </c>
      <c r="R12" s="28" t="s">
        <v>229</v>
      </c>
    </row>
    <row r="13" spans="1:18" hidden="1">
      <c r="A13" s="28">
        <v>12</v>
      </c>
      <c r="B13" s="29" t="s">
        <v>195</v>
      </c>
      <c r="C13" s="29" t="s">
        <v>230</v>
      </c>
      <c r="D13" s="29" t="s">
        <v>231</v>
      </c>
      <c r="E13" s="29" t="s">
        <v>172</v>
      </c>
      <c r="F13" s="28" t="s">
        <v>173</v>
      </c>
      <c r="G13" s="28" t="s">
        <v>173</v>
      </c>
      <c r="H13" s="28" t="s">
        <v>174</v>
      </c>
      <c r="I13" s="28" t="s">
        <v>174</v>
      </c>
      <c r="J13" s="30" t="s">
        <v>174</v>
      </c>
      <c r="K13" s="28" t="s">
        <v>232</v>
      </c>
      <c r="L13" s="31">
        <v>42522</v>
      </c>
      <c r="M13" s="28">
        <v>6</v>
      </c>
      <c r="N13" s="32" t="s">
        <v>184</v>
      </c>
      <c r="O13" s="28" t="s">
        <v>177</v>
      </c>
      <c r="P13" s="28" t="s">
        <v>233</v>
      </c>
      <c r="Q13" s="28" t="s">
        <v>234</v>
      </c>
      <c r="R13" s="28" t="s">
        <v>235</v>
      </c>
    </row>
    <row r="14" spans="1:18" hidden="1">
      <c r="A14" s="28">
        <v>12</v>
      </c>
      <c r="B14" s="29" t="s">
        <v>195</v>
      </c>
      <c r="C14" s="29" t="s">
        <v>230</v>
      </c>
      <c r="D14" s="29" t="s">
        <v>231</v>
      </c>
      <c r="E14" s="29" t="s">
        <v>172</v>
      </c>
      <c r="F14" s="28" t="s">
        <v>173</v>
      </c>
      <c r="G14" s="28" t="s">
        <v>173</v>
      </c>
      <c r="H14" s="28" t="s">
        <v>174</v>
      </c>
      <c r="I14" s="28" t="s">
        <v>174</v>
      </c>
      <c r="J14" s="30" t="s">
        <v>174</v>
      </c>
      <c r="K14" s="28" t="s">
        <v>236</v>
      </c>
      <c r="L14" s="31">
        <v>43617</v>
      </c>
      <c r="M14" s="28">
        <v>6</v>
      </c>
      <c r="N14" s="32" t="s">
        <v>184</v>
      </c>
      <c r="O14" s="28" t="s">
        <v>204</v>
      </c>
      <c r="P14" s="28" t="s">
        <v>237</v>
      </c>
      <c r="Q14" s="28" t="s">
        <v>238</v>
      </c>
      <c r="R14" s="28" t="s">
        <v>239</v>
      </c>
    </row>
    <row r="15" spans="1:18" hidden="1">
      <c r="A15" s="28">
        <v>2</v>
      </c>
      <c r="B15" s="29" t="s">
        <v>240</v>
      </c>
      <c r="C15" s="29" t="s">
        <v>241</v>
      </c>
      <c r="D15" s="29" t="s">
        <v>242</v>
      </c>
      <c r="E15" s="29" t="s">
        <v>172</v>
      </c>
      <c r="F15" s="28" t="s">
        <v>173</v>
      </c>
      <c r="G15" s="28" t="s">
        <v>173</v>
      </c>
      <c r="H15" s="28" t="s">
        <v>174</v>
      </c>
      <c r="I15" s="28" t="s">
        <v>174</v>
      </c>
      <c r="J15" s="30" t="s">
        <v>174</v>
      </c>
      <c r="K15" s="28" t="s">
        <v>243</v>
      </c>
      <c r="L15" s="31">
        <v>42461</v>
      </c>
      <c r="M15" s="28">
        <v>4</v>
      </c>
      <c r="N15" s="32" t="s">
        <v>191</v>
      </c>
      <c r="O15" s="28" t="s">
        <v>244</v>
      </c>
      <c r="P15" s="28" t="s">
        <v>245</v>
      </c>
      <c r="Q15" s="28" t="s">
        <v>246</v>
      </c>
      <c r="R15" s="28" t="s">
        <v>247</v>
      </c>
    </row>
    <row r="16" spans="1:18" hidden="1">
      <c r="A16" s="28">
        <v>2</v>
      </c>
      <c r="B16" s="29" t="s">
        <v>240</v>
      </c>
      <c r="C16" s="29" t="s">
        <v>241</v>
      </c>
      <c r="D16" s="29" t="s">
        <v>242</v>
      </c>
      <c r="E16" s="29" t="s">
        <v>172</v>
      </c>
      <c r="F16" s="28" t="s">
        <v>173</v>
      </c>
      <c r="G16" s="28" t="s">
        <v>173</v>
      </c>
      <c r="H16" s="28" t="s">
        <v>174</v>
      </c>
      <c r="I16" s="28" t="s">
        <v>174</v>
      </c>
      <c r="J16" s="30" t="s">
        <v>174</v>
      </c>
      <c r="K16" s="28" t="s">
        <v>248</v>
      </c>
      <c r="L16" s="31">
        <v>43070</v>
      </c>
      <c r="M16" s="28">
        <v>12</v>
      </c>
      <c r="N16" s="32" t="s">
        <v>176</v>
      </c>
      <c r="O16" s="28" t="s">
        <v>204</v>
      </c>
      <c r="P16" s="28" t="s">
        <v>249</v>
      </c>
      <c r="Q16" s="28" t="s">
        <v>250</v>
      </c>
      <c r="R16" s="28" t="s">
        <v>251</v>
      </c>
    </row>
    <row r="17" spans="1:18" hidden="1">
      <c r="A17" s="28">
        <v>2</v>
      </c>
      <c r="B17" s="29" t="s">
        <v>240</v>
      </c>
      <c r="C17" s="29" t="s">
        <v>241</v>
      </c>
      <c r="D17" s="29" t="s">
        <v>252</v>
      </c>
      <c r="E17" s="29" t="s">
        <v>172</v>
      </c>
      <c r="F17" s="28" t="s">
        <v>173</v>
      </c>
      <c r="G17" s="28" t="s">
        <v>173</v>
      </c>
      <c r="H17" s="28" t="s">
        <v>174</v>
      </c>
      <c r="I17" s="28" t="s">
        <v>174</v>
      </c>
      <c r="J17" s="30" t="s">
        <v>174</v>
      </c>
      <c r="K17" s="28" t="s">
        <v>243</v>
      </c>
      <c r="L17" s="31">
        <v>42461</v>
      </c>
      <c r="M17" s="28">
        <v>4</v>
      </c>
      <c r="N17" s="32" t="s">
        <v>191</v>
      </c>
      <c r="O17" s="28" t="s">
        <v>177</v>
      </c>
      <c r="P17" s="28" t="s">
        <v>253</v>
      </c>
      <c r="Q17" s="28" t="s">
        <v>254</v>
      </c>
      <c r="R17" s="28" t="s">
        <v>255</v>
      </c>
    </row>
    <row r="18" spans="1:18" hidden="1">
      <c r="A18" s="28">
        <v>2</v>
      </c>
      <c r="B18" s="29" t="s">
        <v>240</v>
      </c>
      <c r="C18" s="29" t="s">
        <v>241</v>
      </c>
      <c r="D18" s="29" t="s">
        <v>256</v>
      </c>
      <c r="E18" s="29" t="s">
        <v>172</v>
      </c>
      <c r="F18" s="28" t="s">
        <v>173</v>
      </c>
      <c r="G18" s="28" t="s">
        <v>173</v>
      </c>
      <c r="H18" s="28" t="s">
        <v>174</v>
      </c>
      <c r="I18" s="28" t="s">
        <v>174</v>
      </c>
      <c r="J18" s="30" t="s">
        <v>174</v>
      </c>
      <c r="K18" s="28" t="s">
        <v>257</v>
      </c>
      <c r="L18" s="31">
        <v>42552</v>
      </c>
      <c r="M18" s="28">
        <v>7</v>
      </c>
      <c r="N18" s="32" t="s">
        <v>184</v>
      </c>
      <c r="O18" s="28" t="s">
        <v>204</v>
      </c>
      <c r="P18" s="28" t="s">
        <v>258</v>
      </c>
      <c r="Q18" s="28" t="s">
        <v>259</v>
      </c>
      <c r="R18" s="28" t="s">
        <v>260</v>
      </c>
    </row>
    <row r="19" spans="1:18" hidden="1">
      <c r="A19" s="28">
        <v>2</v>
      </c>
      <c r="B19" s="29" t="s">
        <v>240</v>
      </c>
      <c r="C19" s="29" t="s">
        <v>261</v>
      </c>
      <c r="D19" s="29" t="s">
        <v>262</v>
      </c>
      <c r="E19" s="29" t="s">
        <v>172</v>
      </c>
      <c r="F19" s="28" t="s">
        <v>173</v>
      </c>
      <c r="G19" s="28" t="s">
        <v>173</v>
      </c>
      <c r="H19" s="28" t="s">
        <v>174</v>
      </c>
      <c r="I19" s="28" t="s">
        <v>174</v>
      </c>
      <c r="J19" s="30" t="s">
        <v>174</v>
      </c>
      <c r="K19" s="28" t="s">
        <v>263</v>
      </c>
      <c r="L19" s="31">
        <v>42430</v>
      </c>
      <c r="M19" s="28">
        <v>3</v>
      </c>
      <c r="N19" s="32" t="s">
        <v>191</v>
      </c>
      <c r="O19" s="28" t="s">
        <v>204</v>
      </c>
      <c r="P19" s="28" t="s">
        <v>264</v>
      </c>
      <c r="Q19" s="28" t="s">
        <v>265</v>
      </c>
      <c r="R19" s="28" t="s">
        <v>266</v>
      </c>
    </row>
    <row r="20" spans="1:18" hidden="1">
      <c r="A20" s="28">
        <v>2</v>
      </c>
      <c r="B20" s="29" t="s">
        <v>240</v>
      </c>
      <c r="C20" s="29" t="s">
        <v>261</v>
      </c>
      <c r="D20" s="29" t="s">
        <v>262</v>
      </c>
      <c r="E20" s="29" t="s">
        <v>172</v>
      </c>
      <c r="F20" s="28" t="s">
        <v>173</v>
      </c>
      <c r="G20" s="28" t="s">
        <v>173</v>
      </c>
      <c r="H20" s="28" t="s">
        <v>174</v>
      </c>
      <c r="I20" s="28" t="s">
        <v>174</v>
      </c>
      <c r="J20" s="30" t="s">
        <v>174</v>
      </c>
      <c r="K20" s="28" t="s">
        <v>267</v>
      </c>
      <c r="L20" s="31">
        <v>42583</v>
      </c>
      <c r="M20" s="28">
        <v>8</v>
      </c>
      <c r="N20" s="32" t="s">
        <v>184</v>
      </c>
      <c r="O20" s="28" t="s">
        <v>204</v>
      </c>
      <c r="P20" s="28" t="s">
        <v>268</v>
      </c>
      <c r="Q20" s="28" t="s">
        <v>269</v>
      </c>
      <c r="R20" s="28" t="s">
        <v>270</v>
      </c>
    </row>
    <row r="21" spans="1:18" hidden="1">
      <c r="A21" s="28">
        <v>2</v>
      </c>
      <c r="B21" s="29" t="s">
        <v>240</v>
      </c>
      <c r="C21" s="29" t="s">
        <v>261</v>
      </c>
      <c r="D21" s="29" t="s">
        <v>262</v>
      </c>
      <c r="E21" s="29" t="s">
        <v>172</v>
      </c>
      <c r="F21" s="28" t="s">
        <v>173</v>
      </c>
      <c r="G21" s="28" t="s">
        <v>173</v>
      </c>
      <c r="H21" s="28" t="s">
        <v>174</v>
      </c>
      <c r="I21" s="28" t="s">
        <v>174</v>
      </c>
      <c r="J21" s="30" t="s">
        <v>174</v>
      </c>
      <c r="K21" s="28" t="s">
        <v>271</v>
      </c>
      <c r="L21" s="31">
        <v>42856</v>
      </c>
      <c r="M21" s="28">
        <v>5</v>
      </c>
      <c r="N21" s="32" t="s">
        <v>191</v>
      </c>
      <c r="O21" s="28" t="s">
        <v>272</v>
      </c>
      <c r="P21" s="28" t="s">
        <v>273</v>
      </c>
      <c r="Q21" s="28" t="s">
        <v>274</v>
      </c>
      <c r="R21" s="28" t="s">
        <v>275</v>
      </c>
    </row>
    <row r="22" spans="1:18" hidden="1">
      <c r="A22" s="28">
        <v>2</v>
      </c>
      <c r="B22" s="29" t="s">
        <v>240</v>
      </c>
      <c r="C22" s="29" t="s">
        <v>276</v>
      </c>
      <c r="D22" s="29" t="s">
        <v>277</v>
      </c>
      <c r="E22" s="29" t="s">
        <v>172</v>
      </c>
      <c r="F22" s="28" t="s">
        <v>173</v>
      </c>
      <c r="G22" s="28" t="s">
        <v>173</v>
      </c>
      <c r="H22" s="28" t="s">
        <v>174</v>
      </c>
      <c r="I22" s="28" t="s">
        <v>174</v>
      </c>
      <c r="J22" s="30" t="s">
        <v>174</v>
      </c>
      <c r="K22" s="28" t="s">
        <v>278</v>
      </c>
      <c r="L22" s="31">
        <v>43525</v>
      </c>
      <c r="M22" s="28">
        <v>3</v>
      </c>
      <c r="N22" s="32" t="s">
        <v>191</v>
      </c>
      <c r="O22" s="28" t="s">
        <v>177</v>
      </c>
      <c r="P22" s="28" t="s">
        <v>279</v>
      </c>
      <c r="Q22" s="28" t="s">
        <v>280</v>
      </c>
      <c r="R22" s="28" t="s">
        <v>281</v>
      </c>
    </row>
    <row r="23" spans="1:18" hidden="1">
      <c r="A23" s="28">
        <v>2</v>
      </c>
      <c r="B23" s="29" t="s">
        <v>240</v>
      </c>
      <c r="C23" s="29" t="s">
        <v>276</v>
      </c>
      <c r="D23" s="29" t="s">
        <v>282</v>
      </c>
      <c r="E23" s="29" t="s">
        <v>172</v>
      </c>
      <c r="F23" s="28" t="s">
        <v>173</v>
      </c>
      <c r="G23" s="28" t="s">
        <v>173</v>
      </c>
      <c r="H23" s="28" t="s">
        <v>174</v>
      </c>
      <c r="I23" s="28" t="s">
        <v>174</v>
      </c>
      <c r="J23" s="30" t="s">
        <v>174</v>
      </c>
      <c r="K23" s="28" t="s">
        <v>248</v>
      </c>
      <c r="L23" s="31">
        <v>43070</v>
      </c>
      <c r="M23" s="28">
        <v>12</v>
      </c>
      <c r="N23" s="32" t="s">
        <v>176</v>
      </c>
      <c r="O23" s="28" t="s">
        <v>204</v>
      </c>
      <c r="P23" s="28" t="s">
        <v>283</v>
      </c>
      <c r="Q23" s="28" t="s">
        <v>284</v>
      </c>
      <c r="R23" s="28" t="s">
        <v>285</v>
      </c>
    </row>
    <row r="24" spans="1:18">
      <c r="A24" s="28">
        <v>3</v>
      </c>
      <c r="B24" s="29" t="s">
        <v>286</v>
      </c>
      <c r="C24" s="29" t="s">
        <v>287</v>
      </c>
      <c r="D24" s="29" t="s">
        <v>288</v>
      </c>
      <c r="E24" s="29" t="s">
        <v>172</v>
      </c>
      <c r="F24" s="28" t="s">
        <v>173</v>
      </c>
      <c r="G24" s="28" t="s">
        <v>173</v>
      </c>
      <c r="H24" s="28" t="s">
        <v>174</v>
      </c>
      <c r="I24" s="28" t="s">
        <v>174</v>
      </c>
      <c r="J24" s="30" t="s">
        <v>174</v>
      </c>
      <c r="K24" s="28" t="s">
        <v>289</v>
      </c>
      <c r="L24" s="31">
        <v>42795</v>
      </c>
      <c r="M24" s="28">
        <v>3</v>
      </c>
      <c r="N24" s="32" t="s">
        <v>191</v>
      </c>
      <c r="O24" s="28" t="s">
        <v>204</v>
      </c>
      <c r="P24" s="28" t="s">
        <v>290</v>
      </c>
      <c r="Q24" s="28" t="s">
        <v>291</v>
      </c>
      <c r="R24" s="28" t="s">
        <v>292</v>
      </c>
    </row>
    <row r="25" spans="1:18">
      <c r="A25" s="28">
        <v>3</v>
      </c>
      <c r="B25" s="29" t="s">
        <v>286</v>
      </c>
      <c r="C25" s="29" t="s">
        <v>287</v>
      </c>
      <c r="D25" s="29" t="s">
        <v>288</v>
      </c>
      <c r="E25" s="29" t="s">
        <v>172</v>
      </c>
      <c r="F25" s="28" t="s">
        <v>173</v>
      </c>
      <c r="G25" s="28" t="s">
        <v>173</v>
      </c>
      <c r="H25" s="28" t="s">
        <v>174</v>
      </c>
      <c r="I25" s="28" t="s">
        <v>174</v>
      </c>
      <c r="J25" s="30" t="s">
        <v>174</v>
      </c>
      <c r="K25" s="28" t="s">
        <v>293</v>
      </c>
      <c r="L25" s="31">
        <v>43374</v>
      </c>
      <c r="M25" s="28">
        <v>10</v>
      </c>
      <c r="N25" s="32" t="s">
        <v>191</v>
      </c>
      <c r="O25" s="28" t="s">
        <v>204</v>
      </c>
      <c r="P25" s="28" t="s">
        <v>294</v>
      </c>
      <c r="Q25" s="28" t="s">
        <v>295</v>
      </c>
      <c r="R25" s="28" t="s">
        <v>296</v>
      </c>
    </row>
    <row r="26" spans="1:18">
      <c r="A26" s="28">
        <v>3</v>
      </c>
      <c r="B26" s="29" t="s">
        <v>286</v>
      </c>
      <c r="C26" s="29" t="s">
        <v>287</v>
      </c>
      <c r="D26" s="29" t="s">
        <v>288</v>
      </c>
      <c r="E26" s="29" t="s">
        <v>172</v>
      </c>
      <c r="F26" s="28" t="s">
        <v>173</v>
      </c>
      <c r="G26" s="28" t="s">
        <v>173</v>
      </c>
      <c r="H26" s="28" t="s">
        <v>174</v>
      </c>
      <c r="I26" s="28" t="s">
        <v>174</v>
      </c>
      <c r="J26" s="30" t="s">
        <v>174</v>
      </c>
      <c r="K26" s="28" t="s">
        <v>297</v>
      </c>
      <c r="L26" s="31">
        <v>44409</v>
      </c>
      <c r="M26" s="28">
        <v>8</v>
      </c>
      <c r="N26" s="32" t="s">
        <v>184</v>
      </c>
      <c r="O26" s="28" t="s">
        <v>204</v>
      </c>
      <c r="P26" s="28" t="s">
        <v>298</v>
      </c>
      <c r="Q26" s="28" t="s">
        <v>299</v>
      </c>
      <c r="R26" s="28" t="s">
        <v>300</v>
      </c>
    </row>
    <row r="27" spans="1:18">
      <c r="A27" s="28">
        <v>3</v>
      </c>
      <c r="B27" s="29" t="s">
        <v>286</v>
      </c>
      <c r="C27" s="29" t="s">
        <v>287</v>
      </c>
      <c r="D27" s="29" t="s">
        <v>301</v>
      </c>
      <c r="E27" s="29" t="s">
        <v>172</v>
      </c>
      <c r="F27" s="28" t="s">
        <v>173</v>
      </c>
      <c r="G27" s="28" t="s">
        <v>173</v>
      </c>
      <c r="H27" s="28" t="s">
        <v>174</v>
      </c>
      <c r="I27" s="28" t="s">
        <v>174</v>
      </c>
      <c r="J27" s="30" t="s">
        <v>174</v>
      </c>
      <c r="K27" s="28" t="s">
        <v>302</v>
      </c>
      <c r="L27" s="31">
        <v>43282</v>
      </c>
      <c r="M27" s="28">
        <v>7</v>
      </c>
      <c r="N27" s="32" t="s">
        <v>184</v>
      </c>
      <c r="O27" s="28" t="s">
        <v>244</v>
      </c>
      <c r="P27" s="28" t="s">
        <v>303</v>
      </c>
      <c r="Q27" s="28" t="s">
        <v>304</v>
      </c>
      <c r="R27" s="28" t="s">
        <v>305</v>
      </c>
    </row>
    <row r="28" spans="1:18" hidden="1">
      <c r="A28" s="28">
        <v>4</v>
      </c>
      <c r="B28" s="29" t="s">
        <v>306</v>
      </c>
      <c r="C28" s="29" t="s">
        <v>307</v>
      </c>
      <c r="D28" s="29" t="s">
        <v>308</v>
      </c>
      <c r="E28" s="29" t="s">
        <v>172</v>
      </c>
      <c r="F28" s="28" t="s">
        <v>173</v>
      </c>
      <c r="G28" s="28" t="s">
        <v>173</v>
      </c>
      <c r="H28" s="28" t="s">
        <v>174</v>
      </c>
      <c r="I28" s="28" t="s">
        <v>174</v>
      </c>
      <c r="J28" s="30" t="s">
        <v>174</v>
      </c>
      <c r="K28" s="28" t="s">
        <v>278</v>
      </c>
      <c r="L28" s="31">
        <v>43525</v>
      </c>
      <c r="M28" s="28">
        <v>3</v>
      </c>
      <c r="N28" s="32" t="s">
        <v>191</v>
      </c>
      <c r="O28" s="28" t="s">
        <v>244</v>
      </c>
      <c r="P28" s="28" t="s">
        <v>309</v>
      </c>
      <c r="Q28" s="28" t="s">
        <v>310</v>
      </c>
      <c r="R28" s="28" t="s">
        <v>311</v>
      </c>
    </row>
    <row r="29" spans="1:18" hidden="1">
      <c r="A29" s="28">
        <v>4</v>
      </c>
      <c r="B29" s="29" t="s">
        <v>306</v>
      </c>
      <c r="C29" s="29" t="s">
        <v>312</v>
      </c>
      <c r="D29" s="29" t="s">
        <v>313</v>
      </c>
      <c r="E29" s="29" t="s">
        <v>172</v>
      </c>
      <c r="F29" s="28" t="s">
        <v>173</v>
      </c>
      <c r="G29" s="28" t="s">
        <v>173</v>
      </c>
      <c r="H29" s="28" t="s">
        <v>174</v>
      </c>
      <c r="I29" s="28" t="s">
        <v>174</v>
      </c>
      <c r="J29" s="30" t="s">
        <v>174</v>
      </c>
      <c r="K29" s="28" t="s">
        <v>314</v>
      </c>
      <c r="L29" s="31">
        <v>43678</v>
      </c>
      <c r="M29" s="28">
        <v>8</v>
      </c>
      <c r="N29" s="32" t="s">
        <v>184</v>
      </c>
      <c r="O29" s="28" t="s">
        <v>177</v>
      </c>
      <c r="P29" s="28" t="s">
        <v>315</v>
      </c>
      <c r="Q29" s="28" t="s">
        <v>316</v>
      </c>
      <c r="R29" s="28" t="s">
        <v>317</v>
      </c>
    </row>
    <row r="30" spans="1:18" hidden="1">
      <c r="A30" s="28">
        <v>4</v>
      </c>
      <c r="B30" s="29" t="s">
        <v>306</v>
      </c>
      <c r="C30" s="29" t="s">
        <v>318</v>
      </c>
      <c r="D30" s="29" t="s">
        <v>319</v>
      </c>
      <c r="E30" s="29" t="s">
        <v>172</v>
      </c>
      <c r="F30" s="28" t="s">
        <v>173</v>
      </c>
      <c r="G30" s="28" t="s">
        <v>173</v>
      </c>
      <c r="H30" s="28" t="s">
        <v>174</v>
      </c>
      <c r="I30" s="28" t="s">
        <v>174</v>
      </c>
      <c r="J30" s="30" t="s">
        <v>174</v>
      </c>
      <c r="K30" s="28" t="s">
        <v>289</v>
      </c>
      <c r="L30" s="31">
        <v>42795</v>
      </c>
      <c r="M30" s="28">
        <v>3</v>
      </c>
      <c r="N30" s="32" t="s">
        <v>191</v>
      </c>
      <c r="O30" s="28" t="s">
        <v>177</v>
      </c>
      <c r="P30" s="28" t="s">
        <v>320</v>
      </c>
      <c r="Q30" s="28" t="s">
        <v>321</v>
      </c>
      <c r="R30" s="28" t="s">
        <v>322</v>
      </c>
    </row>
    <row r="31" spans="1:18" hidden="1">
      <c r="A31" s="28">
        <v>4</v>
      </c>
      <c r="B31" s="29" t="s">
        <v>306</v>
      </c>
      <c r="C31" s="29" t="s">
        <v>318</v>
      </c>
      <c r="D31" s="29" t="s">
        <v>323</v>
      </c>
      <c r="E31" s="29" t="s">
        <v>172</v>
      </c>
      <c r="F31" s="28" t="s">
        <v>173</v>
      </c>
      <c r="G31" s="28" t="s">
        <v>173</v>
      </c>
      <c r="H31" s="28" t="s">
        <v>174</v>
      </c>
      <c r="I31" s="28" t="s">
        <v>174</v>
      </c>
      <c r="J31" s="30" t="s">
        <v>174</v>
      </c>
      <c r="K31" s="28" t="s">
        <v>324</v>
      </c>
      <c r="L31" s="31">
        <v>43862</v>
      </c>
      <c r="M31" s="28">
        <v>2</v>
      </c>
      <c r="N31" s="32" t="s">
        <v>176</v>
      </c>
      <c r="O31" s="28" t="s">
        <v>204</v>
      </c>
      <c r="P31" s="28" t="s">
        <v>325</v>
      </c>
      <c r="Q31" s="28" t="s">
        <v>326</v>
      </c>
      <c r="R31" s="28" t="s">
        <v>327</v>
      </c>
    </row>
    <row r="32" spans="1:18" hidden="1">
      <c r="A32" s="28">
        <v>4</v>
      </c>
      <c r="B32" s="29" t="s">
        <v>306</v>
      </c>
      <c r="C32" s="29" t="s">
        <v>318</v>
      </c>
      <c r="D32" s="29" t="s">
        <v>323</v>
      </c>
      <c r="E32" s="29" t="s">
        <v>172</v>
      </c>
      <c r="F32" s="28" t="s">
        <v>173</v>
      </c>
      <c r="G32" s="28" t="s">
        <v>173</v>
      </c>
      <c r="H32" s="28" t="s">
        <v>174</v>
      </c>
      <c r="I32" s="28" t="s">
        <v>174</v>
      </c>
      <c r="J32" s="30" t="s">
        <v>174</v>
      </c>
      <c r="K32" s="28" t="s">
        <v>328</v>
      </c>
      <c r="L32" s="31">
        <v>43891</v>
      </c>
      <c r="M32" s="28">
        <v>3</v>
      </c>
      <c r="N32" s="32" t="s">
        <v>191</v>
      </c>
      <c r="O32" s="28" t="s">
        <v>329</v>
      </c>
      <c r="P32" s="28" t="s">
        <v>330</v>
      </c>
      <c r="Q32" s="28" t="s">
        <v>331</v>
      </c>
      <c r="R32" s="28" t="s">
        <v>332</v>
      </c>
    </row>
    <row r="33" spans="1:18" hidden="1">
      <c r="A33" s="28">
        <v>4</v>
      </c>
      <c r="B33" s="29" t="s">
        <v>306</v>
      </c>
      <c r="C33" s="29" t="s">
        <v>333</v>
      </c>
      <c r="D33" s="29" t="s">
        <v>334</v>
      </c>
      <c r="E33" s="29" t="s">
        <v>172</v>
      </c>
      <c r="F33" s="28" t="s">
        <v>173</v>
      </c>
      <c r="G33" s="28" t="s">
        <v>173</v>
      </c>
      <c r="H33" s="28" t="s">
        <v>174</v>
      </c>
      <c r="I33" s="28" t="s">
        <v>174</v>
      </c>
      <c r="J33" s="30" t="s">
        <v>174</v>
      </c>
      <c r="K33" s="28" t="s">
        <v>335</v>
      </c>
      <c r="L33" s="31">
        <v>42614</v>
      </c>
      <c r="M33" s="28">
        <v>9</v>
      </c>
      <c r="N33" s="32" t="s">
        <v>191</v>
      </c>
      <c r="O33" s="28" t="s">
        <v>177</v>
      </c>
      <c r="P33" s="28" t="s">
        <v>336</v>
      </c>
      <c r="Q33" s="28" t="s">
        <v>337</v>
      </c>
      <c r="R33" s="28" t="s">
        <v>338</v>
      </c>
    </row>
    <row r="34" spans="1:18" hidden="1">
      <c r="A34" s="28">
        <v>4</v>
      </c>
      <c r="B34" s="29" t="s">
        <v>306</v>
      </c>
      <c r="C34" s="29" t="s">
        <v>339</v>
      </c>
      <c r="D34" s="29" t="s">
        <v>340</v>
      </c>
      <c r="E34" s="29" t="s">
        <v>172</v>
      </c>
      <c r="F34" s="28" t="s">
        <v>173</v>
      </c>
      <c r="G34" s="28" t="s">
        <v>173</v>
      </c>
      <c r="H34" s="28" t="s">
        <v>174</v>
      </c>
      <c r="I34" s="28" t="s">
        <v>174</v>
      </c>
      <c r="J34" s="30" t="s">
        <v>174</v>
      </c>
      <c r="K34" s="28" t="s">
        <v>341</v>
      </c>
      <c r="L34" s="31">
        <v>44228</v>
      </c>
      <c r="M34" s="28">
        <v>2</v>
      </c>
      <c r="N34" s="32" t="s">
        <v>176</v>
      </c>
      <c r="O34" s="28" t="s">
        <v>204</v>
      </c>
      <c r="P34" s="28" t="s">
        <v>342</v>
      </c>
      <c r="Q34" s="28" t="s">
        <v>343</v>
      </c>
      <c r="R34" s="28" t="s">
        <v>344</v>
      </c>
    </row>
    <row r="35" spans="1:18" hidden="1">
      <c r="A35" s="28">
        <v>4</v>
      </c>
      <c r="B35" s="29" t="s">
        <v>306</v>
      </c>
      <c r="C35" s="29" t="s">
        <v>339</v>
      </c>
      <c r="D35" s="29" t="s">
        <v>340</v>
      </c>
      <c r="E35" s="29" t="s">
        <v>172</v>
      </c>
      <c r="F35" s="28" t="s">
        <v>173</v>
      </c>
      <c r="G35" s="28" t="s">
        <v>173</v>
      </c>
      <c r="H35" s="28" t="s">
        <v>174</v>
      </c>
      <c r="I35" s="28" t="s">
        <v>174</v>
      </c>
      <c r="J35" s="30" t="s">
        <v>174</v>
      </c>
      <c r="K35" s="28" t="s">
        <v>345</v>
      </c>
      <c r="L35" s="31">
        <v>44440</v>
      </c>
      <c r="M35" s="28">
        <v>9</v>
      </c>
      <c r="N35" s="32" t="s">
        <v>191</v>
      </c>
      <c r="O35" s="28" t="s">
        <v>204</v>
      </c>
      <c r="P35" s="28" t="s">
        <v>346</v>
      </c>
      <c r="Q35" s="28" t="s">
        <v>347</v>
      </c>
      <c r="R35" s="28" t="s">
        <v>348</v>
      </c>
    </row>
    <row r="36" spans="1:18" hidden="1">
      <c r="A36" s="28">
        <v>5</v>
      </c>
      <c r="B36" s="29" t="s">
        <v>349</v>
      </c>
      <c r="C36" s="29" t="s">
        <v>350</v>
      </c>
      <c r="D36" s="29" t="s">
        <v>351</v>
      </c>
      <c r="E36" s="29" t="s">
        <v>172</v>
      </c>
      <c r="F36" s="28" t="s">
        <v>173</v>
      </c>
      <c r="G36" s="28" t="s">
        <v>173</v>
      </c>
      <c r="H36" s="28" t="s">
        <v>174</v>
      </c>
      <c r="I36" s="28" t="s">
        <v>174</v>
      </c>
      <c r="J36" s="30" t="s">
        <v>174</v>
      </c>
      <c r="K36" s="28" t="s">
        <v>183</v>
      </c>
      <c r="L36" s="31">
        <v>43983</v>
      </c>
      <c r="M36" s="28">
        <v>6</v>
      </c>
      <c r="N36" s="32" t="s">
        <v>184</v>
      </c>
      <c r="O36" s="28" t="s">
        <v>244</v>
      </c>
      <c r="P36" s="28" t="s">
        <v>352</v>
      </c>
      <c r="Q36" s="28" t="s">
        <v>353</v>
      </c>
      <c r="R36" s="28" t="s">
        <v>354</v>
      </c>
    </row>
    <row r="37" spans="1:18" hidden="1">
      <c r="A37" s="28">
        <v>5</v>
      </c>
      <c r="B37" s="29" t="s">
        <v>349</v>
      </c>
      <c r="C37" s="29" t="s">
        <v>355</v>
      </c>
      <c r="D37" s="29" t="s">
        <v>356</v>
      </c>
      <c r="E37" s="29" t="s">
        <v>172</v>
      </c>
      <c r="F37" s="28" t="s">
        <v>173</v>
      </c>
      <c r="G37" s="28" t="s">
        <v>173</v>
      </c>
      <c r="H37" s="28" t="s">
        <v>174</v>
      </c>
      <c r="I37" s="28" t="s">
        <v>174</v>
      </c>
      <c r="J37" s="30" t="s">
        <v>174</v>
      </c>
      <c r="K37" s="28" t="s">
        <v>345</v>
      </c>
      <c r="L37" s="31">
        <v>44440</v>
      </c>
      <c r="M37" s="28">
        <v>9</v>
      </c>
      <c r="N37" s="32" t="s">
        <v>191</v>
      </c>
      <c r="O37" s="28" t="s">
        <v>204</v>
      </c>
      <c r="P37" s="28" t="s">
        <v>357</v>
      </c>
      <c r="Q37" s="28" t="s">
        <v>358</v>
      </c>
      <c r="R37" s="28" t="s">
        <v>359</v>
      </c>
    </row>
    <row r="38" spans="1:18" hidden="1">
      <c r="A38" s="28">
        <v>5</v>
      </c>
      <c r="B38" s="29" t="s">
        <v>349</v>
      </c>
      <c r="C38" s="29" t="s">
        <v>355</v>
      </c>
      <c r="D38" s="29" t="s">
        <v>360</v>
      </c>
      <c r="E38" s="29" t="s">
        <v>172</v>
      </c>
      <c r="F38" s="28" t="s">
        <v>173</v>
      </c>
      <c r="G38" s="28" t="s">
        <v>173</v>
      </c>
      <c r="H38" s="28" t="s">
        <v>174</v>
      </c>
      <c r="I38" s="28" t="s">
        <v>174</v>
      </c>
      <c r="J38" s="30" t="s">
        <v>174</v>
      </c>
      <c r="K38" s="28" t="s">
        <v>361</v>
      </c>
      <c r="L38" s="31">
        <v>43435</v>
      </c>
      <c r="M38" s="28">
        <v>12</v>
      </c>
      <c r="N38" s="32" t="s">
        <v>176</v>
      </c>
      <c r="O38" s="28" t="s">
        <v>204</v>
      </c>
      <c r="P38" s="28" t="s">
        <v>362</v>
      </c>
      <c r="Q38" s="28" t="s">
        <v>363</v>
      </c>
      <c r="R38" s="28" t="s">
        <v>364</v>
      </c>
    </row>
    <row r="39" spans="1:18" hidden="1">
      <c r="A39" s="28">
        <v>6</v>
      </c>
      <c r="B39" s="29" t="s">
        <v>365</v>
      </c>
      <c r="C39" s="29" t="s">
        <v>366</v>
      </c>
      <c r="D39" s="29" t="s">
        <v>367</v>
      </c>
      <c r="E39" s="29" t="s">
        <v>172</v>
      </c>
      <c r="F39" s="28" t="s">
        <v>173</v>
      </c>
      <c r="G39" s="28" t="s">
        <v>173</v>
      </c>
      <c r="H39" s="28" t="s">
        <v>174</v>
      </c>
      <c r="I39" s="28" t="s">
        <v>174</v>
      </c>
      <c r="J39" s="30" t="s">
        <v>174</v>
      </c>
      <c r="K39" s="28" t="s">
        <v>278</v>
      </c>
      <c r="L39" s="31">
        <v>43525</v>
      </c>
      <c r="M39" s="28">
        <v>3</v>
      </c>
      <c r="N39" s="32" t="s">
        <v>191</v>
      </c>
      <c r="O39" s="28" t="s">
        <v>177</v>
      </c>
      <c r="P39" s="28" t="s">
        <v>368</v>
      </c>
      <c r="Q39" s="28" t="s">
        <v>369</v>
      </c>
      <c r="R39" s="28" t="s">
        <v>370</v>
      </c>
    </row>
    <row r="40" spans="1:18" hidden="1">
      <c r="A40" s="28">
        <v>8</v>
      </c>
      <c r="B40" s="29" t="s">
        <v>371</v>
      </c>
      <c r="C40" s="29" t="s">
        <v>372</v>
      </c>
      <c r="D40" s="29" t="s">
        <v>373</v>
      </c>
      <c r="E40" s="29" t="s">
        <v>374</v>
      </c>
      <c r="F40" s="28" t="s">
        <v>173</v>
      </c>
      <c r="G40" s="28" t="s">
        <v>173</v>
      </c>
      <c r="H40" s="28" t="s">
        <v>174</v>
      </c>
      <c r="I40" s="28" t="s">
        <v>174</v>
      </c>
      <c r="J40" s="30" t="s">
        <v>174</v>
      </c>
      <c r="K40" s="28" t="s">
        <v>375</v>
      </c>
      <c r="L40" s="31">
        <v>42736</v>
      </c>
      <c r="M40" s="28">
        <v>1</v>
      </c>
      <c r="N40" s="32" t="s">
        <v>176</v>
      </c>
      <c r="O40" s="28" t="s">
        <v>185</v>
      </c>
      <c r="P40" s="28" t="s">
        <v>376</v>
      </c>
      <c r="Q40" s="28" t="s">
        <v>377</v>
      </c>
      <c r="R40" s="28" t="s">
        <v>378</v>
      </c>
    </row>
    <row r="41" spans="1:18" hidden="1">
      <c r="A41" s="28">
        <v>1</v>
      </c>
      <c r="B41" s="29" t="s">
        <v>379</v>
      </c>
      <c r="C41" s="29" t="s">
        <v>380</v>
      </c>
      <c r="D41" s="29" t="s">
        <v>381</v>
      </c>
      <c r="E41" s="29" t="s">
        <v>172</v>
      </c>
      <c r="F41" s="28" t="s">
        <v>382</v>
      </c>
      <c r="G41" s="28" t="s">
        <v>383</v>
      </c>
      <c r="H41" s="28" t="s">
        <v>384</v>
      </c>
      <c r="I41" s="28">
        <v>1</v>
      </c>
      <c r="J41" s="30">
        <v>0.09</v>
      </c>
      <c r="K41" s="28" t="s">
        <v>278</v>
      </c>
      <c r="L41" s="31">
        <v>43525</v>
      </c>
      <c r="M41" s="28">
        <v>3</v>
      </c>
      <c r="N41" s="32" t="s">
        <v>191</v>
      </c>
      <c r="O41" s="28" t="s">
        <v>204</v>
      </c>
      <c r="P41" s="28" t="s">
        <v>385</v>
      </c>
      <c r="Q41" s="28" t="s">
        <v>386</v>
      </c>
      <c r="R41" s="28" t="s">
        <v>387</v>
      </c>
    </row>
    <row r="42" spans="1:18" hidden="1">
      <c r="A42" s="28">
        <v>1</v>
      </c>
      <c r="B42" s="29" t="s">
        <v>379</v>
      </c>
      <c r="C42" s="29" t="s">
        <v>388</v>
      </c>
      <c r="D42" s="29" t="s">
        <v>389</v>
      </c>
      <c r="E42" s="29" t="s">
        <v>172</v>
      </c>
      <c r="F42" s="28" t="s">
        <v>382</v>
      </c>
      <c r="G42" s="28" t="s">
        <v>390</v>
      </c>
      <c r="H42" s="28" t="s">
        <v>384</v>
      </c>
      <c r="I42" s="28">
        <v>1</v>
      </c>
      <c r="J42" s="30">
        <v>0.09</v>
      </c>
      <c r="K42" s="28" t="s">
        <v>391</v>
      </c>
      <c r="L42" s="31">
        <v>42370</v>
      </c>
      <c r="M42" s="28">
        <v>1</v>
      </c>
      <c r="N42" s="32" t="s">
        <v>176</v>
      </c>
      <c r="O42" s="28" t="s">
        <v>204</v>
      </c>
      <c r="P42" s="28" t="s">
        <v>392</v>
      </c>
      <c r="Q42" s="28" t="s">
        <v>393</v>
      </c>
      <c r="R42" s="28" t="s">
        <v>394</v>
      </c>
    </row>
    <row r="43" spans="1:18" hidden="1">
      <c r="A43" s="28">
        <v>1</v>
      </c>
      <c r="B43" s="29" t="s">
        <v>379</v>
      </c>
      <c r="C43" s="29" t="s">
        <v>395</v>
      </c>
      <c r="D43" s="29" t="s">
        <v>396</v>
      </c>
      <c r="E43" s="29" t="s">
        <v>172</v>
      </c>
      <c r="F43" s="28" t="s">
        <v>382</v>
      </c>
      <c r="G43" s="28" t="s">
        <v>383</v>
      </c>
      <c r="H43" s="28" t="s">
        <v>384</v>
      </c>
      <c r="I43" s="28">
        <v>1</v>
      </c>
      <c r="J43" s="30">
        <v>0.09</v>
      </c>
      <c r="K43" s="28" t="s">
        <v>397</v>
      </c>
      <c r="L43" s="31">
        <v>43739</v>
      </c>
      <c r="M43" s="28">
        <v>10</v>
      </c>
      <c r="N43" s="32" t="s">
        <v>191</v>
      </c>
      <c r="O43" s="28" t="s">
        <v>204</v>
      </c>
      <c r="P43" s="28" t="s">
        <v>398</v>
      </c>
      <c r="Q43" s="28" t="s">
        <v>399</v>
      </c>
      <c r="R43" s="28" t="s">
        <v>400</v>
      </c>
    </row>
    <row r="44" spans="1:18" hidden="1">
      <c r="A44" s="28">
        <v>12</v>
      </c>
      <c r="B44" s="29" t="s">
        <v>195</v>
      </c>
      <c r="C44" s="29" t="s">
        <v>196</v>
      </c>
      <c r="D44" s="29" t="s">
        <v>197</v>
      </c>
      <c r="E44" s="29" t="s">
        <v>172</v>
      </c>
      <c r="F44" s="28" t="s">
        <v>382</v>
      </c>
      <c r="G44" s="28" t="s">
        <v>383</v>
      </c>
      <c r="H44" s="28" t="s">
        <v>384</v>
      </c>
      <c r="I44" s="28">
        <v>1</v>
      </c>
      <c r="J44" s="30">
        <v>0.09</v>
      </c>
      <c r="K44" s="28" t="s">
        <v>401</v>
      </c>
      <c r="L44" s="31">
        <v>42705</v>
      </c>
      <c r="M44" s="28">
        <v>12</v>
      </c>
      <c r="N44" s="32" t="s">
        <v>176</v>
      </c>
      <c r="O44" s="28" t="s">
        <v>204</v>
      </c>
      <c r="P44" s="28" t="s">
        <v>402</v>
      </c>
      <c r="Q44" s="28" t="s">
        <v>403</v>
      </c>
      <c r="R44" s="28" t="s">
        <v>404</v>
      </c>
    </row>
    <row r="45" spans="1:18" hidden="1">
      <c r="A45" s="28">
        <v>12</v>
      </c>
      <c r="B45" s="29" t="s">
        <v>195</v>
      </c>
      <c r="C45" s="29" t="s">
        <v>196</v>
      </c>
      <c r="D45" s="29" t="s">
        <v>197</v>
      </c>
      <c r="E45" s="29" t="s">
        <v>172</v>
      </c>
      <c r="F45" s="28" t="s">
        <v>382</v>
      </c>
      <c r="G45" s="28" t="s">
        <v>383</v>
      </c>
      <c r="H45" s="28" t="s">
        <v>384</v>
      </c>
      <c r="I45" s="28">
        <v>1</v>
      </c>
      <c r="J45" s="30">
        <v>0.09</v>
      </c>
      <c r="K45" s="28" t="s">
        <v>405</v>
      </c>
      <c r="L45" s="31">
        <v>43221</v>
      </c>
      <c r="M45" s="28">
        <v>5</v>
      </c>
      <c r="N45" s="32" t="s">
        <v>191</v>
      </c>
      <c r="O45" s="28" t="s">
        <v>204</v>
      </c>
      <c r="P45" s="28" t="s">
        <v>406</v>
      </c>
      <c r="Q45" s="28" t="s">
        <v>407</v>
      </c>
      <c r="R45" s="28" t="s">
        <v>408</v>
      </c>
    </row>
    <row r="46" spans="1:18" hidden="1">
      <c r="A46" s="28">
        <v>12</v>
      </c>
      <c r="B46" s="29" t="s">
        <v>195</v>
      </c>
      <c r="C46" s="29" t="s">
        <v>196</v>
      </c>
      <c r="D46" s="29" t="s">
        <v>197</v>
      </c>
      <c r="E46" s="29" t="s">
        <v>172</v>
      </c>
      <c r="F46" s="28" t="s">
        <v>382</v>
      </c>
      <c r="G46" s="28" t="s">
        <v>390</v>
      </c>
      <c r="H46" s="28" t="s">
        <v>384</v>
      </c>
      <c r="I46" s="28">
        <v>1</v>
      </c>
      <c r="J46" s="30">
        <v>0.09</v>
      </c>
      <c r="K46" s="28" t="s">
        <v>212</v>
      </c>
      <c r="L46" s="31">
        <v>43313</v>
      </c>
      <c r="M46" s="28">
        <v>8</v>
      </c>
      <c r="N46" s="32" t="s">
        <v>184</v>
      </c>
      <c r="O46" s="28" t="s">
        <v>204</v>
      </c>
      <c r="P46" s="28" t="s">
        <v>409</v>
      </c>
      <c r="Q46" s="28" t="s">
        <v>410</v>
      </c>
      <c r="R46" s="28" t="s">
        <v>408</v>
      </c>
    </row>
    <row r="47" spans="1:18" hidden="1">
      <c r="A47" s="28">
        <v>12</v>
      </c>
      <c r="B47" s="29" t="s">
        <v>195</v>
      </c>
      <c r="C47" s="29" t="s">
        <v>196</v>
      </c>
      <c r="D47" s="29" t="s">
        <v>197</v>
      </c>
      <c r="E47" s="29" t="s">
        <v>172</v>
      </c>
      <c r="F47" s="28" t="s">
        <v>382</v>
      </c>
      <c r="G47" s="28" t="s">
        <v>383</v>
      </c>
      <c r="H47" s="28" t="s">
        <v>384</v>
      </c>
      <c r="I47" s="28">
        <v>1</v>
      </c>
      <c r="J47" s="30">
        <v>0.09</v>
      </c>
      <c r="K47" s="28" t="s">
        <v>411</v>
      </c>
      <c r="L47" s="31">
        <v>43556</v>
      </c>
      <c r="M47" s="28">
        <v>4</v>
      </c>
      <c r="N47" s="32" t="s">
        <v>191</v>
      </c>
      <c r="O47" s="28" t="s">
        <v>204</v>
      </c>
      <c r="P47" s="28" t="s">
        <v>412</v>
      </c>
      <c r="Q47" s="28" t="s">
        <v>413</v>
      </c>
      <c r="R47" s="28" t="s">
        <v>414</v>
      </c>
    </row>
    <row r="48" spans="1:18" hidden="1">
      <c r="A48" s="28">
        <v>12</v>
      </c>
      <c r="B48" s="29" t="s">
        <v>195</v>
      </c>
      <c r="C48" s="29" t="s">
        <v>196</v>
      </c>
      <c r="D48" s="29" t="s">
        <v>197</v>
      </c>
      <c r="E48" s="29" t="s">
        <v>172</v>
      </c>
      <c r="F48" s="28" t="s">
        <v>382</v>
      </c>
      <c r="G48" s="28" t="s">
        <v>383</v>
      </c>
      <c r="H48" s="28" t="s">
        <v>384</v>
      </c>
      <c r="I48" s="28">
        <v>1</v>
      </c>
      <c r="J48" s="30">
        <v>0.09</v>
      </c>
      <c r="K48" s="28" t="s">
        <v>415</v>
      </c>
      <c r="L48" s="31">
        <v>43952</v>
      </c>
      <c r="M48" s="28">
        <v>5</v>
      </c>
      <c r="N48" s="32" t="s">
        <v>191</v>
      </c>
      <c r="O48" s="28" t="s">
        <v>204</v>
      </c>
      <c r="P48" s="28" t="s">
        <v>416</v>
      </c>
      <c r="Q48" s="28" t="s">
        <v>413</v>
      </c>
      <c r="R48" s="28" t="s">
        <v>414</v>
      </c>
    </row>
    <row r="49" spans="1:18" hidden="1">
      <c r="A49" s="28">
        <v>12</v>
      </c>
      <c r="B49" s="29" t="s">
        <v>195</v>
      </c>
      <c r="C49" s="29" t="s">
        <v>202</v>
      </c>
      <c r="D49" s="29" t="s">
        <v>417</v>
      </c>
      <c r="E49" s="29" t="s">
        <v>172</v>
      </c>
      <c r="F49" s="28" t="s">
        <v>382</v>
      </c>
      <c r="G49" s="28" t="s">
        <v>390</v>
      </c>
      <c r="H49" s="28" t="s">
        <v>384</v>
      </c>
      <c r="I49" s="28">
        <v>1</v>
      </c>
      <c r="J49" s="30">
        <v>0.09</v>
      </c>
      <c r="K49" s="28" t="s">
        <v>248</v>
      </c>
      <c r="L49" s="31">
        <v>43070</v>
      </c>
      <c r="M49" s="28">
        <v>12</v>
      </c>
      <c r="N49" s="32" t="s">
        <v>176</v>
      </c>
      <c r="O49" s="28" t="s">
        <v>204</v>
      </c>
      <c r="P49" s="28" t="s">
        <v>418</v>
      </c>
      <c r="Q49" s="28" t="s">
        <v>419</v>
      </c>
      <c r="R49" s="28" t="s">
        <v>420</v>
      </c>
    </row>
    <row r="50" spans="1:18" hidden="1">
      <c r="A50" s="28">
        <v>12</v>
      </c>
      <c r="B50" s="29" t="s">
        <v>195</v>
      </c>
      <c r="C50" s="29" t="s">
        <v>202</v>
      </c>
      <c r="D50" s="29" t="s">
        <v>417</v>
      </c>
      <c r="E50" s="29" t="s">
        <v>172</v>
      </c>
      <c r="F50" s="28" t="s">
        <v>382</v>
      </c>
      <c r="G50" s="28" t="s">
        <v>383</v>
      </c>
      <c r="H50" s="28" t="s">
        <v>384</v>
      </c>
      <c r="I50" s="28">
        <v>1</v>
      </c>
      <c r="J50" s="30">
        <v>0.09</v>
      </c>
      <c r="K50" s="28" t="s">
        <v>411</v>
      </c>
      <c r="L50" s="31">
        <v>43556</v>
      </c>
      <c r="M50" s="28">
        <v>4</v>
      </c>
      <c r="N50" s="32" t="s">
        <v>191</v>
      </c>
      <c r="O50" s="28" t="s">
        <v>204</v>
      </c>
      <c r="P50" s="28" t="s">
        <v>421</v>
      </c>
      <c r="Q50" s="28" t="s">
        <v>422</v>
      </c>
      <c r="R50" s="28" t="s">
        <v>423</v>
      </c>
    </row>
    <row r="51" spans="1:18" hidden="1">
      <c r="A51" s="28">
        <v>12</v>
      </c>
      <c r="B51" s="29" t="s">
        <v>195</v>
      </c>
      <c r="C51" s="29" t="s">
        <v>202</v>
      </c>
      <c r="D51" s="29" t="s">
        <v>417</v>
      </c>
      <c r="E51" s="29" t="s">
        <v>172</v>
      </c>
      <c r="F51" s="28" t="s">
        <v>382</v>
      </c>
      <c r="G51" s="28" t="s">
        <v>390</v>
      </c>
      <c r="H51" s="28" t="s">
        <v>384</v>
      </c>
      <c r="I51" s="28">
        <v>1</v>
      </c>
      <c r="J51" s="30">
        <v>0.09</v>
      </c>
      <c r="K51" s="28" t="s">
        <v>424</v>
      </c>
      <c r="L51" s="31">
        <v>43678</v>
      </c>
      <c r="M51" s="28">
        <v>8</v>
      </c>
      <c r="N51" s="32" t="s">
        <v>184</v>
      </c>
      <c r="O51" s="28" t="s">
        <v>204</v>
      </c>
      <c r="P51" s="28" t="s">
        <v>425</v>
      </c>
      <c r="Q51" s="28" t="s">
        <v>426</v>
      </c>
      <c r="R51" s="28" t="s">
        <v>427</v>
      </c>
    </row>
    <row r="52" spans="1:18" hidden="1">
      <c r="A52" s="28">
        <v>12</v>
      </c>
      <c r="B52" s="29" t="s">
        <v>195</v>
      </c>
      <c r="C52" s="29" t="s">
        <v>202</v>
      </c>
      <c r="D52" s="29" t="s">
        <v>417</v>
      </c>
      <c r="E52" s="29" t="s">
        <v>172</v>
      </c>
      <c r="F52" s="28" t="s">
        <v>382</v>
      </c>
      <c r="G52" s="28" t="s">
        <v>390</v>
      </c>
      <c r="H52" s="28" t="s">
        <v>384</v>
      </c>
      <c r="I52" s="28">
        <v>1</v>
      </c>
      <c r="J52" s="30">
        <v>0.09</v>
      </c>
      <c r="K52" s="28" t="s">
        <v>324</v>
      </c>
      <c r="L52" s="31">
        <v>43862</v>
      </c>
      <c r="M52" s="28">
        <v>2</v>
      </c>
      <c r="N52" s="32" t="s">
        <v>176</v>
      </c>
      <c r="O52" s="28" t="s">
        <v>204</v>
      </c>
      <c r="P52" s="28" t="s">
        <v>428</v>
      </c>
      <c r="Q52" s="28" t="s">
        <v>426</v>
      </c>
      <c r="R52" s="28" t="s">
        <v>429</v>
      </c>
    </row>
    <row r="53" spans="1:18" hidden="1">
      <c r="A53" s="28">
        <v>12</v>
      </c>
      <c r="B53" s="29" t="s">
        <v>195</v>
      </c>
      <c r="C53" s="29" t="s">
        <v>202</v>
      </c>
      <c r="D53" s="29" t="s">
        <v>417</v>
      </c>
      <c r="E53" s="29" t="s">
        <v>172</v>
      </c>
      <c r="F53" s="28" t="s">
        <v>382</v>
      </c>
      <c r="G53" s="28" t="s">
        <v>390</v>
      </c>
      <c r="H53" s="28" t="s">
        <v>384</v>
      </c>
      <c r="I53" s="28">
        <v>1</v>
      </c>
      <c r="J53" s="30">
        <v>0.09</v>
      </c>
      <c r="K53" s="28" t="s">
        <v>430</v>
      </c>
      <c r="L53" s="31">
        <v>44105</v>
      </c>
      <c r="M53" s="28">
        <v>10</v>
      </c>
      <c r="N53" s="32" t="s">
        <v>191</v>
      </c>
      <c r="O53" s="28" t="s">
        <v>204</v>
      </c>
      <c r="P53" s="28" t="s">
        <v>431</v>
      </c>
      <c r="Q53" s="28" t="s">
        <v>432</v>
      </c>
      <c r="R53" s="28" t="s">
        <v>433</v>
      </c>
    </row>
    <row r="54" spans="1:18" hidden="1">
      <c r="A54" s="28">
        <v>12</v>
      </c>
      <c r="B54" s="29" t="s">
        <v>195</v>
      </c>
      <c r="C54" s="29" t="s">
        <v>202</v>
      </c>
      <c r="D54" s="29" t="s">
        <v>434</v>
      </c>
      <c r="E54" s="29" t="s">
        <v>172</v>
      </c>
      <c r="F54" s="28" t="s">
        <v>382</v>
      </c>
      <c r="G54" s="28" t="s">
        <v>390</v>
      </c>
      <c r="H54" s="28" t="s">
        <v>384</v>
      </c>
      <c r="I54" s="28">
        <v>1</v>
      </c>
      <c r="J54" s="30">
        <v>0.09</v>
      </c>
      <c r="K54" s="28" t="s">
        <v>435</v>
      </c>
      <c r="L54" s="31">
        <v>43040</v>
      </c>
      <c r="M54" s="28">
        <v>11</v>
      </c>
      <c r="N54" s="32" t="s">
        <v>191</v>
      </c>
      <c r="O54" s="28" t="s">
        <v>204</v>
      </c>
      <c r="P54" s="28" t="s">
        <v>436</v>
      </c>
      <c r="Q54" s="28" t="s">
        <v>426</v>
      </c>
      <c r="R54" s="28" t="s">
        <v>437</v>
      </c>
    </row>
    <row r="55" spans="1:18" hidden="1">
      <c r="A55" s="28">
        <v>12</v>
      </c>
      <c r="B55" s="29" t="s">
        <v>195</v>
      </c>
      <c r="C55" s="29" t="s">
        <v>202</v>
      </c>
      <c r="D55" s="29" t="s">
        <v>203</v>
      </c>
      <c r="E55" s="29" t="s">
        <v>172</v>
      </c>
      <c r="F55" s="28" t="s">
        <v>382</v>
      </c>
      <c r="G55" s="28" t="s">
        <v>383</v>
      </c>
      <c r="H55" s="28" t="s">
        <v>384</v>
      </c>
      <c r="I55" s="28">
        <v>1</v>
      </c>
      <c r="J55" s="30">
        <v>0.09</v>
      </c>
      <c r="K55" s="28" t="s">
        <v>198</v>
      </c>
      <c r="L55" s="31">
        <v>42767</v>
      </c>
      <c r="M55" s="28">
        <v>2</v>
      </c>
      <c r="N55" s="32" t="s">
        <v>176</v>
      </c>
      <c r="O55" s="28" t="s">
        <v>204</v>
      </c>
      <c r="P55" s="28" t="s">
        <v>438</v>
      </c>
      <c r="Q55" s="28" t="s">
        <v>439</v>
      </c>
      <c r="R55" s="28" t="s">
        <v>440</v>
      </c>
    </row>
    <row r="56" spans="1:18" hidden="1">
      <c r="A56" s="28">
        <v>12</v>
      </c>
      <c r="B56" s="29" t="s">
        <v>195</v>
      </c>
      <c r="C56" s="29" t="s">
        <v>202</v>
      </c>
      <c r="D56" s="29" t="s">
        <v>203</v>
      </c>
      <c r="E56" s="29" t="s">
        <v>172</v>
      </c>
      <c r="F56" s="28" t="s">
        <v>382</v>
      </c>
      <c r="G56" s="28" t="s">
        <v>383</v>
      </c>
      <c r="H56" s="28" t="s">
        <v>384</v>
      </c>
      <c r="I56" s="28">
        <v>1</v>
      </c>
      <c r="J56" s="30">
        <v>0.09</v>
      </c>
      <c r="K56" s="28" t="s">
        <v>361</v>
      </c>
      <c r="L56" s="31">
        <v>43435</v>
      </c>
      <c r="M56" s="28">
        <v>12</v>
      </c>
      <c r="N56" s="32" t="s">
        <v>176</v>
      </c>
      <c r="O56" s="28" t="s">
        <v>204</v>
      </c>
      <c r="P56" s="28" t="s">
        <v>441</v>
      </c>
      <c r="Q56" s="28" t="s">
        <v>439</v>
      </c>
      <c r="R56" s="28" t="s">
        <v>440</v>
      </c>
    </row>
    <row r="57" spans="1:18" hidden="1">
      <c r="A57" s="28">
        <v>12</v>
      </c>
      <c r="B57" s="29" t="s">
        <v>195</v>
      </c>
      <c r="C57" s="29" t="s">
        <v>202</v>
      </c>
      <c r="D57" s="29" t="s">
        <v>203</v>
      </c>
      <c r="E57" s="29" t="s">
        <v>172</v>
      </c>
      <c r="F57" s="28" t="s">
        <v>382</v>
      </c>
      <c r="G57" s="28" t="s">
        <v>383</v>
      </c>
      <c r="H57" s="28" t="s">
        <v>384</v>
      </c>
      <c r="I57" s="28">
        <v>1</v>
      </c>
      <c r="J57" s="30">
        <v>0.09</v>
      </c>
      <c r="K57" s="28" t="s">
        <v>442</v>
      </c>
      <c r="L57" s="31">
        <v>43647</v>
      </c>
      <c r="M57" s="28">
        <v>7</v>
      </c>
      <c r="N57" s="32" t="s">
        <v>184</v>
      </c>
      <c r="O57" s="28" t="s">
        <v>204</v>
      </c>
      <c r="P57" s="28" t="s">
        <v>443</v>
      </c>
      <c r="Q57" s="28" t="s">
        <v>444</v>
      </c>
      <c r="R57" s="28" t="s">
        <v>440</v>
      </c>
    </row>
    <row r="58" spans="1:18" hidden="1">
      <c r="A58" s="28">
        <v>12</v>
      </c>
      <c r="B58" s="29" t="s">
        <v>195</v>
      </c>
      <c r="C58" s="29" t="s">
        <v>202</v>
      </c>
      <c r="D58" s="29" t="s">
        <v>445</v>
      </c>
      <c r="E58" s="29" t="s">
        <v>172</v>
      </c>
      <c r="F58" s="28" t="s">
        <v>382</v>
      </c>
      <c r="G58" s="28" t="s">
        <v>383</v>
      </c>
      <c r="H58" s="28" t="s">
        <v>384</v>
      </c>
      <c r="I58" s="28">
        <v>1</v>
      </c>
      <c r="J58" s="30">
        <v>0.09</v>
      </c>
      <c r="K58" s="28" t="s">
        <v>405</v>
      </c>
      <c r="L58" s="31">
        <v>43221</v>
      </c>
      <c r="M58" s="28">
        <v>5</v>
      </c>
      <c r="N58" s="32" t="s">
        <v>191</v>
      </c>
      <c r="O58" s="28" t="s">
        <v>204</v>
      </c>
      <c r="P58" s="28" t="s">
        <v>446</v>
      </c>
      <c r="Q58" s="28" t="s">
        <v>447</v>
      </c>
      <c r="R58" s="28" t="s">
        <v>448</v>
      </c>
    </row>
    <row r="59" spans="1:18" hidden="1">
      <c r="A59" s="28">
        <v>12</v>
      </c>
      <c r="B59" s="29" t="s">
        <v>195</v>
      </c>
      <c r="C59" s="29" t="s">
        <v>202</v>
      </c>
      <c r="D59" s="29" t="s">
        <v>445</v>
      </c>
      <c r="E59" s="29" t="s">
        <v>172</v>
      </c>
      <c r="F59" s="28" t="s">
        <v>382</v>
      </c>
      <c r="G59" s="28" t="s">
        <v>383</v>
      </c>
      <c r="H59" s="28" t="s">
        <v>384</v>
      </c>
      <c r="I59" s="28">
        <v>1</v>
      </c>
      <c r="J59" s="30">
        <v>0.09</v>
      </c>
      <c r="K59" s="28" t="s">
        <v>449</v>
      </c>
      <c r="L59" s="31">
        <v>44197</v>
      </c>
      <c r="M59" s="28">
        <v>1</v>
      </c>
      <c r="N59" s="32" t="s">
        <v>176</v>
      </c>
      <c r="O59" s="28" t="s">
        <v>204</v>
      </c>
      <c r="P59" s="28" t="s">
        <v>450</v>
      </c>
      <c r="Q59" s="28" t="s">
        <v>451</v>
      </c>
      <c r="R59" s="28" t="s">
        <v>452</v>
      </c>
    </row>
    <row r="60" spans="1:18" hidden="1">
      <c r="A60" s="28">
        <v>12</v>
      </c>
      <c r="B60" s="29" t="s">
        <v>195</v>
      </c>
      <c r="C60" s="29" t="s">
        <v>225</v>
      </c>
      <c r="D60" s="29" t="s">
        <v>453</v>
      </c>
      <c r="E60" s="29" t="s">
        <v>172</v>
      </c>
      <c r="F60" s="28" t="s">
        <v>382</v>
      </c>
      <c r="G60" s="28" t="s">
        <v>390</v>
      </c>
      <c r="H60" s="28" t="s">
        <v>384</v>
      </c>
      <c r="I60" s="28">
        <v>1</v>
      </c>
      <c r="J60" s="30">
        <v>0.09</v>
      </c>
      <c r="K60" s="28" t="s">
        <v>190</v>
      </c>
      <c r="L60" s="31">
        <v>44287</v>
      </c>
      <c r="M60" s="28">
        <v>4</v>
      </c>
      <c r="N60" s="32" t="s">
        <v>191</v>
      </c>
      <c r="O60" s="28" t="s">
        <v>204</v>
      </c>
      <c r="P60" s="28" t="s">
        <v>454</v>
      </c>
      <c r="Q60" s="28" t="s">
        <v>455</v>
      </c>
      <c r="R60" s="28" t="s">
        <v>456</v>
      </c>
    </row>
    <row r="61" spans="1:18" hidden="1">
      <c r="A61" s="28">
        <v>12</v>
      </c>
      <c r="B61" s="29" t="s">
        <v>195</v>
      </c>
      <c r="C61" s="29" t="s">
        <v>230</v>
      </c>
      <c r="D61" s="29" t="s">
        <v>231</v>
      </c>
      <c r="E61" s="29" t="s">
        <v>172</v>
      </c>
      <c r="F61" s="28" t="s">
        <v>382</v>
      </c>
      <c r="G61" s="28" t="s">
        <v>383</v>
      </c>
      <c r="H61" s="28" t="s">
        <v>384</v>
      </c>
      <c r="I61" s="28">
        <v>1</v>
      </c>
      <c r="J61" s="30">
        <v>0.09</v>
      </c>
      <c r="K61" s="28" t="s">
        <v>243</v>
      </c>
      <c r="L61" s="31">
        <v>42461</v>
      </c>
      <c r="M61" s="28">
        <v>4</v>
      </c>
      <c r="N61" s="32" t="s">
        <v>191</v>
      </c>
      <c r="O61" s="28" t="s">
        <v>204</v>
      </c>
      <c r="P61" s="28" t="s">
        <v>457</v>
      </c>
      <c r="Q61" s="28" t="s">
        <v>458</v>
      </c>
      <c r="R61" s="28" t="s">
        <v>459</v>
      </c>
    </row>
    <row r="62" spans="1:18" hidden="1">
      <c r="A62" s="28">
        <v>12</v>
      </c>
      <c r="B62" s="29" t="s">
        <v>195</v>
      </c>
      <c r="C62" s="29" t="s">
        <v>230</v>
      </c>
      <c r="D62" s="29" t="s">
        <v>231</v>
      </c>
      <c r="E62" s="29" t="s">
        <v>172</v>
      </c>
      <c r="F62" s="28" t="s">
        <v>382</v>
      </c>
      <c r="G62" s="28" t="s">
        <v>383</v>
      </c>
      <c r="H62" s="28" t="s">
        <v>384</v>
      </c>
      <c r="I62" s="28">
        <v>1</v>
      </c>
      <c r="J62" s="30">
        <v>0.09</v>
      </c>
      <c r="K62" s="28" t="s">
        <v>460</v>
      </c>
      <c r="L62" s="31">
        <v>42675</v>
      </c>
      <c r="M62" s="28">
        <v>11</v>
      </c>
      <c r="N62" s="32" t="s">
        <v>191</v>
      </c>
      <c r="O62" s="28" t="s">
        <v>204</v>
      </c>
      <c r="P62" s="28" t="s">
        <v>461</v>
      </c>
      <c r="Q62" s="28" t="s">
        <v>462</v>
      </c>
      <c r="R62" s="28" t="s">
        <v>463</v>
      </c>
    </row>
    <row r="63" spans="1:18" hidden="1">
      <c r="A63" s="28">
        <v>12</v>
      </c>
      <c r="B63" s="29" t="s">
        <v>195</v>
      </c>
      <c r="C63" s="29" t="s">
        <v>230</v>
      </c>
      <c r="D63" s="29" t="s">
        <v>231</v>
      </c>
      <c r="E63" s="29" t="s">
        <v>172</v>
      </c>
      <c r="F63" s="28" t="s">
        <v>382</v>
      </c>
      <c r="G63" s="28" t="s">
        <v>390</v>
      </c>
      <c r="H63" s="28" t="s">
        <v>384</v>
      </c>
      <c r="I63" s="28">
        <v>1</v>
      </c>
      <c r="J63" s="30">
        <v>0.09</v>
      </c>
      <c r="K63" s="28" t="s">
        <v>464</v>
      </c>
      <c r="L63" s="31">
        <v>42887</v>
      </c>
      <c r="M63" s="28">
        <v>6</v>
      </c>
      <c r="N63" s="32" t="s">
        <v>184</v>
      </c>
      <c r="O63" s="28" t="s">
        <v>204</v>
      </c>
      <c r="P63" s="28" t="s">
        <v>465</v>
      </c>
      <c r="Q63" s="28" t="s">
        <v>466</v>
      </c>
      <c r="R63" s="28" t="s">
        <v>467</v>
      </c>
    </row>
    <row r="64" spans="1:18" hidden="1">
      <c r="A64" s="28">
        <v>12</v>
      </c>
      <c r="B64" s="29" t="s">
        <v>195</v>
      </c>
      <c r="C64" s="29" t="s">
        <v>230</v>
      </c>
      <c r="D64" s="29" t="s">
        <v>231</v>
      </c>
      <c r="E64" s="29" t="s">
        <v>172</v>
      </c>
      <c r="F64" s="28" t="s">
        <v>382</v>
      </c>
      <c r="G64" s="28" t="s">
        <v>383</v>
      </c>
      <c r="H64" s="28" t="s">
        <v>384</v>
      </c>
      <c r="I64" s="28">
        <v>1</v>
      </c>
      <c r="J64" s="30">
        <v>0.09</v>
      </c>
      <c r="K64" s="28" t="s">
        <v>435</v>
      </c>
      <c r="L64" s="31">
        <v>43040</v>
      </c>
      <c r="M64" s="28">
        <v>11</v>
      </c>
      <c r="N64" s="32" t="s">
        <v>191</v>
      </c>
      <c r="O64" s="28" t="s">
        <v>204</v>
      </c>
      <c r="P64" s="28" t="s">
        <v>468</v>
      </c>
      <c r="Q64" s="28" t="s">
        <v>469</v>
      </c>
      <c r="R64" s="28" t="s">
        <v>470</v>
      </c>
    </row>
    <row r="65" spans="1:18" hidden="1">
      <c r="A65" s="28">
        <v>12</v>
      </c>
      <c r="B65" s="29" t="s">
        <v>195</v>
      </c>
      <c r="C65" s="29" t="s">
        <v>230</v>
      </c>
      <c r="D65" s="29" t="s">
        <v>231</v>
      </c>
      <c r="E65" s="29" t="s">
        <v>172</v>
      </c>
      <c r="F65" s="28" t="s">
        <v>382</v>
      </c>
      <c r="G65" s="28" t="s">
        <v>383</v>
      </c>
      <c r="H65" s="28" t="s">
        <v>384</v>
      </c>
      <c r="I65" s="28">
        <v>1</v>
      </c>
      <c r="J65" s="30">
        <v>0.09</v>
      </c>
      <c r="K65" s="28" t="s">
        <v>248</v>
      </c>
      <c r="L65" s="31">
        <v>43070</v>
      </c>
      <c r="M65" s="28">
        <v>12</v>
      </c>
      <c r="N65" s="32" t="s">
        <v>176</v>
      </c>
      <c r="O65" s="28" t="s">
        <v>204</v>
      </c>
      <c r="P65" s="28" t="s">
        <v>471</v>
      </c>
      <c r="Q65" s="28" t="s">
        <v>466</v>
      </c>
      <c r="R65" s="28" t="s">
        <v>472</v>
      </c>
    </row>
    <row r="66" spans="1:18" hidden="1">
      <c r="A66" s="28">
        <v>12</v>
      </c>
      <c r="B66" s="29" t="s">
        <v>195</v>
      </c>
      <c r="C66" s="29" t="s">
        <v>230</v>
      </c>
      <c r="D66" s="29" t="s">
        <v>231</v>
      </c>
      <c r="E66" s="29" t="s">
        <v>172</v>
      </c>
      <c r="F66" s="28" t="s">
        <v>382</v>
      </c>
      <c r="G66" s="28" t="s">
        <v>390</v>
      </c>
      <c r="H66" s="28" t="s">
        <v>384</v>
      </c>
      <c r="I66" s="28">
        <v>1</v>
      </c>
      <c r="J66" s="30">
        <v>0.09</v>
      </c>
      <c r="K66" s="28" t="s">
        <v>473</v>
      </c>
      <c r="L66" s="31">
        <v>43160</v>
      </c>
      <c r="M66" s="28">
        <v>3</v>
      </c>
      <c r="N66" s="32" t="s">
        <v>191</v>
      </c>
      <c r="O66" s="28" t="s">
        <v>204</v>
      </c>
      <c r="P66" s="28" t="s">
        <v>474</v>
      </c>
      <c r="Q66" s="28" t="s">
        <v>466</v>
      </c>
      <c r="R66" s="28" t="s">
        <v>467</v>
      </c>
    </row>
    <row r="67" spans="1:18" hidden="1">
      <c r="A67" s="28">
        <v>12</v>
      </c>
      <c r="B67" s="29" t="s">
        <v>195</v>
      </c>
      <c r="C67" s="29" t="s">
        <v>230</v>
      </c>
      <c r="D67" s="29" t="s">
        <v>231</v>
      </c>
      <c r="E67" s="29" t="s">
        <v>172</v>
      </c>
      <c r="F67" s="28" t="s">
        <v>382</v>
      </c>
      <c r="G67" s="28" t="s">
        <v>383</v>
      </c>
      <c r="H67" s="28" t="s">
        <v>384</v>
      </c>
      <c r="I67" s="28">
        <v>1</v>
      </c>
      <c r="J67" s="30">
        <v>0.09</v>
      </c>
      <c r="K67" s="28" t="s">
        <v>475</v>
      </c>
      <c r="L67" s="31">
        <v>43191</v>
      </c>
      <c r="M67" s="28">
        <v>4</v>
      </c>
      <c r="N67" s="32" t="s">
        <v>191</v>
      </c>
      <c r="O67" s="28" t="s">
        <v>204</v>
      </c>
      <c r="P67" s="28" t="s">
        <v>476</v>
      </c>
      <c r="Q67" s="28" t="s">
        <v>466</v>
      </c>
      <c r="R67" s="28" t="s">
        <v>472</v>
      </c>
    </row>
    <row r="68" spans="1:18" hidden="1">
      <c r="A68" s="28">
        <v>12</v>
      </c>
      <c r="B68" s="29" t="s">
        <v>195</v>
      </c>
      <c r="C68" s="29" t="s">
        <v>230</v>
      </c>
      <c r="D68" s="29" t="s">
        <v>231</v>
      </c>
      <c r="E68" s="29" t="s">
        <v>172</v>
      </c>
      <c r="F68" s="28" t="s">
        <v>382</v>
      </c>
      <c r="G68" s="28" t="s">
        <v>390</v>
      </c>
      <c r="H68" s="28" t="s">
        <v>384</v>
      </c>
      <c r="I68" s="28">
        <v>1</v>
      </c>
      <c r="J68" s="30">
        <v>0.09</v>
      </c>
      <c r="K68" s="28" t="s">
        <v>212</v>
      </c>
      <c r="L68" s="31">
        <v>43313</v>
      </c>
      <c r="M68" s="28">
        <v>8</v>
      </c>
      <c r="N68" s="32" t="s">
        <v>184</v>
      </c>
      <c r="O68" s="28" t="s">
        <v>204</v>
      </c>
      <c r="P68" s="28" t="s">
        <v>477</v>
      </c>
      <c r="Q68" s="28" t="s">
        <v>466</v>
      </c>
      <c r="R68" s="28" t="s">
        <v>472</v>
      </c>
    </row>
    <row r="69" spans="1:18" hidden="1">
      <c r="A69" s="28">
        <v>12</v>
      </c>
      <c r="B69" s="29" t="s">
        <v>195</v>
      </c>
      <c r="C69" s="29" t="s">
        <v>230</v>
      </c>
      <c r="D69" s="29" t="s">
        <v>231</v>
      </c>
      <c r="E69" s="29" t="s">
        <v>172</v>
      </c>
      <c r="F69" s="28" t="s">
        <v>382</v>
      </c>
      <c r="G69" s="28" t="s">
        <v>390</v>
      </c>
      <c r="H69" s="28" t="s">
        <v>384</v>
      </c>
      <c r="I69" s="28">
        <v>1</v>
      </c>
      <c r="J69" s="30">
        <v>0.09</v>
      </c>
      <c r="K69" s="28" t="s">
        <v>212</v>
      </c>
      <c r="L69" s="31">
        <v>43313</v>
      </c>
      <c r="M69" s="28">
        <v>8</v>
      </c>
      <c r="N69" s="32" t="s">
        <v>184</v>
      </c>
      <c r="O69" s="28" t="s">
        <v>204</v>
      </c>
      <c r="P69" s="28" t="s">
        <v>478</v>
      </c>
      <c r="Q69" s="28" t="s">
        <v>466</v>
      </c>
      <c r="R69" s="28" t="s">
        <v>467</v>
      </c>
    </row>
    <row r="70" spans="1:18" hidden="1">
      <c r="A70" s="28">
        <v>12</v>
      </c>
      <c r="B70" s="29" t="s">
        <v>195</v>
      </c>
      <c r="C70" s="29" t="s">
        <v>230</v>
      </c>
      <c r="D70" s="29" t="s">
        <v>231</v>
      </c>
      <c r="E70" s="29" t="s">
        <v>172</v>
      </c>
      <c r="F70" s="28" t="s">
        <v>382</v>
      </c>
      <c r="G70" s="28" t="s">
        <v>383</v>
      </c>
      <c r="H70" s="28" t="s">
        <v>384</v>
      </c>
      <c r="I70" s="28">
        <v>1</v>
      </c>
      <c r="J70" s="30">
        <v>0.09</v>
      </c>
      <c r="K70" s="28" t="s">
        <v>479</v>
      </c>
      <c r="L70" s="31">
        <v>43770</v>
      </c>
      <c r="M70" s="28">
        <v>11</v>
      </c>
      <c r="N70" s="32" t="s">
        <v>191</v>
      </c>
      <c r="O70" s="28" t="s">
        <v>204</v>
      </c>
      <c r="P70" s="28" t="s">
        <v>480</v>
      </c>
      <c r="Q70" s="28" t="s">
        <v>466</v>
      </c>
      <c r="R70" s="28" t="s">
        <v>472</v>
      </c>
    </row>
    <row r="71" spans="1:18" hidden="1">
      <c r="A71" s="28">
        <v>12</v>
      </c>
      <c r="B71" s="29" t="s">
        <v>195</v>
      </c>
      <c r="C71" s="29" t="s">
        <v>230</v>
      </c>
      <c r="D71" s="29" t="s">
        <v>231</v>
      </c>
      <c r="E71" s="29" t="s">
        <v>172</v>
      </c>
      <c r="F71" s="28" t="s">
        <v>382</v>
      </c>
      <c r="G71" s="28" t="s">
        <v>383</v>
      </c>
      <c r="H71" s="28" t="s">
        <v>384</v>
      </c>
      <c r="I71" s="28">
        <v>1</v>
      </c>
      <c r="J71" s="30">
        <v>0.09</v>
      </c>
      <c r="K71" s="28" t="s">
        <v>430</v>
      </c>
      <c r="L71" s="31">
        <v>44105</v>
      </c>
      <c r="M71" s="28">
        <v>10</v>
      </c>
      <c r="N71" s="32" t="s">
        <v>191</v>
      </c>
      <c r="O71" s="28" t="s">
        <v>204</v>
      </c>
      <c r="P71" s="28" t="s">
        <v>481</v>
      </c>
      <c r="Q71" s="28" t="s">
        <v>482</v>
      </c>
      <c r="R71" s="28" t="s">
        <v>467</v>
      </c>
    </row>
    <row r="72" spans="1:18" hidden="1">
      <c r="A72" s="28">
        <v>12</v>
      </c>
      <c r="B72" s="29" t="s">
        <v>195</v>
      </c>
      <c r="C72" s="29" t="s">
        <v>230</v>
      </c>
      <c r="D72" s="29" t="s">
        <v>231</v>
      </c>
      <c r="E72" s="29" t="s">
        <v>172</v>
      </c>
      <c r="F72" s="28" t="s">
        <v>382</v>
      </c>
      <c r="G72" s="28" t="s">
        <v>390</v>
      </c>
      <c r="H72" s="28" t="s">
        <v>384</v>
      </c>
      <c r="I72" s="28">
        <v>1</v>
      </c>
      <c r="J72" s="30">
        <v>0.09</v>
      </c>
      <c r="K72" s="28" t="s">
        <v>483</v>
      </c>
      <c r="L72" s="31">
        <v>44197</v>
      </c>
      <c r="M72" s="28">
        <v>1</v>
      </c>
      <c r="N72" s="32" t="s">
        <v>176</v>
      </c>
      <c r="O72" s="28" t="s">
        <v>204</v>
      </c>
      <c r="P72" s="28" t="s">
        <v>484</v>
      </c>
      <c r="Q72" s="28" t="s">
        <v>466</v>
      </c>
      <c r="R72" s="28" t="s">
        <v>472</v>
      </c>
    </row>
    <row r="73" spans="1:18" hidden="1">
      <c r="A73" s="28">
        <v>2</v>
      </c>
      <c r="B73" s="29" t="s">
        <v>240</v>
      </c>
      <c r="C73" s="29" t="s">
        <v>241</v>
      </c>
      <c r="D73" s="29" t="s">
        <v>242</v>
      </c>
      <c r="E73" s="29" t="s">
        <v>172</v>
      </c>
      <c r="F73" s="28" t="s">
        <v>382</v>
      </c>
      <c r="G73" s="28" t="s">
        <v>390</v>
      </c>
      <c r="H73" s="28" t="s">
        <v>384</v>
      </c>
      <c r="I73" s="28">
        <v>1</v>
      </c>
      <c r="J73" s="30">
        <v>0.09</v>
      </c>
      <c r="K73" s="28" t="s">
        <v>485</v>
      </c>
      <c r="L73" s="31">
        <v>42401</v>
      </c>
      <c r="M73" s="28">
        <v>2</v>
      </c>
      <c r="N73" s="32" t="s">
        <v>176</v>
      </c>
      <c r="O73" s="28" t="s">
        <v>204</v>
      </c>
      <c r="P73" s="28" t="s">
        <v>486</v>
      </c>
      <c r="Q73" s="28" t="s">
        <v>487</v>
      </c>
      <c r="R73" s="28" t="s">
        <v>488</v>
      </c>
    </row>
    <row r="74" spans="1:18" hidden="1">
      <c r="A74" s="28">
        <v>2</v>
      </c>
      <c r="B74" s="29" t="s">
        <v>240</v>
      </c>
      <c r="C74" s="29" t="s">
        <v>241</v>
      </c>
      <c r="D74" s="29" t="s">
        <v>242</v>
      </c>
      <c r="E74" s="29" t="s">
        <v>172</v>
      </c>
      <c r="F74" s="28" t="s">
        <v>382</v>
      </c>
      <c r="G74" s="28" t="s">
        <v>390</v>
      </c>
      <c r="H74" s="28" t="s">
        <v>384</v>
      </c>
      <c r="I74" s="28">
        <v>1</v>
      </c>
      <c r="J74" s="30">
        <v>0.09</v>
      </c>
      <c r="K74" s="28" t="s">
        <v>489</v>
      </c>
      <c r="L74" s="31">
        <v>42491</v>
      </c>
      <c r="M74" s="28">
        <v>5</v>
      </c>
      <c r="N74" s="32" t="s">
        <v>191</v>
      </c>
      <c r="O74" s="28" t="s">
        <v>204</v>
      </c>
      <c r="P74" s="28" t="s">
        <v>490</v>
      </c>
      <c r="Q74" s="28" t="s">
        <v>491</v>
      </c>
      <c r="R74" s="28" t="s">
        <v>492</v>
      </c>
    </row>
    <row r="75" spans="1:18" hidden="1">
      <c r="A75" s="28">
        <v>2</v>
      </c>
      <c r="B75" s="29" t="s">
        <v>240</v>
      </c>
      <c r="C75" s="29" t="s">
        <v>241</v>
      </c>
      <c r="D75" s="29" t="s">
        <v>242</v>
      </c>
      <c r="E75" s="29" t="s">
        <v>172</v>
      </c>
      <c r="F75" s="28" t="s">
        <v>382</v>
      </c>
      <c r="G75" s="28" t="s">
        <v>390</v>
      </c>
      <c r="H75" s="28" t="s">
        <v>384</v>
      </c>
      <c r="I75" s="28">
        <v>1</v>
      </c>
      <c r="J75" s="30">
        <v>0.09</v>
      </c>
      <c r="K75" s="28" t="s">
        <v>198</v>
      </c>
      <c r="L75" s="31">
        <v>42767</v>
      </c>
      <c r="M75" s="28">
        <v>2</v>
      </c>
      <c r="N75" s="32" t="s">
        <v>176</v>
      </c>
      <c r="O75" s="28" t="s">
        <v>204</v>
      </c>
      <c r="P75" s="28" t="s">
        <v>493</v>
      </c>
      <c r="Q75" s="28" t="s">
        <v>494</v>
      </c>
      <c r="R75" s="28" t="s">
        <v>495</v>
      </c>
    </row>
    <row r="76" spans="1:18" hidden="1">
      <c r="A76" s="28">
        <v>2</v>
      </c>
      <c r="B76" s="29" t="s">
        <v>240</v>
      </c>
      <c r="C76" s="29" t="s">
        <v>241</v>
      </c>
      <c r="D76" s="29" t="s">
        <v>242</v>
      </c>
      <c r="E76" s="29" t="s">
        <v>172</v>
      </c>
      <c r="F76" s="28" t="s">
        <v>382</v>
      </c>
      <c r="G76" s="28" t="s">
        <v>383</v>
      </c>
      <c r="H76" s="28" t="s">
        <v>384</v>
      </c>
      <c r="I76" s="28">
        <v>1</v>
      </c>
      <c r="J76" s="30">
        <v>0.09</v>
      </c>
      <c r="K76" s="28" t="s">
        <v>496</v>
      </c>
      <c r="L76" s="31">
        <v>42917</v>
      </c>
      <c r="M76" s="28">
        <v>7</v>
      </c>
      <c r="N76" s="32" t="s">
        <v>184</v>
      </c>
      <c r="O76" s="28" t="s">
        <v>204</v>
      </c>
      <c r="P76" s="28" t="s">
        <v>497</v>
      </c>
      <c r="Q76" s="28" t="s">
        <v>498</v>
      </c>
      <c r="R76" s="28" t="s">
        <v>499</v>
      </c>
    </row>
    <row r="77" spans="1:18" hidden="1">
      <c r="A77" s="28">
        <v>2</v>
      </c>
      <c r="B77" s="29" t="s">
        <v>240</v>
      </c>
      <c r="C77" s="29" t="s">
        <v>241</v>
      </c>
      <c r="D77" s="29" t="s">
        <v>242</v>
      </c>
      <c r="E77" s="29" t="s">
        <v>172</v>
      </c>
      <c r="F77" s="28" t="s">
        <v>382</v>
      </c>
      <c r="G77" s="28" t="s">
        <v>390</v>
      </c>
      <c r="H77" s="28" t="s">
        <v>384</v>
      </c>
      <c r="I77" s="28">
        <v>1</v>
      </c>
      <c r="J77" s="30">
        <v>0.09</v>
      </c>
      <c r="K77" s="28" t="s">
        <v>302</v>
      </c>
      <c r="L77" s="31">
        <v>43282</v>
      </c>
      <c r="M77" s="28">
        <v>7</v>
      </c>
      <c r="N77" s="32" t="s">
        <v>184</v>
      </c>
      <c r="O77" s="28" t="s">
        <v>204</v>
      </c>
      <c r="P77" s="28" t="s">
        <v>500</v>
      </c>
      <c r="Q77" s="28" t="s">
        <v>494</v>
      </c>
      <c r="R77" s="28" t="s">
        <v>495</v>
      </c>
    </row>
    <row r="78" spans="1:18" hidden="1">
      <c r="A78" s="28">
        <v>2</v>
      </c>
      <c r="B78" s="29" t="s">
        <v>240</v>
      </c>
      <c r="C78" s="29" t="s">
        <v>241</v>
      </c>
      <c r="D78" s="29" t="s">
        <v>242</v>
      </c>
      <c r="E78" s="29" t="s">
        <v>172</v>
      </c>
      <c r="F78" s="28" t="s">
        <v>382</v>
      </c>
      <c r="G78" s="28" t="s">
        <v>390</v>
      </c>
      <c r="H78" s="28" t="s">
        <v>384</v>
      </c>
      <c r="I78" s="28">
        <v>1</v>
      </c>
      <c r="J78" s="30">
        <v>0.09</v>
      </c>
      <c r="K78" s="28" t="s">
        <v>501</v>
      </c>
      <c r="L78" s="31">
        <v>43405</v>
      </c>
      <c r="M78" s="28">
        <v>11</v>
      </c>
      <c r="N78" s="32" t="s">
        <v>191</v>
      </c>
      <c r="O78" s="28" t="s">
        <v>204</v>
      </c>
      <c r="P78" s="28" t="s">
        <v>502</v>
      </c>
      <c r="Q78" s="28" t="s">
        <v>491</v>
      </c>
      <c r="R78" s="28" t="s">
        <v>495</v>
      </c>
    </row>
    <row r="79" spans="1:18" hidden="1">
      <c r="A79" s="28">
        <v>2</v>
      </c>
      <c r="B79" s="29" t="s">
        <v>240</v>
      </c>
      <c r="C79" s="29" t="s">
        <v>241</v>
      </c>
      <c r="D79" s="29" t="s">
        <v>242</v>
      </c>
      <c r="E79" s="29" t="s">
        <v>172</v>
      </c>
      <c r="F79" s="28" t="s">
        <v>382</v>
      </c>
      <c r="G79" s="28" t="s">
        <v>390</v>
      </c>
      <c r="H79" s="28" t="s">
        <v>384</v>
      </c>
      <c r="I79" s="28">
        <v>1</v>
      </c>
      <c r="J79" s="30">
        <v>0.09</v>
      </c>
      <c r="K79" s="28" t="s">
        <v>424</v>
      </c>
      <c r="L79" s="31">
        <v>43678</v>
      </c>
      <c r="M79" s="28">
        <v>8</v>
      </c>
      <c r="N79" s="32" t="s">
        <v>184</v>
      </c>
      <c r="O79" s="28" t="s">
        <v>204</v>
      </c>
      <c r="P79" s="28" t="s">
        <v>503</v>
      </c>
      <c r="Q79" s="28" t="s">
        <v>491</v>
      </c>
      <c r="R79" s="28" t="s">
        <v>495</v>
      </c>
    </row>
    <row r="80" spans="1:18" hidden="1">
      <c r="A80" s="28">
        <v>2</v>
      </c>
      <c r="B80" s="29" t="s">
        <v>240</v>
      </c>
      <c r="C80" s="29" t="s">
        <v>241</v>
      </c>
      <c r="D80" s="29" t="s">
        <v>242</v>
      </c>
      <c r="E80" s="29" t="s">
        <v>172</v>
      </c>
      <c r="F80" s="28" t="s">
        <v>382</v>
      </c>
      <c r="G80" s="28" t="s">
        <v>390</v>
      </c>
      <c r="H80" s="28" t="s">
        <v>384</v>
      </c>
      <c r="I80" s="28">
        <v>1</v>
      </c>
      <c r="J80" s="30">
        <v>0.09</v>
      </c>
      <c r="K80" s="28" t="s">
        <v>504</v>
      </c>
      <c r="L80" s="31">
        <v>43922</v>
      </c>
      <c r="M80" s="28">
        <v>4</v>
      </c>
      <c r="N80" s="32" t="s">
        <v>191</v>
      </c>
      <c r="O80" s="28" t="s">
        <v>204</v>
      </c>
      <c r="P80" s="28" t="s">
        <v>505</v>
      </c>
      <c r="Q80" s="28" t="s">
        <v>494</v>
      </c>
      <c r="R80" s="28" t="s">
        <v>495</v>
      </c>
    </row>
    <row r="81" spans="1:18" hidden="1">
      <c r="A81" s="28">
        <v>2</v>
      </c>
      <c r="B81" s="29" t="s">
        <v>240</v>
      </c>
      <c r="C81" s="29" t="s">
        <v>241</v>
      </c>
      <c r="D81" s="29" t="s">
        <v>242</v>
      </c>
      <c r="E81" s="29" t="s">
        <v>172</v>
      </c>
      <c r="F81" s="28" t="s">
        <v>382</v>
      </c>
      <c r="G81" s="28" t="s">
        <v>390</v>
      </c>
      <c r="H81" s="28" t="s">
        <v>384</v>
      </c>
      <c r="I81" s="28">
        <v>1</v>
      </c>
      <c r="J81" s="30">
        <v>0.09</v>
      </c>
      <c r="K81" s="28" t="s">
        <v>183</v>
      </c>
      <c r="L81" s="31">
        <v>43983</v>
      </c>
      <c r="M81" s="28">
        <v>6</v>
      </c>
      <c r="N81" s="32" t="s">
        <v>184</v>
      </c>
      <c r="O81" s="28" t="s">
        <v>204</v>
      </c>
      <c r="P81" s="28" t="s">
        <v>506</v>
      </c>
      <c r="Q81" s="28" t="s">
        <v>507</v>
      </c>
      <c r="R81" s="28" t="s">
        <v>508</v>
      </c>
    </row>
    <row r="82" spans="1:18" hidden="1">
      <c r="A82" s="28">
        <v>2</v>
      </c>
      <c r="B82" s="29" t="s">
        <v>240</v>
      </c>
      <c r="C82" s="29" t="s">
        <v>241</v>
      </c>
      <c r="D82" s="29" t="s">
        <v>509</v>
      </c>
      <c r="E82" s="29" t="s">
        <v>172</v>
      </c>
      <c r="F82" s="28" t="s">
        <v>382</v>
      </c>
      <c r="G82" s="28" t="s">
        <v>383</v>
      </c>
      <c r="H82" s="28" t="s">
        <v>384</v>
      </c>
      <c r="I82" s="28">
        <v>1</v>
      </c>
      <c r="J82" s="30">
        <v>0.09</v>
      </c>
      <c r="K82" s="28" t="s">
        <v>475</v>
      </c>
      <c r="L82" s="31">
        <v>43191</v>
      </c>
      <c r="M82" s="28">
        <v>4</v>
      </c>
      <c r="N82" s="32" t="s">
        <v>191</v>
      </c>
      <c r="O82" s="28" t="s">
        <v>204</v>
      </c>
      <c r="P82" s="28" t="s">
        <v>510</v>
      </c>
      <c r="Q82" s="28" t="s">
        <v>511</v>
      </c>
      <c r="R82" s="28" t="s">
        <v>512</v>
      </c>
    </row>
    <row r="83" spans="1:18" hidden="1">
      <c r="A83" s="28">
        <v>2</v>
      </c>
      <c r="B83" s="29" t="s">
        <v>240</v>
      </c>
      <c r="C83" s="29" t="s">
        <v>241</v>
      </c>
      <c r="D83" s="29" t="s">
        <v>509</v>
      </c>
      <c r="E83" s="29" t="s">
        <v>172</v>
      </c>
      <c r="F83" s="28" t="s">
        <v>382</v>
      </c>
      <c r="G83" s="28" t="s">
        <v>383</v>
      </c>
      <c r="H83" s="28" t="s">
        <v>384</v>
      </c>
      <c r="I83" s="28">
        <v>1</v>
      </c>
      <c r="J83" s="30">
        <v>0.09</v>
      </c>
      <c r="K83" s="28" t="s">
        <v>302</v>
      </c>
      <c r="L83" s="31">
        <v>43282</v>
      </c>
      <c r="M83" s="28">
        <v>7</v>
      </c>
      <c r="N83" s="32" t="s">
        <v>184</v>
      </c>
      <c r="O83" s="28" t="s">
        <v>204</v>
      </c>
      <c r="P83" s="28" t="s">
        <v>513</v>
      </c>
      <c r="Q83" s="28" t="s">
        <v>511</v>
      </c>
      <c r="R83" s="28" t="s">
        <v>512</v>
      </c>
    </row>
    <row r="84" spans="1:18" hidden="1">
      <c r="A84" s="28">
        <v>2</v>
      </c>
      <c r="B84" s="29" t="s">
        <v>240</v>
      </c>
      <c r="C84" s="29" t="s">
        <v>241</v>
      </c>
      <c r="D84" s="29" t="s">
        <v>509</v>
      </c>
      <c r="E84" s="29" t="s">
        <v>172</v>
      </c>
      <c r="F84" s="28" t="s">
        <v>382</v>
      </c>
      <c r="G84" s="28" t="s">
        <v>390</v>
      </c>
      <c r="H84" s="28" t="s">
        <v>384</v>
      </c>
      <c r="I84" s="28">
        <v>1</v>
      </c>
      <c r="J84" s="30">
        <v>0.09</v>
      </c>
      <c r="K84" s="28" t="s">
        <v>236</v>
      </c>
      <c r="L84" s="31">
        <v>43617</v>
      </c>
      <c r="M84" s="28">
        <v>6</v>
      </c>
      <c r="N84" s="32" t="s">
        <v>184</v>
      </c>
      <c r="O84" s="28" t="s">
        <v>204</v>
      </c>
      <c r="P84" s="28" t="s">
        <v>514</v>
      </c>
      <c r="Q84" s="28" t="s">
        <v>515</v>
      </c>
      <c r="R84" s="28" t="s">
        <v>516</v>
      </c>
    </row>
    <row r="85" spans="1:18" hidden="1">
      <c r="A85" s="28">
        <v>2</v>
      </c>
      <c r="B85" s="29" t="s">
        <v>240</v>
      </c>
      <c r="C85" s="29" t="s">
        <v>241</v>
      </c>
      <c r="D85" s="29" t="s">
        <v>509</v>
      </c>
      <c r="E85" s="29" t="s">
        <v>172</v>
      </c>
      <c r="F85" s="28" t="s">
        <v>382</v>
      </c>
      <c r="G85" s="28" t="s">
        <v>383</v>
      </c>
      <c r="H85" s="28" t="s">
        <v>384</v>
      </c>
      <c r="I85" s="28">
        <v>1</v>
      </c>
      <c r="J85" s="30">
        <v>0.09</v>
      </c>
      <c r="K85" s="28" t="s">
        <v>236</v>
      </c>
      <c r="L85" s="31">
        <v>43617</v>
      </c>
      <c r="M85" s="28">
        <v>6</v>
      </c>
      <c r="N85" s="32" t="s">
        <v>184</v>
      </c>
      <c r="O85" s="28" t="s">
        <v>204</v>
      </c>
      <c r="P85" s="28" t="s">
        <v>517</v>
      </c>
      <c r="Q85" s="28" t="s">
        <v>511</v>
      </c>
      <c r="R85" s="28" t="s">
        <v>512</v>
      </c>
    </row>
    <row r="86" spans="1:18" hidden="1">
      <c r="A86" s="28">
        <v>2</v>
      </c>
      <c r="B86" s="29" t="s">
        <v>240</v>
      </c>
      <c r="C86" s="29" t="s">
        <v>241</v>
      </c>
      <c r="D86" s="29" t="s">
        <v>509</v>
      </c>
      <c r="E86" s="29" t="s">
        <v>172</v>
      </c>
      <c r="F86" s="28" t="s">
        <v>382</v>
      </c>
      <c r="G86" s="28" t="s">
        <v>383</v>
      </c>
      <c r="H86" s="28" t="s">
        <v>384</v>
      </c>
      <c r="I86" s="28">
        <v>1</v>
      </c>
      <c r="J86" s="30">
        <v>0.09</v>
      </c>
      <c r="K86" s="28" t="s">
        <v>518</v>
      </c>
      <c r="L86" s="31">
        <v>43709</v>
      </c>
      <c r="M86" s="28">
        <v>9</v>
      </c>
      <c r="N86" s="32" t="s">
        <v>191</v>
      </c>
      <c r="O86" s="28" t="s">
        <v>204</v>
      </c>
      <c r="P86" s="28" t="s">
        <v>519</v>
      </c>
      <c r="Q86" s="28" t="s">
        <v>511</v>
      </c>
      <c r="R86" s="28" t="s">
        <v>512</v>
      </c>
    </row>
    <row r="87" spans="1:18" hidden="1">
      <c r="A87" s="28">
        <v>2</v>
      </c>
      <c r="B87" s="29" t="s">
        <v>240</v>
      </c>
      <c r="C87" s="29" t="s">
        <v>241</v>
      </c>
      <c r="D87" s="29" t="s">
        <v>509</v>
      </c>
      <c r="E87" s="29" t="s">
        <v>172</v>
      </c>
      <c r="F87" s="28" t="s">
        <v>382</v>
      </c>
      <c r="G87" s="28" t="s">
        <v>390</v>
      </c>
      <c r="H87" s="28" t="s">
        <v>384</v>
      </c>
      <c r="I87" s="28">
        <v>1</v>
      </c>
      <c r="J87" s="30">
        <v>0.09</v>
      </c>
      <c r="K87" s="28" t="s">
        <v>520</v>
      </c>
      <c r="L87" s="31">
        <v>43800</v>
      </c>
      <c r="M87" s="28">
        <v>12</v>
      </c>
      <c r="N87" s="32" t="s">
        <v>176</v>
      </c>
      <c r="O87" s="28" t="s">
        <v>204</v>
      </c>
      <c r="P87" s="28" t="s">
        <v>521</v>
      </c>
      <c r="Q87" s="28" t="s">
        <v>515</v>
      </c>
      <c r="R87" s="28" t="s">
        <v>516</v>
      </c>
    </row>
    <row r="88" spans="1:18" hidden="1">
      <c r="A88" s="28">
        <v>2</v>
      </c>
      <c r="B88" s="29" t="s">
        <v>240</v>
      </c>
      <c r="C88" s="29" t="s">
        <v>241</v>
      </c>
      <c r="D88" s="29" t="s">
        <v>509</v>
      </c>
      <c r="E88" s="29" t="s">
        <v>172</v>
      </c>
      <c r="F88" s="28" t="s">
        <v>382</v>
      </c>
      <c r="G88" s="28" t="s">
        <v>390</v>
      </c>
      <c r="H88" s="28" t="s">
        <v>384</v>
      </c>
      <c r="I88" s="28">
        <v>1</v>
      </c>
      <c r="J88" s="30">
        <v>0.09</v>
      </c>
      <c r="K88" s="28" t="s">
        <v>522</v>
      </c>
      <c r="L88" s="31">
        <v>44256</v>
      </c>
      <c r="M88" s="28">
        <v>3</v>
      </c>
      <c r="N88" s="32" t="s">
        <v>191</v>
      </c>
      <c r="O88" s="28" t="s">
        <v>204</v>
      </c>
      <c r="P88" s="28" t="s">
        <v>523</v>
      </c>
      <c r="Q88" s="28" t="s">
        <v>515</v>
      </c>
      <c r="R88" s="28" t="s">
        <v>516</v>
      </c>
    </row>
    <row r="89" spans="1:18" hidden="1">
      <c r="A89" s="28">
        <v>2</v>
      </c>
      <c r="B89" s="29" t="s">
        <v>240</v>
      </c>
      <c r="C89" s="29" t="s">
        <v>241</v>
      </c>
      <c r="D89" s="29" t="s">
        <v>509</v>
      </c>
      <c r="E89" s="29" t="s">
        <v>172</v>
      </c>
      <c r="F89" s="28" t="s">
        <v>382</v>
      </c>
      <c r="G89" s="28" t="s">
        <v>383</v>
      </c>
      <c r="H89" s="28" t="s">
        <v>384</v>
      </c>
      <c r="I89" s="28">
        <v>1</v>
      </c>
      <c r="J89" s="30">
        <v>0.09</v>
      </c>
      <c r="K89" s="28" t="s">
        <v>190</v>
      </c>
      <c r="L89" s="31">
        <v>44287</v>
      </c>
      <c r="M89" s="28">
        <v>4</v>
      </c>
      <c r="N89" s="32" t="s">
        <v>191</v>
      </c>
      <c r="O89" s="28" t="s">
        <v>204</v>
      </c>
      <c r="P89" s="28" t="s">
        <v>524</v>
      </c>
      <c r="Q89" s="28" t="s">
        <v>525</v>
      </c>
      <c r="R89" s="28" t="s">
        <v>512</v>
      </c>
    </row>
    <row r="90" spans="1:18" hidden="1">
      <c r="A90" s="28">
        <v>2</v>
      </c>
      <c r="B90" s="29" t="s">
        <v>240</v>
      </c>
      <c r="C90" s="29" t="s">
        <v>241</v>
      </c>
      <c r="D90" s="29" t="s">
        <v>252</v>
      </c>
      <c r="E90" s="29" t="s">
        <v>172</v>
      </c>
      <c r="F90" s="28" t="s">
        <v>382</v>
      </c>
      <c r="G90" s="28" t="s">
        <v>390</v>
      </c>
      <c r="H90" s="28" t="s">
        <v>384</v>
      </c>
      <c r="I90" s="28">
        <v>1</v>
      </c>
      <c r="J90" s="30">
        <v>0.09</v>
      </c>
      <c r="K90" s="28" t="s">
        <v>501</v>
      </c>
      <c r="L90" s="31">
        <v>43405</v>
      </c>
      <c r="M90" s="28">
        <v>11</v>
      </c>
      <c r="N90" s="32" t="s">
        <v>191</v>
      </c>
      <c r="O90" s="28" t="s">
        <v>204</v>
      </c>
      <c r="P90" s="28" t="s">
        <v>526</v>
      </c>
      <c r="Q90" s="28" t="s">
        <v>527</v>
      </c>
      <c r="R90" s="28" t="s">
        <v>528</v>
      </c>
    </row>
    <row r="91" spans="1:18" hidden="1">
      <c r="A91" s="28">
        <v>2</v>
      </c>
      <c r="B91" s="29" t="s">
        <v>240</v>
      </c>
      <c r="C91" s="29" t="s">
        <v>261</v>
      </c>
      <c r="D91" s="29" t="s">
        <v>262</v>
      </c>
      <c r="E91" s="29" t="s">
        <v>172</v>
      </c>
      <c r="F91" s="28" t="s">
        <v>382</v>
      </c>
      <c r="G91" s="28" t="s">
        <v>390</v>
      </c>
      <c r="H91" s="28" t="s">
        <v>384</v>
      </c>
      <c r="I91" s="28">
        <v>1</v>
      </c>
      <c r="J91" s="30">
        <v>0.09</v>
      </c>
      <c r="K91" s="28" t="s">
        <v>529</v>
      </c>
      <c r="L91" s="31" t="s">
        <v>221</v>
      </c>
      <c r="M91" s="28" t="e">
        <v>#VALUE!</v>
      </c>
      <c r="N91" s="32" t="e">
        <v>#VALUE!</v>
      </c>
      <c r="O91" s="28" t="s">
        <v>204</v>
      </c>
      <c r="P91" s="28" t="s">
        <v>530</v>
      </c>
      <c r="Q91" s="28" t="s">
        <v>531</v>
      </c>
      <c r="R91" s="28" t="s">
        <v>270</v>
      </c>
    </row>
    <row r="92" spans="1:18" hidden="1">
      <c r="A92" s="28">
        <v>2</v>
      </c>
      <c r="B92" s="29" t="s">
        <v>240</v>
      </c>
      <c r="C92" s="29" t="s">
        <v>261</v>
      </c>
      <c r="D92" s="29" t="s">
        <v>532</v>
      </c>
      <c r="E92" s="29" t="s">
        <v>172</v>
      </c>
      <c r="F92" s="28" t="s">
        <v>382</v>
      </c>
      <c r="G92" s="28" t="s">
        <v>390</v>
      </c>
      <c r="H92" s="28" t="s">
        <v>384</v>
      </c>
      <c r="I92" s="28">
        <v>1</v>
      </c>
      <c r="J92" s="30">
        <v>0.09</v>
      </c>
      <c r="K92" s="28" t="s">
        <v>257</v>
      </c>
      <c r="L92" s="31">
        <v>42552</v>
      </c>
      <c r="M92" s="28">
        <v>7</v>
      </c>
      <c r="N92" s="32" t="s">
        <v>184</v>
      </c>
      <c r="O92" s="28" t="s">
        <v>204</v>
      </c>
      <c r="P92" s="28" t="s">
        <v>533</v>
      </c>
      <c r="Q92" s="28" t="s">
        <v>534</v>
      </c>
      <c r="R92" s="28" t="s">
        <v>535</v>
      </c>
    </row>
    <row r="93" spans="1:18" hidden="1">
      <c r="A93" s="28">
        <v>2</v>
      </c>
      <c r="B93" s="29" t="s">
        <v>240</v>
      </c>
      <c r="C93" s="29" t="s">
        <v>276</v>
      </c>
      <c r="D93" s="29" t="s">
        <v>536</v>
      </c>
      <c r="E93" s="29" t="s">
        <v>172</v>
      </c>
      <c r="F93" s="28" t="s">
        <v>382</v>
      </c>
      <c r="G93" s="28" t="s">
        <v>383</v>
      </c>
      <c r="H93" s="28" t="s">
        <v>384</v>
      </c>
      <c r="I93" s="28">
        <v>1</v>
      </c>
      <c r="J93" s="30">
        <v>0.09</v>
      </c>
      <c r="K93" s="28" t="s">
        <v>401</v>
      </c>
      <c r="L93" s="31">
        <v>42705</v>
      </c>
      <c r="M93" s="28">
        <v>12</v>
      </c>
      <c r="N93" s="32" t="s">
        <v>176</v>
      </c>
      <c r="O93" s="28" t="s">
        <v>204</v>
      </c>
      <c r="P93" s="28" t="s">
        <v>537</v>
      </c>
      <c r="Q93" s="28" t="s">
        <v>538</v>
      </c>
      <c r="R93" s="28" t="s">
        <v>539</v>
      </c>
    </row>
    <row r="94" spans="1:18" hidden="1">
      <c r="A94" s="28">
        <v>2</v>
      </c>
      <c r="B94" s="29" t="s">
        <v>240</v>
      </c>
      <c r="C94" s="29" t="s">
        <v>276</v>
      </c>
      <c r="D94" s="29" t="s">
        <v>277</v>
      </c>
      <c r="E94" s="29" t="s">
        <v>172</v>
      </c>
      <c r="F94" s="28" t="s">
        <v>382</v>
      </c>
      <c r="G94" s="28" t="s">
        <v>383</v>
      </c>
      <c r="H94" s="28" t="s">
        <v>384</v>
      </c>
      <c r="I94" s="28">
        <v>1</v>
      </c>
      <c r="J94" s="30">
        <v>0.09</v>
      </c>
      <c r="K94" s="28" t="s">
        <v>263</v>
      </c>
      <c r="L94" s="31">
        <v>42430</v>
      </c>
      <c r="M94" s="28">
        <v>3</v>
      </c>
      <c r="N94" s="32" t="s">
        <v>191</v>
      </c>
      <c r="O94" s="28" t="s">
        <v>204</v>
      </c>
      <c r="P94" s="28" t="s">
        <v>540</v>
      </c>
      <c r="Q94" s="28" t="s">
        <v>541</v>
      </c>
      <c r="R94" s="28" t="s">
        <v>542</v>
      </c>
    </row>
    <row r="95" spans="1:18" hidden="1">
      <c r="A95" s="28">
        <v>2</v>
      </c>
      <c r="B95" s="29" t="s">
        <v>240</v>
      </c>
      <c r="C95" s="29" t="s">
        <v>276</v>
      </c>
      <c r="D95" s="29" t="s">
        <v>277</v>
      </c>
      <c r="E95" s="29" t="s">
        <v>172</v>
      </c>
      <c r="F95" s="28" t="s">
        <v>382</v>
      </c>
      <c r="G95" s="28" t="s">
        <v>390</v>
      </c>
      <c r="H95" s="28" t="s">
        <v>384</v>
      </c>
      <c r="I95" s="28">
        <v>1</v>
      </c>
      <c r="J95" s="30">
        <v>0.09</v>
      </c>
      <c r="K95" s="28" t="s">
        <v>405</v>
      </c>
      <c r="L95" s="31">
        <v>43221</v>
      </c>
      <c r="M95" s="28">
        <v>5</v>
      </c>
      <c r="N95" s="32" t="s">
        <v>191</v>
      </c>
      <c r="O95" s="28" t="s">
        <v>204</v>
      </c>
      <c r="P95" s="28" t="s">
        <v>543</v>
      </c>
      <c r="Q95" s="28" t="s">
        <v>544</v>
      </c>
      <c r="R95" s="28" t="s">
        <v>545</v>
      </c>
    </row>
    <row r="96" spans="1:18" hidden="1">
      <c r="A96" s="28">
        <v>2</v>
      </c>
      <c r="B96" s="29" t="s">
        <v>240</v>
      </c>
      <c r="C96" s="29" t="s">
        <v>276</v>
      </c>
      <c r="D96" s="29" t="s">
        <v>277</v>
      </c>
      <c r="E96" s="29" t="s">
        <v>172</v>
      </c>
      <c r="F96" s="28" t="s">
        <v>382</v>
      </c>
      <c r="G96" s="28" t="s">
        <v>383</v>
      </c>
      <c r="H96" s="28" t="s">
        <v>384</v>
      </c>
      <c r="I96" s="28">
        <v>1</v>
      </c>
      <c r="J96" s="30">
        <v>0.09</v>
      </c>
      <c r="K96" s="28" t="s">
        <v>415</v>
      </c>
      <c r="L96" s="31">
        <v>43952</v>
      </c>
      <c r="M96" s="28">
        <v>5</v>
      </c>
      <c r="N96" s="32" t="s">
        <v>191</v>
      </c>
      <c r="O96" s="28" t="s">
        <v>204</v>
      </c>
      <c r="P96" s="28" t="s">
        <v>546</v>
      </c>
      <c r="Q96" s="28" t="s">
        <v>547</v>
      </c>
      <c r="R96" s="28" t="s">
        <v>548</v>
      </c>
    </row>
    <row r="97" spans="1:18" hidden="1">
      <c r="A97" s="28">
        <v>2</v>
      </c>
      <c r="B97" s="29" t="s">
        <v>240</v>
      </c>
      <c r="C97" s="29" t="s">
        <v>276</v>
      </c>
      <c r="D97" s="29" t="s">
        <v>277</v>
      </c>
      <c r="E97" s="29" t="s">
        <v>172</v>
      </c>
      <c r="F97" s="28" t="s">
        <v>382</v>
      </c>
      <c r="G97" s="28" t="s">
        <v>383</v>
      </c>
      <c r="H97" s="28" t="s">
        <v>384</v>
      </c>
      <c r="I97" s="28">
        <v>1</v>
      </c>
      <c r="J97" s="30">
        <v>0.09</v>
      </c>
      <c r="K97" s="28" t="s">
        <v>297</v>
      </c>
      <c r="L97" s="31">
        <v>44409</v>
      </c>
      <c r="M97" s="28">
        <v>8</v>
      </c>
      <c r="N97" s="32" t="s">
        <v>184</v>
      </c>
      <c r="O97" s="28" t="s">
        <v>204</v>
      </c>
      <c r="P97" s="28" t="s">
        <v>549</v>
      </c>
      <c r="Q97" s="28" t="s">
        <v>550</v>
      </c>
      <c r="R97" s="28" t="s">
        <v>545</v>
      </c>
    </row>
    <row r="98" spans="1:18" hidden="1">
      <c r="A98" s="28">
        <v>2</v>
      </c>
      <c r="B98" s="29" t="s">
        <v>240</v>
      </c>
      <c r="C98" s="29" t="s">
        <v>276</v>
      </c>
      <c r="D98" s="29" t="s">
        <v>282</v>
      </c>
      <c r="E98" s="29" t="s">
        <v>172</v>
      </c>
      <c r="F98" s="28" t="s">
        <v>382</v>
      </c>
      <c r="G98" s="28" t="s">
        <v>383</v>
      </c>
      <c r="H98" s="28" t="s">
        <v>384</v>
      </c>
      <c r="I98" s="28">
        <v>1</v>
      </c>
      <c r="J98" s="30">
        <v>0.09</v>
      </c>
      <c r="K98" s="28" t="s">
        <v>214</v>
      </c>
      <c r="L98" s="31">
        <v>43466</v>
      </c>
      <c r="M98" s="28">
        <v>1</v>
      </c>
      <c r="N98" s="32" t="s">
        <v>176</v>
      </c>
      <c r="O98" s="28" t="s">
        <v>204</v>
      </c>
      <c r="P98" s="28" t="s">
        <v>551</v>
      </c>
      <c r="Q98" s="28" t="s">
        <v>552</v>
      </c>
      <c r="R98" s="28" t="s">
        <v>553</v>
      </c>
    </row>
    <row r="99" spans="1:18" hidden="1">
      <c r="A99" s="28">
        <v>2</v>
      </c>
      <c r="B99" s="29" t="s">
        <v>240</v>
      </c>
      <c r="C99" s="29" t="s">
        <v>276</v>
      </c>
      <c r="D99" s="29" t="s">
        <v>282</v>
      </c>
      <c r="E99" s="29" t="s">
        <v>172</v>
      </c>
      <c r="F99" s="28" t="s">
        <v>382</v>
      </c>
      <c r="G99" s="28" t="s">
        <v>383</v>
      </c>
      <c r="H99" s="28" t="s">
        <v>384</v>
      </c>
      <c r="I99" s="28">
        <v>1</v>
      </c>
      <c r="J99" s="30">
        <v>0.09</v>
      </c>
      <c r="K99" s="28" t="s">
        <v>554</v>
      </c>
      <c r="L99" s="31">
        <v>44317</v>
      </c>
      <c r="M99" s="28">
        <v>5</v>
      </c>
      <c r="N99" s="32" t="s">
        <v>191</v>
      </c>
      <c r="O99" s="28" t="s">
        <v>204</v>
      </c>
      <c r="P99" s="28" t="s">
        <v>555</v>
      </c>
      <c r="Q99" s="28" t="s">
        <v>556</v>
      </c>
      <c r="R99" s="28" t="s">
        <v>557</v>
      </c>
    </row>
    <row r="100" spans="1:18">
      <c r="A100" s="28">
        <v>3</v>
      </c>
      <c r="B100" s="29" t="s">
        <v>286</v>
      </c>
      <c r="C100" s="29" t="s">
        <v>287</v>
      </c>
      <c r="D100" s="29" t="s">
        <v>558</v>
      </c>
      <c r="E100" s="29" t="s">
        <v>172</v>
      </c>
      <c r="F100" s="28" t="s">
        <v>382</v>
      </c>
      <c r="G100" s="28" t="s">
        <v>390</v>
      </c>
      <c r="H100" s="28" t="s">
        <v>384</v>
      </c>
      <c r="I100" s="28">
        <v>1</v>
      </c>
      <c r="J100" s="30">
        <v>0.09</v>
      </c>
      <c r="K100" s="28" t="s">
        <v>559</v>
      </c>
      <c r="L100" s="31">
        <v>43252</v>
      </c>
      <c r="M100" s="28">
        <v>6</v>
      </c>
      <c r="N100" s="32" t="s">
        <v>184</v>
      </c>
      <c r="O100" s="28" t="s">
        <v>204</v>
      </c>
      <c r="P100" s="28" t="s">
        <v>560</v>
      </c>
      <c r="Q100" s="28" t="s">
        <v>561</v>
      </c>
      <c r="R100" s="28" t="s">
        <v>562</v>
      </c>
    </row>
    <row r="101" spans="1:18">
      <c r="A101" s="28">
        <v>3</v>
      </c>
      <c r="B101" s="29" t="s">
        <v>286</v>
      </c>
      <c r="C101" s="29" t="s">
        <v>287</v>
      </c>
      <c r="D101" s="29" t="s">
        <v>558</v>
      </c>
      <c r="E101" s="29" t="s">
        <v>172</v>
      </c>
      <c r="F101" s="28" t="s">
        <v>382</v>
      </c>
      <c r="G101" s="28" t="s">
        <v>390</v>
      </c>
      <c r="H101" s="28" t="s">
        <v>384</v>
      </c>
      <c r="I101" s="28">
        <v>1</v>
      </c>
      <c r="J101" s="30">
        <v>0.09</v>
      </c>
      <c r="K101" s="28" t="s">
        <v>328</v>
      </c>
      <c r="L101" s="31">
        <v>43891</v>
      </c>
      <c r="M101" s="28">
        <v>3</v>
      </c>
      <c r="N101" s="32" t="s">
        <v>191</v>
      </c>
      <c r="O101" s="28" t="s">
        <v>204</v>
      </c>
      <c r="P101" s="28" t="s">
        <v>563</v>
      </c>
      <c r="Q101" s="28" t="s">
        <v>564</v>
      </c>
      <c r="R101" s="28" t="s">
        <v>565</v>
      </c>
    </row>
    <row r="102" spans="1:18">
      <c r="A102" s="28">
        <v>3</v>
      </c>
      <c r="B102" s="29" t="s">
        <v>286</v>
      </c>
      <c r="C102" s="29" t="s">
        <v>287</v>
      </c>
      <c r="D102" s="29" t="s">
        <v>288</v>
      </c>
      <c r="E102" s="29" t="s">
        <v>172</v>
      </c>
      <c r="F102" s="28" t="s">
        <v>382</v>
      </c>
      <c r="G102" s="28" t="s">
        <v>383</v>
      </c>
      <c r="H102" s="28" t="s">
        <v>384</v>
      </c>
      <c r="I102" s="28">
        <v>1</v>
      </c>
      <c r="J102" s="30">
        <v>0.09</v>
      </c>
      <c r="K102" s="28" t="s">
        <v>198</v>
      </c>
      <c r="L102" s="31">
        <v>42767</v>
      </c>
      <c r="M102" s="28">
        <v>2</v>
      </c>
      <c r="N102" s="32" t="s">
        <v>176</v>
      </c>
      <c r="O102" s="28" t="s">
        <v>204</v>
      </c>
      <c r="P102" s="28" t="s">
        <v>566</v>
      </c>
      <c r="Q102" s="28" t="s">
        <v>567</v>
      </c>
      <c r="R102" s="28" t="s">
        <v>568</v>
      </c>
    </row>
    <row r="103" spans="1:18">
      <c r="A103" s="28">
        <v>3</v>
      </c>
      <c r="B103" s="29" t="s">
        <v>286</v>
      </c>
      <c r="C103" s="29" t="s">
        <v>287</v>
      </c>
      <c r="D103" s="29" t="s">
        <v>288</v>
      </c>
      <c r="E103" s="29" t="s">
        <v>172</v>
      </c>
      <c r="F103" s="28" t="s">
        <v>382</v>
      </c>
      <c r="G103" s="28" t="s">
        <v>390</v>
      </c>
      <c r="H103" s="28" t="s">
        <v>384</v>
      </c>
      <c r="I103" s="28">
        <v>1</v>
      </c>
      <c r="J103" s="30">
        <v>0.09</v>
      </c>
      <c r="K103" s="28" t="s">
        <v>424</v>
      </c>
      <c r="L103" s="31">
        <v>43678</v>
      </c>
      <c r="M103" s="28">
        <v>8</v>
      </c>
      <c r="N103" s="32" t="s">
        <v>184</v>
      </c>
      <c r="O103" s="28" t="s">
        <v>204</v>
      </c>
      <c r="P103" s="28" t="s">
        <v>569</v>
      </c>
      <c r="Q103" s="28" t="s">
        <v>570</v>
      </c>
      <c r="R103" s="28" t="s">
        <v>571</v>
      </c>
    </row>
    <row r="104" spans="1:18">
      <c r="A104" s="28">
        <v>3</v>
      </c>
      <c r="B104" s="29" t="s">
        <v>286</v>
      </c>
      <c r="C104" s="29" t="s">
        <v>287</v>
      </c>
      <c r="D104" s="29" t="s">
        <v>288</v>
      </c>
      <c r="E104" s="29" t="s">
        <v>172</v>
      </c>
      <c r="F104" s="28" t="s">
        <v>382</v>
      </c>
      <c r="G104" s="28" t="s">
        <v>390</v>
      </c>
      <c r="H104" s="28" t="s">
        <v>384</v>
      </c>
      <c r="I104" s="28">
        <v>1</v>
      </c>
      <c r="J104" s="30">
        <v>0.09</v>
      </c>
      <c r="K104" s="28" t="s">
        <v>504</v>
      </c>
      <c r="L104" s="31">
        <v>43922</v>
      </c>
      <c r="M104" s="28">
        <v>4</v>
      </c>
      <c r="N104" s="32" t="s">
        <v>191</v>
      </c>
      <c r="O104" s="28" t="s">
        <v>204</v>
      </c>
      <c r="P104" s="28" t="s">
        <v>572</v>
      </c>
      <c r="Q104" s="28" t="s">
        <v>573</v>
      </c>
      <c r="R104" s="28" t="s">
        <v>574</v>
      </c>
    </row>
    <row r="105" spans="1:18">
      <c r="A105" s="28">
        <v>3</v>
      </c>
      <c r="B105" s="29" t="s">
        <v>286</v>
      </c>
      <c r="C105" s="29" t="s">
        <v>287</v>
      </c>
      <c r="D105" s="29" t="s">
        <v>288</v>
      </c>
      <c r="E105" s="29" t="s">
        <v>172</v>
      </c>
      <c r="F105" s="28" t="s">
        <v>382</v>
      </c>
      <c r="G105" s="28" t="s">
        <v>383</v>
      </c>
      <c r="H105" s="28" t="s">
        <v>384</v>
      </c>
      <c r="I105" s="28">
        <v>1</v>
      </c>
      <c r="J105" s="30">
        <v>0.09</v>
      </c>
      <c r="K105" s="28" t="s">
        <v>183</v>
      </c>
      <c r="L105" s="31">
        <v>43983</v>
      </c>
      <c r="M105" s="28">
        <v>6</v>
      </c>
      <c r="N105" s="32" t="s">
        <v>184</v>
      </c>
      <c r="O105" s="28" t="s">
        <v>204</v>
      </c>
      <c r="P105" s="28" t="s">
        <v>575</v>
      </c>
      <c r="Q105" s="28" t="s">
        <v>576</v>
      </c>
      <c r="R105" s="28" t="s">
        <v>577</v>
      </c>
    </row>
    <row r="106" spans="1:18">
      <c r="A106" s="28">
        <v>3</v>
      </c>
      <c r="B106" s="29" t="s">
        <v>286</v>
      </c>
      <c r="C106" s="29" t="s">
        <v>287</v>
      </c>
      <c r="D106" s="29" t="s">
        <v>288</v>
      </c>
      <c r="E106" s="29" t="s">
        <v>172</v>
      </c>
      <c r="F106" s="28" t="s">
        <v>382</v>
      </c>
      <c r="G106" s="28" t="s">
        <v>383</v>
      </c>
      <c r="H106" s="28" t="s">
        <v>384</v>
      </c>
      <c r="I106" s="28">
        <v>1</v>
      </c>
      <c r="J106" s="30">
        <v>0.09</v>
      </c>
      <c r="K106" s="28" t="s">
        <v>430</v>
      </c>
      <c r="L106" s="31">
        <v>44105</v>
      </c>
      <c r="M106" s="28">
        <v>10</v>
      </c>
      <c r="N106" s="32" t="s">
        <v>191</v>
      </c>
      <c r="O106" s="28" t="s">
        <v>204</v>
      </c>
      <c r="P106" s="28" t="s">
        <v>578</v>
      </c>
      <c r="Q106" s="28" t="s">
        <v>579</v>
      </c>
      <c r="R106" s="28" t="s">
        <v>580</v>
      </c>
    </row>
    <row r="107" spans="1:18">
      <c r="A107" s="28">
        <v>3</v>
      </c>
      <c r="B107" s="29" t="s">
        <v>286</v>
      </c>
      <c r="C107" s="29" t="s">
        <v>287</v>
      </c>
      <c r="D107" s="29" t="s">
        <v>288</v>
      </c>
      <c r="E107" s="29" t="s">
        <v>172</v>
      </c>
      <c r="F107" s="28" t="s">
        <v>382</v>
      </c>
      <c r="G107" s="28" t="s">
        <v>383</v>
      </c>
      <c r="H107" s="28" t="s">
        <v>384</v>
      </c>
      <c r="I107" s="28">
        <v>1</v>
      </c>
      <c r="J107" s="30">
        <v>0.09</v>
      </c>
      <c r="K107" s="28" t="s">
        <v>554</v>
      </c>
      <c r="L107" s="31">
        <v>44317</v>
      </c>
      <c r="M107" s="28">
        <v>5</v>
      </c>
      <c r="N107" s="32" t="s">
        <v>191</v>
      </c>
      <c r="O107" s="28" t="s">
        <v>204</v>
      </c>
      <c r="P107" s="28" t="s">
        <v>581</v>
      </c>
      <c r="Q107" s="28" t="s">
        <v>582</v>
      </c>
      <c r="R107" s="28" t="s">
        <v>583</v>
      </c>
    </row>
    <row r="108" spans="1:18">
      <c r="A108" s="28">
        <v>3</v>
      </c>
      <c r="B108" s="29" t="s">
        <v>286</v>
      </c>
      <c r="C108" s="29" t="s">
        <v>287</v>
      </c>
      <c r="D108" s="29" t="s">
        <v>301</v>
      </c>
      <c r="E108" s="29" t="s">
        <v>172</v>
      </c>
      <c r="F108" s="28" t="s">
        <v>382</v>
      </c>
      <c r="G108" s="28" t="s">
        <v>390</v>
      </c>
      <c r="H108" s="28" t="s">
        <v>384</v>
      </c>
      <c r="I108" s="28">
        <v>1</v>
      </c>
      <c r="J108" s="30">
        <v>0.09</v>
      </c>
      <c r="K108" s="28" t="s">
        <v>175</v>
      </c>
      <c r="L108" s="31">
        <v>42339</v>
      </c>
      <c r="M108" s="28">
        <v>12</v>
      </c>
      <c r="N108" s="32" t="s">
        <v>176</v>
      </c>
      <c r="O108" s="28" t="s">
        <v>204</v>
      </c>
      <c r="P108" s="28" t="s">
        <v>584</v>
      </c>
      <c r="Q108" s="28" t="s">
        <v>585</v>
      </c>
      <c r="R108" s="28" t="s">
        <v>586</v>
      </c>
    </row>
    <row r="109" spans="1:18">
      <c r="A109" s="28">
        <v>3</v>
      </c>
      <c r="B109" s="29" t="s">
        <v>286</v>
      </c>
      <c r="C109" s="29" t="s">
        <v>287</v>
      </c>
      <c r="D109" s="29" t="s">
        <v>301</v>
      </c>
      <c r="E109" s="29" t="s">
        <v>172</v>
      </c>
      <c r="F109" s="28" t="s">
        <v>382</v>
      </c>
      <c r="G109" s="28" t="s">
        <v>390</v>
      </c>
      <c r="H109" s="28" t="s">
        <v>384</v>
      </c>
      <c r="I109" s="28">
        <v>1</v>
      </c>
      <c r="J109" s="30">
        <v>0.09</v>
      </c>
      <c r="K109" s="28" t="s">
        <v>587</v>
      </c>
      <c r="L109" s="31">
        <v>42736</v>
      </c>
      <c r="M109" s="28">
        <v>1</v>
      </c>
      <c r="N109" s="32" t="s">
        <v>176</v>
      </c>
      <c r="O109" s="28" t="s">
        <v>204</v>
      </c>
      <c r="P109" s="28" t="s">
        <v>588</v>
      </c>
      <c r="Q109" s="28" t="s">
        <v>585</v>
      </c>
      <c r="R109" s="28" t="s">
        <v>589</v>
      </c>
    </row>
    <row r="110" spans="1:18">
      <c r="A110" s="28">
        <v>3</v>
      </c>
      <c r="B110" s="29" t="s">
        <v>286</v>
      </c>
      <c r="C110" s="29" t="s">
        <v>287</v>
      </c>
      <c r="D110" s="29" t="s">
        <v>301</v>
      </c>
      <c r="E110" s="29" t="s">
        <v>172</v>
      </c>
      <c r="F110" s="28" t="s">
        <v>382</v>
      </c>
      <c r="G110" s="28" t="s">
        <v>390</v>
      </c>
      <c r="H110" s="28" t="s">
        <v>384</v>
      </c>
      <c r="I110" s="28">
        <v>1</v>
      </c>
      <c r="J110" s="30">
        <v>0.09</v>
      </c>
      <c r="K110" s="28" t="s">
        <v>198</v>
      </c>
      <c r="L110" s="31">
        <v>42767</v>
      </c>
      <c r="M110" s="28">
        <v>2</v>
      </c>
      <c r="N110" s="32" t="s">
        <v>176</v>
      </c>
      <c r="O110" s="28" t="s">
        <v>204</v>
      </c>
      <c r="P110" s="28" t="s">
        <v>590</v>
      </c>
      <c r="Q110" s="28" t="s">
        <v>585</v>
      </c>
      <c r="R110" s="28" t="s">
        <v>586</v>
      </c>
    </row>
    <row r="111" spans="1:18">
      <c r="A111" s="28">
        <v>3</v>
      </c>
      <c r="B111" s="29" t="s">
        <v>286</v>
      </c>
      <c r="C111" s="29" t="s">
        <v>287</v>
      </c>
      <c r="D111" s="29" t="s">
        <v>301</v>
      </c>
      <c r="E111" s="29" t="s">
        <v>172</v>
      </c>
      <c r="F111" s="28" t="s">
        <v>382</v>
      </c>
      <c r="G111" s="28" t="s">
        <v>390</v>
      </c>
      <c r="H111" s="28" t="s">
        <v>384</v>
      </c>
      <c r="I111" s="28">
        <v>1</v>
      </c>
      <c r="J111" s="30">
        <v>0.09</v>
      </c>
      <c r="K111" s="28" t="s">
        <v>324</v>
      </c>
      <c r="L111" s="31">
        <v>43862</v>
      </c>
      <c r="M111" s="28">
        <v>2</v>
      </c>
      <c r="N111" s="32" t="s">
        <v>176</v>
      </c>
      <c r="O111" s="28" t="s">
        <v>204</v>
      </c>
      <c r="P111" s="28" t="s">
        <v>591</v>
      </c>
      <c r="Q111" s="28" t="s">
        <v>585</v>
      </c>
      <c r="R111" s="28" t="s">
        <v>586</v>
      </c>
    </row>
    <row r="112" spans="1:18" hidden="1">
      <c r="A112" s="28">
        <v>4</v>
      </c>
      <c r="B112" s="29" t="s">
        <v>306</v>
      </c>
      <c r="C112" s="29" t="s">
        <v>307</v>
      </c>
      <c r="D112" s="29" t="s">
        <v>592</v>
      </c>
      <c r="E112" s="29" t="s">
        <v>172</v>
      </c>
      <c r="F112" s="28" t="s">
        <v>382</v>
      </c>
      <c r="G112" s="28" t="s">
        <v>390</v>
      </c>
      <c r="H112" s="28" t="s">
        <v>384</v>
      </c>
      <c r="I112" s="28">
        <v>1</v>
      </c>
      <c r="J112" s="30">
        <v>0.09</v>
      </c>
      <c r="K112" s="28" t="s">
        <v>267</v>
      </c>
      <c r="L112" s="31">
        <v>42583</v>
      </c>
      <c r="M112" s="28">
        <v>8</v>
      </c>
      <c r="N112" s="32" t="s">
        <v>184</v>
      </c>
      <c r="O112" s="28" t="s">
        <v>204</v>
      </c>
      <c r="P112" s="28" t="s">
        <v>593</v>
      </c>
      <c r="Q112" s="28" t="s">
        <v>594</v>
      </c>
      <c r="R112" s="28" t="s">
        <v>595</v>
      </c>
    </row>
    <row r="113" spans="1:18" hidden="1">
      <c r="A113" s="28">
        <v>4</v>
      </c>
      <c r="B113" s="29" t="s">
        <v>306</v>
      </c>
      <c r="C113" s="29" t="s">
        <v>307</v>
      </c>
      <c r="D113" s="29" t="s">
        <v>592</v>
      </c>
      <c r="E113" s="29" t="s">
        <v>172</v>
      </c>
      <c r="F113" s="28" t="s">
        <v>382</v>
      </c>
      <c r="G113" s="28" t="s">
        <v>383</v>
      </c>
      <c r="H113" s="28" t="s">
        <v>384</v>
      </c>
      <c r="I113" s="28">
        <v>1</v>
      </c>
      <c r="J113" s="30">
        <v>0.09</v>
      </c>
      <c r="K113" s="28" t="s">
        <v>208</v>
      </c>
      <c r="L113" s="31">
        <v>43101</v>
      </c>
      <c r="M113" s="28">
        <v>1</v>
      </c>
      <c r="N113" s="32" t="s">
        <v>176</v>
      </c>
      <c r="O113" s="28" t="s">
        <v>204</v>
      </c>
      <c r="P113" s="28" t="s">
        <v>596</v>
      </c>
      <c r="Q113" s="28" t="s">
        <v>597</v>
      </c>
      <c r="R113" s="28" t="s">
        <v>598</v>
      </c>
    </row>
    <row r="114" spans="1:18" hidden="1">
      <c r="A114" s="28">
        <v>4</v>
      </c>
      <c r="B114" s="29" t="s">
        <v>306</v>
      </c>
      <c r="C114" s="29" t="s">
        <v>307</v>
      </c>
      <c r="D114" s="29" t="s">
        <v>592</v>
      </c>
      <c r="E114" s="29" t="s">
        <v>172</v>
      </c>
      <c r="F114" s="28" t="s">
        <v>382</v>
      </c>
      <c r="G114" s="28" t="s">
        <v>390</v>
      </c>
      <c r="H114" s="28" t="s">
        <v>384</v>
      </c>
      <c r="I114" s="28">
        <v>1</v>
      </c>
      <c r="J114" s="30">
        <v>0.09</v>
      </c>
      <c r="K114" s="28" t="s">
        <v>302</v>
      </c>
      <c r="L114" s="31">
        <v>43282</v>
      </c>
      <c r="M114" s="28">
        <v>7</v>
      </c>
      <c r="N114" s="32" t="s">
        <v>184</v>
      </c>
      <c r="O114" s="28" t="s">
        <v>204</v>
      </c>
      <c r="P114" s="28" t="s">
        <v>599</v>
      </c>
      <c r="Q114" s="28" t="s">
        <v>594</v>
      </c>
      <c r="R114" s="28" t="s">
        <v>595</v>
      </c>
    </row>
    <row r="115" spans="1:18" hidden="1">
      <c r="A115" s="28">
        <v>4</v>
      </c>
      <c r="B115" s="29" t="s">
        <v>306</v>
      </c>
      <c r="C115" s="29" t="s">
        <v>307</v>
      </c>
      <c r="D115" s="29" t="s">
        <v>592</v>
      </c>
      <c r="E115" s="29" t="s">
        <v>172</v>
      </c>
      <c r="F115" s="28" t="s">
        <v>382</v>
      </c>
      <c r="G115" s="28" t="s">
        <v>390</v>
      </c>
      <c r="H115" s="28" t="s">
        <v>384</v>
      </c>
      <c r="I115" s="28">
        <v>1</v>
      </c>
      <c r="J115" s="30">
        <v>0.09</v>
      </c>
      <c r="K115" s="28" t="s">
        <v>212</v>
      </c>
      <c r="L115" s="31">
        <v>43313</v>
      </c>
      <c r="M115" s="28">
        <v>8</v>
      </c>
      <c r="N115" s="32" t="s">
        <v>184</v>
      </c>
      <c r="O115" s="28" t="s">
        <v>204</v>
      </c>
      <c r="P115" s="28" t="s">
        <v>600</v>
      </c>
      <c r="Q115" s="28" t="s">
        <v>594</v>
      </c>
      <c r="R115" s="28" t="s">
        <v>595</v>
      </c>
    </row>
    <row r="116" spans="1:18" hidden="1">
      <c r="A116" s="28">
        <v>4</v>
      </c>
      <c r="B116" s="29" t="s">
        <v>306</v>
      </c>
      <c r="C116" s="29" t="s">
        <v>307</v>
      </c>
      <c r="D116" s="29" t="s">
        <v>592</v>
      </c>
      <c r="E116" s="29" t="s">
        <v>172</v>
      </c>
      <c r="F116" s="28" t="s">
        <v>382</v>
      </c>
      <c r="G116" s="28" t="s">
        <v>383</v>
      </c>
      <c r="H116" s="28" t="s">
        <v>384</v>
      </c>
      <c r="I116" s="28">
        <v>1</v>
      </c>
      <c r="J116" s="30">
        <v>0.09</v>
      </c>
      <c r="K116" s="28" t="s">
        <v>479</v>
      </c>
      <c r="L116" s="31">
        <v>43770</v>
      </c>
      <c r="M116" s="28">
        <v>11</v>
      </c>
      <c r="N116" s="32" t="s">
        <v>191</v>
      </c>
      <c r="O116" s="28" t="s">
        <v>204</v>
      </c>
      <c r="P116" s="28" t="s">
        <v>601</v>
      </c>
      <c r="Q116" s="28" t="s">
        <v>602</v>
      </c>
      <c r="R116" s="28" t="s">
        <v>603</v>
      </c>
    </row>
    <row r="117" spans="1:18" hidden="1">
      <c r="A117" s="28">
        <v>4</v>
      </c>
      <c r="B117" s="29" t="s">
        <v>306</v>
      </c>
      <c r="C117" s="29" t="s">
        <v>307</v>
      </c>
      <c r="D117" s="29" t="s">
        <v>604</v>
      </c>
      <c r="E117" s="29" t="s">
        <v>172</v>
      </c>
      <c r="F117" s="28" t="s">
        <v>382</v>
      </c>
      <c r="G117" s="28" t="s">
        <v>390</v>
      </c>
      <c r="H117" s="28" t="s">
        <v>384</v>
      </c>
      <c r="I117" s="28">
        <v>1</v>
      </c>
      <c r="J117" s="30">
        <v>0.09</v>
      </c>
      <c r="K117" s="28" t="s">
        <v>501</v>
      </c>
      <c r="L117" s="31">
        <v>43405</v>
      </c>
      <c r="M117" s="28">
        <v>11</v>
      </c>
      <c r="N117" s="32" t="s">
        <v>191</v>
      </c>
      <c r="O117" s="28" t="s">
        <v>204</v>
      </c>
      <c r="P117" s="28" t="s">
        <v>605</v>
      </c>
      <c r="Q117" s="28" t="s">
        <v>606</v>
      </c>
      <c r="R117" s="28" t="s">
        <v>595</v>
      </c>
    </row>
    <row r="118" spans="1:18" hidden="1">
      <c r="A118" s="28">
        <v>4</v>
      </c>
      <c r="B118" s="29" t="s">
        <v>306</v>
      </c>
      <c r="C118" s="29" t="s">
        <v>307</v>
      </c>
      <c r="D118" s="29" t="s">
        <v>308</v>
      </c>
      <c r="E118" s="29" t="s">
        <v>172</v>
      </c>
      <c r="F118" s="28" t="s">
        <v>382</v>
      </c>
      <c r="G118" s="28" t="s">
        <v>383</v>
      </c>
      <c r="H118" s="28" t="s">
        <v>384</v>
      </c>
      <c r="I118" s="28">
        <v>1</v>
      </c>
      <c r="J118" s="30">
        <v>0.09</v>
      </c>
      <c r="K118" s="28" t="s">
        <v>391</v>
      </c>
      <c r="L118" s="31">
        <v>42370</v>
      </c>
      <c r="M118" s="28">
        <v>1</v>
      </c>
      <c r="N118" s="32" t="s">
        <v>176</v>
      </c>
      <c r="O118" s="28" t="s">
        <v>204</v>
      </c>
      <c r="P118" s="28" t="s">
        <v>607</v>
      </c>
      <c r="Q118" s="28" t="s">
        <v>608</v>
      </c>
      <c r="R118" s="28" t="s">
        <v>598</v>
      </c>
    </row>
    <row r="119" spans="1:18" hidden="1">
      <c r="A119" s="28">
        <v>4</v>
      </c>
      <c r="B119" s="29" t="s">
        <v>306</v>
      </c>
      <c r="C119" s="29" t="s">
        <v>307</v>
      </c>
      <c r="D119" s="29" t="s">
        <v>308</v>
      </c>
      <c r="E119" s="29" t="s">
        <v>172</v>
      </c>
      <c r="F119" s="28" t="s">
        <v>382</v>
      </c>
      <c r="G119" s="28" t="s">
        <v>390</v>
      </c>
      <c r="H119" s="28" t="s">
        <v>384</v>
      </c>
      <c r="I119" s="28">
        <v>1</v>
      </c>
      <c r="J119" s="30">
        <v>0.09</v>
      </c>
      <c r="K119" s="28" t="s">
        <v>489</v>
      </c>
      <c r="L119" s="31">
        <v>42491</v>
      </c>
      <c r="M119" s="28">
        <v>5</v>
      </c>
      <c r="N119" s="32" t="s">
        <v>191</v>
      </c>
      <c r="O119" s="28" t="s">
        <v>204</v>
      </c>
      <c r="P119" s="28" t="s">
        <v>609</v>
      </c>
      <c r="Q119" s="28" t="s">
        <v>610</v>
      </c>
      <c r="R119" s="28" t="s">
        <v>611</v>
      </c>
    </row>
    <row r="120" spans="1:18" hidden="1">
      <c r="A120" s="28">
        <v>4</v>
      </c>
      <c r="B120" s="29" t="s">
        <v>306</v>
      </c>
      <c r="C120" s="29" t="s">
        <v>307</v>
      </c>
      <c r="D120" s="29" t="s">
        <v>308</v>
      </c>
      <c r="E120" s="29" t="s">
        <v>172</v>
      </c>
      <c r="F120" s="28" t="s">
        <v>382</v>
      </c>
      <c r="G120" s="28" t="s">
        <v>390</v>
      </c>
      <c r="H120" s="28" t="s">
        <v>384</v>
      </c>
      <c r="I120" s="28">
        <v>1</v>
      </c>
      <c r="J120" s="30">
        <v>0.09</v>
      </c>
      <c r="K120" s="28" t="s">
        <v>489</v>
      </c>
      <c r="L120" s="31">
        <v>42491</v>
      </c>
      <c r="M120" s="28">
        <v>5</v>
      </c>
      <c r="N120" s="32" t="s">
        <v>191</v>
      </c>
      <c r="O120" s="28" t="s">
        <v>204</v>
      </c>
      <c r="P120" s="28" t="s">
        <v>612</v>
      </c>
      <c r="Q120" s="28" t="s">
        <v>610</v>
      </c>
      <c r="R120" s="28" t="s">
        <v>611</v>
      </c>
    </row>
    <row r="121" spans="1:18" hidden="1">
      <c r="A121" s="28">
        <v>4</v>
      </c>
      <c r="B121" s="29" t="s">
        <v>306</v>
      </c>
      <c r="C121" s="29" t="s">
        <v>307</v>
      </c>
      <c r="D121" s="29" t="s">
        <v>308</v>
      </c>
      <c r="E121" s="29" t="s">
        <v>172</v>
      </c>
      <c r="F121" s="28" t="s">
        <v>382</v>
      </c>
      <c r="G121" s="28" t="s">
        <v>390</v>
      </c>
      <c r="H121" s="28" t="s">
        <v>384</v>
      </c>
      <c r="I121" s="28">
        <v>1</v>
      </c>
      <c r="J121" s="30">
        <v>0.09</v>
      </c>
      <c r="K121" s="28" t="s">
        <v>587</v>
      </c>
      <c r="L121" s="31">
        <v>42736</v>
      </c>
      <c r="M121" s="28">
        <v>1</v>
      </c>
      <c r="N121" s="32" t="s">
        <v>176</v>
      </c>
      <c r="O121" s="28" t="s">
        <v>204</v>
      </c>
      <c r="P121" s="28" t="s">
        <v>613</v>
      </c>
      <c r="Q121" s="28" t="s">
        <v>606</v>
      </c>
      <c r="R121" s="28" t="s">
        <v>595</v>
      </c>
    </row>
    <row r="122" spans="1:18" hidden="1">
      <c r="A122" s="28">
        <v>4</v>
      </c>
      <c r="B122" s="29" t="s">
        <v>306</v>
      </c>
      <c r="C122" s="29" t="s">
        <v>312</v>
      </c>
      <c r="D122" s="29" t="s">
        <v>313</v>
      </c>
      <c r="E122" s="29" t="s">
        <v>172</v>
      </c>
      <c r="F122" s="28" t="s">
        <v>382</v>
      </c>
      <c r="G122" s="28" t="s">
        <v>390</v>
      </c>
      <c r="H122" s="28" t="s">
        <v>384</v>
      </c>
      <c r="I122" s="28">
        <v>1</v>
      </c>
      <c r="J122" s="30">
        <v>0.09</v>
      </c>
      <c r="K122" s="28" t="s">
        <v>232</v>
      </c>
      <c r="L122" s="31">
        <v>42522</v>
      </c>
      <c r="M122" s="28">
        <v>6</v>
      </c>
      <c r="N122" s="32" t="s">
        <v>184</v>
      </c>
      <c r="O122" s="28" t="s">
        <v>204</v>
      </c>
      <c r="P122" s="28" t="s">
        <v>614</v>
      </c>
      <c r="Q122" s="28" t="s">
        <v>615</v>
      </c>
      <c r="R122" s="28" t="s">
        <v>616</v>
      </c>
    </row>
    <row r="123" spans="1:18" hidden="1">
      <c r="A123" s="28">
        <v>4</v>
      </c>
      <c r="B123" s="29" t="s">
        <v>306</v>
      </c>
      <c r="C123" s="29" t="s">
        <v>312</v>
      </c>
      <c r="D123" s="29" t="s">
        <v>313</v>
      </c>
      <c r="E123" s="29" t="s">
        <v>172</v>
      </c>
      <c r="F123" s="28" t="s">
        <v>382</v>
      </c>
      <c r="G123" s="28" t="s">
        <v>390</v>
      </c>
      <c r="H123" s="28" t="s">
        <v>384</v>
      </c>
      <c r="I123" s="28">
        <v>1</v>
      </c>
      <c r="J123" s="30">
        <v>0.09</v>
      </c>
      <c r="K123" s="28" t="s">
        <v>198</v>
      </c>
      <c r="L123" s="31">
        <v>42767</v>
      </c>
      <c r="M123" s="28">
        <v>2</v>
      </c>
      <c r="N123" s="32" t="s">
        <v>176</v>
      </c>
      <c r="O123" s="28" t="s">
        <v>204</v>
      </c>
      <c r="P123" s="28" t="s">
        <v>617</v>
      </c>
      <c r="Q123" s="28" t="s">
        <v>618</v>
      </c>
      <c r="R123" s="28" t="s">
        <v>616</v>
      </c>
    </row>
    <row r="124" spans="1:18" hidden="1">
      <c r="A124" s="28">
        <v>4</v>
      </c>
      <c r="B124" s="29" t="s">
        <v>306</v>
      </c>
      <c r="C124" s="29" t="s">
        <v>312</v>
      </c>
      <c r="D124" s="29" t="s">
        <v>313</v>
      </c>
      <c r="E124" s="29" t="s">
        <v>172</v>
      </c>
      <c r="F124" s="28" t="s">
        <v>382</v>
      </c>
      <c r="G124" s="28" t="s">
        <v>390</v>
      </c>
      <c r="H124" s="28" t="s">
        <v>384</v>
      </c>
      <c r="I124" s="28">
        <v>1</v>
      </c>
      <c r="J124" s="30">
        <v>0.09</v>
      </c>
      <c r="K124" s="28" t="s">
        <v>271</v>
      </c>
      <c r="L124" s="31">
        <v>42856</v>
      </c>
      <c r="M124" s="28">
        <v>5</v>
      </c>
      <c r="N124" s="32" t="s">
        <v>191</v>
      </c>
      <c r="O124" s="28" t="s">
        <v>204</v>
      </c>
      <c r="P124" s="28" t="s">
        <v>619</v>
      </c>
      <c r="Q124" s="28" t="s">
        <v>620</v>
      </c>
      <c r="R124" s="28" t="s">
        <v>616</v>
      </c>
    </row>
    <row r="125" spans="1:18" hidden="1">
      <c r="A125" s="28">
        <v>4</v>
      </c>
      <c r="B125" s="29" t="s">
        <v>306</v>
      </c>
      <c r="C125" s="29" t="s">
        <v>312</v>
      </c>
      <c r="D125" s="29" t="s">
        <v>313</v>
      </c>
      <c r="E125" s="29" t="s">
        <v>172</v>
      </c>
      <c r="F125" s="28" t="s">
        <v>382</v>
      </c>
      <c r="G125" s="28" t="s">
        <v>383</v>
      </c>
      <c r="H125" s="28" t="s">
        <v>384</v>
      </c>
      <c r="I125" s="28">
        <v>1</v>
      </c>
      <c r="J125" s="30">
        <v>0.09</v>
      </c>
      <c r="K125" s="28" t="s">
        <v>397</v>
      </c>
      <c r="L125" s="31">
        <v>43739</v>
      </c>
      <c r="M125" s="28">
        <v>10</v>
      </c>
      <c r="N125" s="32" t="s">
        <v>191</v>
      </c>
      <c r="O125" s="28" t="s">
        <v>204</v>
      </c>
      <c r="P125" s="28" t="s">
        <v>621</v>
      </c>
      <c r="Q125" s="28" t="s">
        <v>622</v>
      </c>
      <c r="R125" s="28" t="s">
        <v>623</v>
      </c>
    </row>
    <row r="126" spans="1:18" hidden="1">
      <c r="A126" s="28">
        <v>4</v>
      </c>
      <c r="B126" s="29" t="s">
        <v>306</v>
      </c>
      <c r="C126" s="29" t="s">
        <v>624</v>
      </c>
      <c r="D126" s="29" t="s">
        <v>625</v>
      </c>
      <c r="E126" s="29" t="s">
        <v>172</v>
      </c>
      <c r="F126" s="28" t="s">
        <v>382</v>
      </c>
      <c r="G126" s="28" t="s">
        <v>390</v>
      </c>
      <c r="H126" s="28" t="s">
        <v>384</v>
      </c>
      <c r="I126" s="28">
        <v>1</v>
      </c>
      <c r="J126" s="30">
        <v>0.09</v>
      </c>
      <c r="K126" s="28" t="s">
        <v>401</v>
      </c>
      <c r="L126" s="31">
        <v>42705</v>
      </c>
      <c r="M126" s="28">
        <v>12</v>
      </c>
      <c r="N126" s="32" t="s">
        <v>176</v>
      </c>
      <c r="O126" s="28" t="s">
        <v>204</v>
      </c>
      <c r="P126" s="28" t="s">
        <v>626</v>
      </c>
      <c r="Q126" s="28" t="s">
        <v>627</v>
      </c>
      <c r="R126" s="28" t="s">
        <v>595</v>
      </c>
    </row>
    <row r="127" spans="1:18" hidden="1">
      <c r="A127" s="28">
        <v>4</v>
      </c>
      <c r="B127" s="29" t="s">
        <v>306</v>
      </c>
      <c r="C127" s="29" t="s">
        <v>624</v>
      </c>
      <c r="D127" s="29" t="s">
        <v>625</v>
      </c>
      <c r="E127" s="29" t="s">
        <v>172</v>
      </c>
      <c r="F127" s="28" t="s">
        <v>382</v>
      </c>
      <c r="G127" s="28" t="s">
        <v>390</v>
      </c>
      <c r="H127" s="28" t="s">
        <v>384</v>
      </c>
      <c r="I127" s="28">
        <v>1</v>
      </c>
      <c r="J127" s="30">
        <v>0.09</v>
      </c>
      <c r="K127" s="28" t="s">
        <v>464</v>
      </c>
      <c r="L127" s="31">
        <v>42887</v>
      </c>
      <c r="M127" s="28">
        <v>6</v>
      </c>
      <c r="N127" s="32" t="s">
        <v>184</v>
      </c>
      <c r="O127" s="28" t="s">
        <v>204</v>
      </c>
      <c r="P127" s="28" t="s">
        <v>628</v>
      </c>
      <c r="Q127" s="28" t="s">
        <v>629</v>
      </c>
      <c r="R127" s="28" t="s">
        <v>595</v>
      </c>
    </row>
    <row r="128" spans="1:18" hidden="1">
      <c r="A128" s="28">
        <v>4</v>
      </c>
      <c r="B128" s="29" t="s">
        <v>306</v>
      </c>
      <c r="C128" s="29" t="s">
        <v>624</v>
      </c>
      <c r="D128" s="29" t="s">
        <v>630</v>
      </c>
      <c r="E128" s="29" t="s">
        <v>172</v>
      </c>
      <c r="F128" s="28" t="s">
        <v>382</v>
      </c>
      <c r="G128" s="28" t="s">
        <v>390</v>
      </c>
      <c r="H128" s="28" t="s">
        <v>384</v>
      </c>
      <c r="I128" s="28">
        <v>1</v>
      </c>
      <c r="J128" s="30">
        <v>0.09</v>
      </c>
      <c r="K128" s="28" t="s">
        <v>485</v>
      </c>
      <c r="L128" s="31">
        <v>42401</v>
      </c>
      <c r="M128" s="28">
        <v>2</v>
      </c>
      <c r="N128" s="32" t="s">
        <v>176</v>
      </c>
      <c r="O128" s="28" t="s">
        <v>204</v>
      </c>
      <c r="P128" s="28" t="s">
        <v>631</v>
      </c>
      <c r="Q128" s="28" t="s">
        <v>629</v>
      </c>
      <c r="R128" s="28" t="s">
        <v>595</v>
      </c>
    </row>
    <row r="129" spans="1:18" hidden="1">
      <c r="A129" s="28">
        <v>4</v>
      </c>
      <c r="B129" s="29" t="s">
        <v>306</v>
      </c>
      <c r="C129" s="29" t="s">
        <v>624</v>
      </c>
      <c r="D129" s="29" t="s">
        <v>630</v>
      </c>
      <c r="E129" s="29" t="s">
        <v>172</v>
      </c>
      <c r="F129" s="28" t="s">
        <v>382</v>
      </c>
      <c r="G129" s="28" t="s">
        <v>383</v>
      </c>
      <c r="H129" s="28" t="s">
        <v>384</v>
      </c>
      <c r="I129" s="28">
        <v>1</v>
      </c>
      <c r="J129" s="30">
        <v>0.09</v>
      </c>
      <c r="K129" s="28" t="s">
        <v>632</v>
      </c>
      <c r="L129" s="31">
        <v>44378</v>
      </c>
      <c r="M129" s="28">
        <v>7</v>
      </c>
      <c r="N129" s="32" t="s">
        <v>184</v>
      </c>
      <c r="O129" s="28" t="s">
        <v>204</v>
      </c>
      <c r="P129" s="28" t="s">
        <v>633</v>
      </c>
      <c r="Q129" s="28" t="s">
        <v>634</v>
      </c>
      <c r="R129" s="28" t="s">
        <v>635</v>
      </c>
    </row>
    <row r="130" spans="1:18" hidden="1">
      <c r="A130" s="28">
        <v>4</v>
      </c>
      <c r="B130" s="29" t="s">
        <v>306</v>
      </c>
      <c r="C130" s="29" t="s">
        <v>318</v>
      </c>
      <c r="D130" s="29" t="s">
        <v>323</v>
      </c>
      <c r="E130" s="29" t="s">
        <v>172</v>
      </c>
      <c r="F130" s="28" t="s">
        <v>382</v>
      </c>
      <c r="G130" s="28" t="s">
        <v>390</v>
      </c>
      <c r="H130" s="28" t="s">
        <v>384</v>
      </c>
      <c r="I130" s="28">
        <v>1</v>
      </c>
      <c r="J130" s="30">
        <v>0.09</v>
      </c>
      <c r="K130" s="28" t="s">
        <v>243</v>
      </c>
      <c r="L130" s="31">
        <v>42461</v>
      </c>
      <c r="M130" s="28">
        <v>4</v>
      </c>
      <c r="N130" s="32" t="s">
        <v>191</v>
      </c>
      <c r="O130" s="28" t="s">
        <v>204</v>
      </c>
      <c r="P130" s="28" t="s">
        <v>636</v>
      </c>
      <c r="Q130" s="28" t="s">
        <v>637</v>
      </c>
      <c r="R130" s="28" t="s">
        <v>598</v>
      </c>
    </row>
    <row r="131" spans="1:18" hidden="1">
      <c r="A131" s="28">
        <v>4</v>
      </c>
      <c r="B131" s="29" t="s">
        <v>306</v>
      </c>
      <c r="C131" s="29" t="s">
        <v>318</v>
      </c>
      <c r="D131" s="29" t="s">
        <v>323</v>
      </c>
      <c r="E131" s="29" t="s">
        <v>172</v>
      </c>
      <c r="F131" s="28" t="s">
        <v>382</v>
      </c>
      <c r="G131" s="28" t="s">
        <v>390</v>
      </c>
      <c r="H131" s="28" t="s">
        <v>384</v>
      </c>
      <c r="I131" s="28">
        <v>1</v>
      </c>
      <c r="J131" s="30">
        <v>0.09</v>
      </c>
      <c r="K131" s="28" t="s">
        <v>479</v>
      </c>
      <c r="L131" s="31">
        <v>43770</v>
      </c>
      <c r="M131" s="28">
        <v>11</v>
      </c>
      <c r="N131" s="32" t="s">
        <v>191</v>
      </c>
      <c r="O131" s="28" t="s">
        <v>204</v>
      </c>
      <c r="P131" s="28" t="s">
        <v>638</v>
      </c>
      <c r="Q131" s="28" t="s">
        <v>639</v>
      </c>
      <c r="R131" s="28" t="s">
        <v>598</v>
      </c>
    </row>
    <row r="132" spans="1:18" hidden="1">
      <c r="A132" s="28">
        <v>4</v>
      </c>
      <c r="B132" s="29" t="s">
        <v>306</v>
      </c>
      <c r="C132" s="29" t="s">
        <v>318</v>
      </c>
      <c r="D132" s="29" t="s">
        <v>323</v>
      </c>
      <c r="E132" s="29" t="s">
        <v>172</v>
      </c>
      <c r="F132" s="28" t="s">
        <v>382</v>
      </c>
      <c r="G132" s="28" t="s">
        <v>383</v>
      </c>
      <c r="H132" s="28" t="s">
        <v>384</v>
      </c>
      <c r="I132" s="28">
        <v>1</v>
      </c>
      <c r="J132" s="30">
        <v>0.09</v>
      </c>
      <c r="K132" s="28" t="s">
        <v>324</v>
      </c>
      <c r="L132" s="31">
        <v>43862</v>
      </c>
      <c r="M132" s="28">
        <v>2</v>
      </c>
      <c r="N132" s="32" t="s">
        <v>176</v>
      </c>
      <c r="O132" s="28" t="s">
        <v>204</v>
      </c>
      <c r="P132" s="28" t="s">
        <v>640</v>
      </c>
      <c r="Q132" s="28" t="s">
        <v>641</v>
      </c>
      <c r="R132" s="28" t="s">
        <v>642</v>
      </c>
    </row>
    <row r="133" spans="1:18" hidden="1">
      <c r="A133" s="28">
        <v>4</v>
      </c>
      <c r="B133" s="29" t="s">
        <v>306</v>
      </c>
      <c r="C133" s="29" t="s">
        <v>318</v>
      </c>
      <c r="D133" s="29" t="s">
        <v>323</v>
      </c>
      <c r="E133" s="29" t="s">
        <v>172</v>
      </c>
      <c r="F133" s="28" t="s">
        <v>382</v>
      </c>
      <c r="G133" s="28" t="s">
        <v>390</v>
      </c>
      <c r="H133" s="28" t="s">
        <v>384</v>
      </c>
      <c r="I133" s="28">
        <v>1</v>
      </c>
      <c r="J133" s="30">
        <v>0.09</v>
      </c>
      <c r="K133" s="28" t="s">
        <v>643</v>
      </c>
      <c r="L133" s="31">
        <v>44013</v>
      </c>
      <c r="M133" s="28">
        <v>7</v>
      </c>
      <c r="N133" s="32" t="s">
        <v>184</v>
      </c>
      <c r="O133" s="28" t="s">
        <v>204</v>
      </c>
      <c r="P133" s="28" t="s">
        <v>644</v>
      </c>
      <c r="Q133" s="28" t="s">
        <v>645</v>
      </c>
      <c r="R133" s="28" t="s">
        <v>598</v>
      </c>
    </row>
    <row r="134" spans="1:18" hidden="1">
      <c r="A134" s="28">
        <v>4</v>
      </c>
      <c r="B134" s="29" t="s">
        <v>306</v>
      </c>
      <c r="C134" s="29" t="s">
        <v>318</v>
      </c>
      <c r="D134" s="29" t="s">
        <v>323</v>
      </c>
      <c r="E134" s="29" t="s">
        <v>172</v>
      </c>
      <c r="F134" s="28" t="s">
        <v>382</v>
      </c>
      <c r="G134" s="28" t="s">
        <v>383</v>
      </c>
      <c r="H134" s="28" t="s">
        <v>384</v>
      </c>
      <c r="I134" s="28">
        <v>1</v>
      </c>
      <c r="J134" s="30">
        <v>0.09</v>
      </c>
      <c r="K134" s="28" t="s">
        <v>646</v>
      </c>
      <c r="L134" s="31">
        <v>44075</v>
      </c>
      <c r="M134" s="28">
        <v>9</v>
      </c>
      <c r="N134" s="32" t="s">
        <v>191</v>
      </c>
      <c r="O134" s="28" t="s">
        <v>204</v>
      </c>
      <c r="P134" s="28" t="s">
        <v>647</v>
      </c>
      <c r="Q134" s="28" t="s">
        <v>648</v>
      </c>
      <c r="R134" s="28" t="s">
        <v>642</v>
      </c>
    </row>
    <row r="135" spans="1:18" hidden="1">
      <c r="A135" s="28">
        <v>4</v>
      </c>
      <c r="B135" s="29" t="s">
        <v>306</v>
      </c>
      <c r="C135" s="29" t="s">
        <v>649</v>
      </c>
      <c r="D135" s="29" t="s">
        <v>650</v>
      </c>
      <c r="E135" s="29" t="s">
        <v>172</v>
      </c>
      <c r="F135" s="28" t="s">
        <v>382</v>
      </c>
      <c r="G135" s="28" t="s">
        <v>383</v>
      </c>
      <c r="H135" s="28" t="s">
        <v>384</v>
      </c>
      <c r="I135" s="28">
        <v>1</v>
      </c>
      <c r="J135" s="30">
        <v>0.09</v>
      </c>
      <c r="K135" s="28" t="s">
        <v>651</v>
      </c>
      <c r="L135" s="31">
        <v>42644</v>
      </c>
      <c r="M135" s="28">
        <v>10</v>
      </c>
      <c r="N135" s="32" t="s">
        <v>191</v>
      </c>
      <c r="O135" s="28" t="s">
        <v>204</v>
      </c>
      <c r="P135" s="28" t="s">
        <v>652</v>
      </c>
      <c r="Q135" s="28" t="s">
        <v>653</v>
      </c>
      <c r="R135" s="28" t="s">
        <v>598</v>
      </c>
    </row>
    <row r="136" spans="1:18" hidden="1">
      <c r="A136" s="28">
        <v>4</v>
      </c>
      <c r="B136" s="29" t="s">
        <v>306</v>
      </c>
      <c r="C136" s="29" t="s">
        <v>649</v>
      </c>
      <c r="D136" s="29" t="s">
        <v>650</v>
      </c>
      <c r="E136" s="29" t="s">
        <v>172</v>
      </c>
      <c r="F136" s="28" t="s">
        <v>382</v>
      </c>
      <c r="G136" s="28" t="s">
        <v>383</v>
      </c>
      <c r="H136" s="28" t="s">
        <v>384</v>
      </c>
      <c r="I136" s="28">
        <v>1</v>
      </c>
      <c r="J136" s="30">
        <v>0.09</v>
      </c>
      <c r="K136" s="28" t="s">
        <v>460</v>
      </c>
      <c r="L136" s="31">
        <v>42675</v>
      </c>
      <c r="M136" s="28">
        <v>11</v>
      </c>
      <c r="N136" s="32" t="s">
        <v>191</v>
      </c>
      <c r="O136" s="28" t="s">
        <v>204</v>
      </c>
      <c r="P136" s="28" t="s">
        <v>654</v>
      </c>
      <c r="Q136" s="28" t="s">
        <v>655</v>
      </c>
      <c r="R136" s="28" t="s">
        <v>656</v>
      </c>
    </row>
    <row r="137" spans="1:18" hidden="1">
      <c r="A137" s="28">
        <v>4</v>
      </c>
      <c r="B137" s="29" t="s">
        <v>306</v>
      </c>
      <c r="C137" s="29" t="s">
        <v>649</v>
      </c>
      <c r="D137" s="29" t="s">
        <v>650</v>
      </c>
      <c r="E137" s="29" t="s">
        <v>172</v>
      </c>
      <c r="F137" s="28" t="s">
        <v>382</v>
      </c>
      <c r="G137" s="28" t="s">
        <v>383</v>
      </c>
      <c r="H137" s="28" t="s">
        <v>384</v>
      </c>
      <c r="I137" s="28">
        <v>1</v>
      </c>
      <c r="J137" s="30">
        <v>0.09</v>
      </c>
      <c r="K137" s="28" t="s">
        <v>460</v>
      </c>
      <c r="L137" s="31">
        <v>42675</v>
      </c>
      <c r="M137" s="28">
        <v>11</v>
      </c>
      <c r="N137" s="32" t="s">
        <v>191</v>
      </c>
      <c r="O137" s="28" t="s">
        <v>204</v>
      </c>
      <c r="P137" s="28" t="s">
        <v>657</v>
      </c>
      <c r="Q137" s="28" t="s">
        <v>658</v>
      </c>
      <c r="R137" s="28" t="s">
        <v>598</v>
      </c>
    </row>
    <row r="138" spans="1:18" hidden="1">
      <c r="A138" s="28">
        <v>4</v>
      </c>
      <c r="B138" s="29" t="s">
        <v>306</v>
      </c>
      <c r="C138" s="29" t="s">
        <v>649</v>
      </c>
      <c r="D138" s="29" t="s">
        <v>650</v>
      </c>
      <c r="E138" s="29" t="s">
        <v>172</v>
      </c>
      <c r="F138" s="28" t="s">
        <v>382</v>
      </c>
      <c r="G138" s="28" t="s">
        <v>390</v>
      </c>
      <c r="H138" s="28" t="s">
        <v>384</v>
      </c>
      <c r="I138" s="28">
        <v>1</v>
      </c>
      <c r="J138" s="30">
        <v>0.09</v>
      </c>
      <c r="K138" s="28" t="s">
        <v>435</v>
      </c>
      <c r="L138" s="31">
        <v>43040</v>
      </c>
      <c r="M138" s="28">
        <v>11</v>
      </c>
      <c r="N138" s="32" t="s">
        <v>191</v>
      </c>
      <c r="O138" s="28" t="s">
        <v>204</v>
      </c>
      <c r="P138" s="28" t="s">
        <v>659</v>
      </c>
      <c r="Q138" s="28" t="s">
        <v>660</v>
      </c>
      <c r="R138" s="28" t="s">
        <v>661</v>
      </c>
    </row>
    <row r="139" spans="1:18" hidden="1">
      <c r="A139" s="28">
        <v>4</v>
      </c>
      <c r="B139" s="29" t="s">
        <v>306</v>
      </c>
      <c r="C139" s="29" t="s">
        <v>649</v>
      </c>
      <c r="D139" s="29" t="s">
        <v>650</v>
      </c>
      <c r="E139" s="29" t="s">
        <v>172</v>
      </c>
      <c r="F139" s="28" t="s">
        <v>382</v>
      </c>
      <c r="G139" s="28" t="s">
        <v>383</v>
      </c>
      <c r="H139" s="28" t="s">
        <v>384</v>
      </c>
      <c r="I139" s="28">
        <v>1</v>
      </c>
      <c r="J139" s="30">
        <v>0.09</v>
      </c>
      <c r="K139" s="28" t="s">
        <v>248</v>
      </c>
      <c r="L139" s="31">
        <v>43070</v>
      </c>
      <c r="M139" s="28">
        <v>12</v>
      </c>
      <c r="N139" s="32" t="s">
        <v>176</v>
      </c>
      <c r="O139" s="28" t="s">
        <v>204</v>
      </c>
      <c r="P139" s="28" t="s">
        <v>662</v>
      </c>
      <c r="Q139" s="28" t="s">
        <v>663</v>
      </c>
      <c r="R139" s="28" t="s">
        <v>598</v>
      </c>
    </row>
    <row r="140" spans="1:18" hidden="1">
      <c r="A140" s="28">
        <v>4</v>
      </c>
      <c r="B140" s="29" t="s">
        <v>306</v>
      </c>
      <c r="C140" s="29" t="s">
        <v>649</v>
      </c>
      <c r="D140" s="29" t="s">
        <v>650</v>
      </c>
      <c r="E140" s="29" t="s">
        <v>172</v>
      </c>
      <c r="F140" s="28" t="s">
        <v>382</v>
      </c>
      <c r="G140" s="28" t="s">
        <v>383</v>
      </c>
      <c r="H140" s="28" t="s">
        <v>384</v>
      </c>
      <c r="I140" s="28">
        <v>1</v>
      </c>
      <c r="J140" s="30">
        <v>0.09</v>
      </c>
      <c r="K140" s="28" t="s">
        <v>520</v>
      </c>
      <c r="L140" s="31">
        <v>43800</v>
      </c>
      <c r="M140" s="28">
        <v>12</v>
      </c>
      <c r="N140" s="32" t="s">
        <v>176</v>
      </c>
      <c r="O140" s="28" t="s">
        <v>204</v>
      </c>
      <c r="P140" s="28" t="s">
        <v>664</v>
      </c>
      <c r="Q140" s="28" t="s">
        <v>665</v>
      </c>
      <c r="R140" s="28" t="s">
        <v>598</v>
      </c>
    </row>
    <row r="141" spans="1:18" hidden="1">
      <c r="A141" s="28">
        <v>4</v>
      </c>
      <c r="B141" s="29" t="s">
        <v>306</v>
      </c>
      <c r="C141" s="29" t="s">
        <v>649</v>
      </c>
      <c r="D141" s="29" t="s">
        <v>650</v>
      </c>
      <c r="E141" s="29" t="s">
        <v>172</v>
      </c>
      <c r="F141" s="28" t="s">
        <v>382</v>
      </c>
      <c r="G141" s="28" t="s">
        <v>383</v>
      </c>
      <c r="H141" s="28" t="s">
        <v>384</v>
      </c>
      <c r="I141" s="28">
        <v>1</v>
      </c>
      <c r="J141" s="30">
        <v>0.09</v>
      </c>
      <c r="K141" s="28" t="s">
        <v>218</v>
      </c>
      <c r="L141" s="31">
        <v>44044</v>
      </c>
      <c r="M141" s="28">
        <v>8</v>
      </c>
      <c r="N141" s="32" t="s">
        <v>184</v>
      </c>
      <c r="O141" s="28" t="s">
        <v>204</v>
      </c>
      <c r="P141" s="28" t="s">
        <v>666</v>
      </c>
      <c r="Q141" s="28" t="s">
        <v>667</v>
      </c>
      <c r="R141" s="28" t="s">
        <v>598</v>
      </c>
    </row>
    <row r="142" spans="1:18" hidden="1">
      <c r="A142" s="28">
        <v>4</v>
      </c>
      <c r="B142" s="29" t="s">
        <v>306</v>
      </c>
      <c r="C142" s="29" t="s">
        <v>649</v>
      </c>
      <c r="D142" s="29" t="s">
        <v>650</v>
      </c>
      <c r="E142" s="29" t="s">
        <v>172</v>
      </c>
      <c r="F142" s="28" t="s">
        <v>382</v>
      </c>
      <c r="G142" s="28" t="s">
        <v>383</v>
      </c>
      <c r="H142" s="28" t="s">
        <v>384</v>
      </c>
      <c r="I142" s="28">
        <v>1</v>
      </c>
      <c r="J142" s="30">
        <v>0.09</v>
      </c>
      <c r="K142" s="28" t="s">
        <v>522</v>
      </c>
      <c r="L142" s="31">
        <v>44256</v>
      </c>
      <c r="M142" s="28">
        <v>3</v>
      </c>
      <c r="N142" s="32" t="s">
        <v>191</v>
      </c>
      <c r="O142" s="28" t="s">
        <v>204</v>
      </c>
      <c r="P142" s="28" t="s">
        <v>668</v>
      </c>
      <c r="Q142" s="28" t="s">
        <v>669</v>
      </c>
      <c r="R142" s="28" t="s">
        <v>598</v>
      </c>
    </row>
    <row r="143" spans="1:18" hidden="1">
      <c r="A143" s="28">
        <v>4</v>
      </c>
      <c r="B143" s="29" t="s">
        <v>306</v>
      </c>
      <c r="C143" s="29" t="s">
        <v>649</v>
      </c>
      <c r="D143" s="29" t="s">
        <v>650</v>
      </c>
      <c r="E143" s="29" t="s">
        <v>172</v>
      </c>
      <c r="F143" s="28" t="s">
        <v>382</v>
      </c>
      <c r="G143" s="28" t="s">
        <v>383</v>
      </c>
      <c r="H143" s="28" t="s">
        <v>384</v>
      </c>
      <c r="I143" s="28">
        <v>1</v>
      </c>
      <c r="J143" s="30">
        <v>0.09</v>
      </c>
      <c r="K143" s="28" t="s">
        <v>670</v>
      </c>
      <c r="L143" s="31">
        <v>44501</v>
      </c>
      <c r="M143" s="28">
        <v>11</v>
      </c>
      <c r="N143" s="32" t="s">
        <v>191</v>
      </c>
      <c r="O143" s="28" t="s">
        <v>204</v>
      </c>
      <c r="P143" s="28" t="s">
        <v>671</v>
      </c>
      <c r="Q143" s="28" t="s">
        <v>672</v>
      </c>
      <c r="R143" s="28" t="s">
        <v>598</v>
      </c>
    </row>
    <row r="144" spans="1:18" hidden="1">
      <c r="A144" s="28">
        <v>4</v>
      </c>
      <c r="B144" s="29" t="s">
        <v>306</v>
      </c>
      <c r="C144" s="29" t="s">
        <v>333</v>
      </c>
      <c r="D144" s="29" t="s">
        <v>673</v>
      </c>
      <c r="E144" s="29" t="s">
        <v>172</v>
      </c>
      <c r="F144" s="28" t="s">
        <v>382</v>
      </c>
      <c r="G144" s="28" t="s">
        <v>383</v>
      </c>
      <c r="H144" s="28" t="s">
        <v>384</v>
      </c>
      <c r="I144" s="28">
        <v>1</v>
      </c>
      <c r="J144" s="30">
        <v>0.09</v>
      </c>
      <c r="K144" s="28" t="s">
        <v>257</v>
      </c>
      <c r="L144" s="31">
        <v>42552</v>
      </c>
      <c r="M144" s="28">
        <v>7</v>
      </c>
      <c r="N144" s="32" t="s">
        <v>184</v>
      </c>
      <c r="O144" s="28" t="s">
        <v>204</v>
      </c>
      <c r="P144" s="28" t="s">
        <v>674</v>
      </c>
      <c r="Q144" s="28" t="s">
        <v>675</v>
      </c>
      <c r="R144" s="28" t="s">
        <v>423</v>
      </c>
    </row>
    <row r="145" spans="1:18" hidden="1">
      <c r="A145" s="28">
        <v>4</v>
      </c>
      <c r="B145" s="29" t="s">
        <v>306</v>
      </c>
      <c r="C145" s="29" t="s">
        <v>333</v>
      </c>
      <c r="D145" s="29" t="s">
        <v>673</v>
      </c>
      <c r="E145" s="29" t="s">
        <v>172</v>
      </c>
      <c r="F145" s="28" t="s">
        <v>382</v>
      </c>
      <c r="G145" s="28" t="s">
        <v>383</v>
      </c>
      <c r="H145" s="28" t="s">
        <v>384</v>
      </c>
      <c r="I145" s="28">
        <v>1</v>
      </c>
      <c r="J145" s="30">
        <v>0.09</v>
      </c>
      <c r="K145" s="28" t="s">
        <v>435</v>
      </c>
      <c r="L145" s="31">
        <v>43040</v>
      </c>
      <c r="M145" s="28">
        <v>11</v>
      </c>
      <c r="N145" s="32" t="s">
        <v>191</v>
      </c>
      <c r="O145" s="28" t="s">
        <v>204</v>
      </c>
      <c r="P145" s="28" t="s">
        <v>676</v>
      </c>
      <c r="Q145" s="28" t="s">
        <v>677</v>
      </c>
      <c r="R145" s="28" t="s">
        <v>423</v>
      </c>
    </row>
    <row r="146" spans="1:18" hidden="1">
      <c r="A146" s="28">
        <v>4</v>
      </c>
      <c r="B146" s="29" t="s">
        <v>306</v>
      </c>
      <c r="C146" s="29" t="s">
        <v>333</v>
      </c>
      <c r="D146" s="29" t="s">
        <v>673</v>
      </c>
      <c r="E146" s="29" t="s">
        <v>172</v>
      </c>
      <c r="F146" s="28" t="s">
        <v>382</v>
      </c>
      <c r="G146" s="28" t="s">
        <v>390</v>
      </c>
      <c r="H146" s="28" t="s">
        <v>384</v>
      </c>
      <c r="I146" s="28">
        <v>1</v>
      </c>
      <c r="J146" s="30">
        <v>0.09</v>
      </c>
      <c r="K146" s="28" t="s">
        <v>678</v>
      </c>
      <c r="L146" s="31">
        <v>43344</v>
      </c>
      <c r="M146" s="28">
        <v>9</v>
      </c>
      <c r="N146" s="32" t="s">
        <v>191</v>
      </c>
      <c r="O146" s="28" t="s">
        <v>204</v>
      </c>
      <c r="P146" s="28" t="s">
        <v>679</v>
      </c>
      <c r="Q146" s="28" t="s">
        <v>680</v>
      </c>
      <c r="R146" s="28" t="s">
        <v>681</v>
      </c>
    </row>
    <row r="147" spans="1:18" hidden="1">
      <c r="A147" s="28">
        <v>4</v>
      </c>
      <c r="B147" s="29" t="s">
        <v>306</v>
      </c>
      <c r="C147" s="29" t="s">
        <v>333</v>
      </c>
      <c r="D147" s="29" t="s">
        <v>673</v>
      </c>
      <c r="E147" s="29" t="s">
        <v>172</v>
      </c>
      <c r="F147" s="28" t="s">
        <v>382</v>
      </c>
      <c r="G147" s="28" t="s">
        <v>383</v>
      </c>
      <c r="H147" s="28" t="s">
        <v>384</v>
      </c>
      <c r="I147" s="28">
        <v>1</v>
      </c>
      <c r="J147" s="30">
        <v>0.09</v>
      </c>
      <c r="K147" s="28" t="s">
        <v>411</v>
      </c>
      <c r="L147" s="31">
        <v>43556</v>
      </c>
      <c r="M147" s="28">
        <v>4</v>
      </c>
      <c r="N147" s="32" t="s">
        <v>191</v>
      </c>
      <c r="O147" s="28" t="s">
        <v>204</v>
      </c>
      <c r="P147" s="28" t="s">
        <v>682</v>
      </c>
      <c r="Q147" s="28" t="s">
        <v>422</v>
      </c>
      <c r="R147" s="28" t="s">
        <v>423</v>
      </c>
    </row>
    <row r="148" spans="1:18" hidden="1">
      <c r="A148" s="28">
        <v>4</v>
      </c>
      <c r="B148" s="29" t="s">
        <v>306</v>
      </c>
      <c r="C148" s="29" t="s">
        <v>333</v>
      </c>
      <c r="D148" s="29" t="s">
        <v>673</v>
      </c>
      <c r="E148" s="29" t="s">
        <v>172</v>
      </c>
      <c r="F148" s="28" t="s">
        <v>382</v>
      </c>
      <c r="G148" s="28" t="s">
        <v>390</v>
      </c>
      <c r="H148" s="28" t="s">
        <v>384</v>
      </c>
      <c r="I148" s="28">
        <v>1</v>
      </c>
      <c r="J148" s="30">
        <v>0.09</v>
      </c>
      <c r="K148" s="28" t="s">
        <v>683</v>
      </c>
      <c r="L148" s="31">
        <v>43831</v>
      </c>
      <c r="M148" s="28">
        <v>1</v>
      </c>
      <c r="N148" s="32" t="s">
        <v>176</v>
      </c>
      <c r="O148" s="28" t="s">
        <v>204</v>
      </c>
      <c r="P148" s="28" t="s">
        <v>684</v>
      </c>
      <c r="Q148" s="28" t="s">
        <v>685</v>
      </c>
      <c r="R148" s="28" t="s">
        <v>686</v>
      </c>
    </row>
    <row r="149" spans="1:18" hidden="1">
      <c r="A149" s="28">
        <v>4</v>
      </c>
      <c r="B149" s="29" t="s">
        <v>306</v>
      </c>
      <c r="C149" s="29" t="s">
        <v>339</v>
      </c>
      <c r="D149" s="29" t="s">
        <v>687</v>
      </c>
      <c r="E149" s="29" t="s">
        <v>172</v>
      </c>
      <c r="F149" s="28" t="s">
        <v>382</v>
      </c>
      <c r="G149" s="28" t="s">
        <v>390</v>
      </c>
      <c r="H149" s="28" t="s">
        <v>384</v>
      </c>
      <c r="I149" s="28">
        <v>1</v>
      </c>
      <c r="J149" s="30">
        <v>0.09</v>
      </c>
      <c r="K149" s="28" t="s">
        <v>485</v>
      </c>
      <c r="L149" s="31">
        <v>42401</v>
      </c>
      <c r="M149" s="28">
        <v>2</v>
      </c>
      <c r="N149" s="32" t="s">
        <v>176</v>
      </c>
      <c r="O149" s="28" t="s">
        <v>204</v>
      </c>
      <c r="P149" s="28" t="s">
        <v>688</v>
      </c>
      <c r="Q149" s="28" t="s">
        <v>689</v>
      </c>
      <c r="R149" s="28" t="s">
        <v>690</v>
      </c>
    </row>
    <row r="150" spans="1:18" hidden="1">
      <c r="A150" s="28">
        <v>4</v>
      </c>
      <c r="B150" s="29" t="s">
        <v>306</v>
      </c>
      <c r="C150" s="29" t="s">
        <v>339</v>
      </c>
      <c r="D150" s="29" t="s">
        <v>687</v>
      </c>
      <c r="E150" s="29" t="s">
        <v>172</v>
      </c>
      <c r="F150" s="28" t="s">
        <v>382</v>
      </c>
      <c r="G150" s="28" t="s">
        <v>390</v>
      </c>
      <c r="H150" s="28" t="s">
        <v>384</v>
      </c>
      <c r="I150" s="28">
        <v>1</v>
      </c>
      <c r="J150" s="30">
        <v>0.09</v>
      </c>
      <c r="K150" s="28" t="s">
        <v>335</v>
      </c>
      <c r="L150" s="31">
        <v>42614</v>
      </c>
      <c r="M150" s="28">
        <v>9</v>
      </c>
      <c r="N150" s="32" t="s">
        <v>191</v>
      </c>
      <c r="O150" s="28" t="s">
        <v>204</v>
      </c>
      <c r="P150" s="28" t="s">
        <v>691</v>
      </c>
      <c r="Q150" s="28" t="s">
        <v>639</v>
      </c>
      <c r="R150" s="28" t="s">
        <v>692</v>
      </c>
    </row>
    <row r="151" spans="1:18" hidden="1">
      <c r="A151" s="28">
        <v>4</v>
      </c>
      <c r="B151" s="29" t="s">
        <v>306</v>
      </c>
      <c r="C151" s="29" t="s">
        <v>339</v>
      </c>
      <c r="D151" s="29" t="s">
        <v>687</v>
      </c>
      <c r="E151" s="29" t="s">
        <v>172</v>
      </c>
      <c r="F151" s="28" t="s">
        <v>382</v>
      </c>
      <c r="G151" s="28" t="s">
        <v>390</v>
      </c>
      <c r="H151" s="28" t="s">
        <v>384</v>
      </c>
      <c r="I151" s="28">
        <v>1</v>
      </c>
      <c r="J151" s="30">
        <v>0.09</v>
      </c>
      <c r="K151" s="28" t="s">
        <v>475</v>
      </c>
      <c r="L151" s="31">
        <v>43191</v>
      </c>
      <c r="M151" s="28">
        <v>4</v>
      </c>
      <c r="N151" s="32" t="s">
        <v>191</v>
      </c>
      <c r="O151" s="28" t="s">
        <v>204</v>
      </c>
      <c r="P151" s="28" t="s">
        <v>693</v>
      </c>
      <c r="Q151" s="28" t="s">
        <v>694</v>
      </c>
      <c r="R151" s="28" t="s">
        <v>695</v>
      </c>
    </row>
    <row r="152" spans="1:18" hidden="1">
      <c r="A152" s="28">
        <v>4</v>
      </c>
      <c r="B152" s="29" t="s">
        <v>306</v>
      </c>
      <c r="C152" s="29" t="s">
        <v>339</v>
      </c>
      <c r="D152" s="29" t="s">
        <v>340</v>
      </c>
      <c r="E152" s="29" t="s">
        <v>172</v>
      </c>
      <c r="F152" s="28" t="s">
        <v>382</v>
      </c>
      <c r="G152" s="28" t="s">
        <v>390</v>
      </c>
      <c r="H152" s="28" t="s">
        <v>384</v>
      </c>
      <c r="I152" s="28">
        <v>1</v>
      </c>
      <c r="J152" s="30">
        <v>0.09</v>
      </c>
      <c r="K152" s="28" t="s">
        <v>175</v>
      </c>
      <c r="L152" s="31">
        <v>42339</v>
      </c>
      <c r="M152" s="28">
        <v>12</v>
      </c>
      <c r="N152" s="32" t="s">
        <v>176</v>
      </c>
      <c r="O152" s="28" t="s">
        <v>204</v>
      </c>
      <c r="P152" s="28" t="s">
        <v>696</v>
      </c>
      <c r="Q152" s="28" t="s">
        <v>697</v>
      </c>
      <c r="R152" s="28" t="s">
        <v>698</v>
      </c>
    </row>
    <row r="153" spans="1:18" hidden="1">
      <c r="A153" s="28">
        <v>4</v>
      </c>
      <c r="B153" s="29" t="s">
        <v>306</v>
      </c>
      <c r="C153" s="29" t="s">
        <v>339</v>
      </c>
      <c r="D153" s="29" t="s">
        <v>340</v>
      </c>
      <c r="E153" s="29" t="s">
        <v>172</v>
      </c>
      <c r="F153" s="28" t="s">
        <v>382</v>
      </c>
      <c r="G153" s="28" t="s">
        <v>390</v>
      </c>
      <c r="H153" s="28" t="s">
        <v>384</v>
      </c>
      <c r="I153" s="28">
        <v>1</v>
      </c>
      <c r="J153" s="30">
        <v>0.09</v>
      </c>
      <c r="K153" s="28" t="s">
        <v>489</v>
      </c>
      <c r="L153" s="31">
        <v>42491</v>
      </c>
      <c r="M153" s="28">
        <v>5</v>
      </c>
      <c r="N153" s="32" t="s">
        <v>191</v>
      </c>
      <c r="O153" s="28" t="s">
        <v>204</v>
      </c>
      <c r="P153" s="28" t="s">
        <v>699</v>
      </c>
      <c r="Q153" s="28" t="s">
        <v>700</v>
      </c>
      <c r="R153" s="28" t="s">
        <v>698</v>
      </c>
    </row>
    <row r="154" spans="1:18" hidden="1">
      <c r="A154" s="28">
        <v>4</v>
      </c>
      <c r="B154" s="29" t="s">
        <v>306</v>
      </c>
      <c r="C154" s="29" t="s">
        <v>339</v>
      </c>
      <c r="D154" s="29" t="s">
        <v>340</v>
      </c>
      <c r="E154" s="29" t="s">
        <v>172</v>
      </c>
      <c r="F154" s="28" t="s">
        <v>382</v>
      </c>
      <c r="G154" s="28" t="s">
        <v>390</v>
      </c>
      <c r="H154" s="28" t="s">
        <v>384</v>
      </c>
      <c r="I154" s="28">
        <v>1</v>
      </c>
      <c r="J154" s="30">
        <v>0.09</v>
      </c>
      <c r="K154" s="28" t="s">
        <v>460</v>
      </c>
      <c r="L154" s="31">
        <v>42675</v>
      </c>
      <c r="M154" s="28">
        <v>11</v>
      </c>
      <c r="N154" s="32" t="s">
        <v>191</v>
      </c>
      <c r="O154" s="28" t="s">
        <v>204</v>
      </c>
      <c r="P154" s="28" t="s">
        <v>701</v>
      </c>
      <c r="Q154" s="28" t="s">
        <v>700</v>
      </c>
      <c r="R154" s="28" t="s">
        <v>698</v>
      </c>
    </row>
    <row r="155" spans="1:18" hidden="1">
      <c r="A155" s="28">
        <v>4</v>
      </c>
      <c r="B155" s="29" t="s">
        <v>306</v>
      </c>
      <c r="C155" s="29" t="s">
        <v>339</v>
      </c>
      <c r="D155" s="29" t="s">
        <v>340</v>
      </c>
      <c r="E155" s="29" t="s">
        <v>172</v>
      </c>
      <c r="F155" s="28" t="s">
        <v>382</v>
      </c>
      <c r="G155" s="28" t="s">
        <v>390</v>
      </c>
      <c r="H155" s="28" t="s">
        <v>384</v>
      </c>
      <c r="I155" s="28">
        <v>1</v>
      </c>
      <c r="J155" s="30">
        <v>0.09</v>
      </c>
      <c r="K155" s="28" t="s">
        <v>702</v>
      </c>
      <c r="L155" s="31">
        <v>43101</v>
      </c>
      <c r="M155" s="28">
        <v>1</v>
      </c>
      <c r="N155" s="32" t="s">
        <v>176</v>
      </c>
      <c r="O155" s="28" t="s">
        <v>204</v>
      </c>
      <c r="P155" s="28" t="s">
        <v>703</v>
      </c>
      <c r="Q155" s="28" t="s">
        <v>704</v>
      </c>
      <c r="R155" s="28" t="s">
        <v>698</v>
      </c>
    </row>
    <row r="156" spans="1:18" hidden="1">
      <c r="A156" s="28">
        <v>4</v>
      </c>
      <c r="B156" s="29" t="s">
        <v>306</v>
      </c>
      <c r="C156" s="29" t="s">
        <v>339</v>
      </c>
      <c r="D156" s="29" t="s">
        <v>340</v>
      </c>
      <c r="E156" s="29" t="s">
        <v>172</v>
      </c>
      <c r="F156" s="28" t="s">
        <v>382</v>
      </c>
      <c r="G156" s="28" t="s">
        <v>383</v>
      </c>
      <c r="H156" s="28" t="s">
        <v>384</v>
      </c>
      <c r="I156" s="28">
        <v>1</v>
      </c>
      <c r="J156" s="30">
        <v>0.09</v>
      </c>
      <c r="K156" s="28" t="s">
        <v>442</v>
      </c>
      <c r="L156" s="31">
        <v>43647</v>
      </c>
      <c r="M156" s="28">
        <v>7</v>
      </c>
      <c r="N156" s="32" t="s">
        <v>184</v>
      </c>
      <c r="O156" s="28" t="s">
        <v>204</v>
      </c>
      <c r="P156" s="28" t="s">
        <v>705</v>
      </c>
      <c r="Q156" s="28" t="s">
        <v>700</v>
      </c>
      <c r="R156" s="28" t="s">
        <v>706</v>
      </c>
    </row>
    <row r="157" spans="1:18" hidden="1">
      <c r="A157" s="28">
        <v>4</v>
      </c>
      <c r="B157" s="29" t="s">
        <v>306</v>
      </c>
      <c r="C157" s="29" t="s">
        <v>339</v>
      </c>
      <c r="D157" s="29" t="s">
        <v>340</v>
      </c>
      <c r="E157" s="29" t="s">
        <v>172</v>
      </c>
      <c r="F157" s="28" t="s">
        <v>382</v>
      </c>
      <c r="G157" s="28" t="s">
        <v>390</v>
      </c>
      <c r="H157" s="28" t="s">
        <v>384</v>
      </c>
      <c r="I157" s="28">
        <v>1</v>
      </c>
      <c r="J157" s="30">
        <v>0.09</v>
      </c>
      <c r="K157" s="28" t="s">
        <v>707</v>
      </c>
      <c r="L157" s="31">
        <v>43770</v>
      </c>
      <c r="M157" s="28">
        <v>11</v>
      </c>
      <c r="N157" s="32" t="s">
        <v>191</v>
      </c>
      <c r="O157" s="28" t="s">
        <v>204</v>
      </c>
      <c r="P157" s="28" t="s">
        <v>708</v>
      </c>
      <c r="Q157" s="28" t="s">
        <v>704</v>
      </c>
      <c r="R157" s="28" t="s">
        <v>698</v>
      </c>
    </row>
    <row r="158" spans="1:18" hidden="1">
      <c r="A158" s="28">
        <v>4</v>
      </c>
      <c r="B158" s="29" t="s">
        <v>306</v>
      </c>
      <c r="C158" s="29" t="s">
        <v>339</v>
      </c>
      <c r="D158" s="29" t="s">
        <v>340</v>
      </c>
      <c r="E158" s="29" t="s">
        <v>172</v>
      </c>
      <c r="F158" s="28" t="s">
        <v>382</v>
      </c>
      <c r="G158" s="28" t="s">
        <v>383</v>
      </c>
      <c r="H158" s="28" t="s">
        <v>384</v>
      </c>
      <c r="I158" s="28">
        <v>1</v>
      </c>
      <c r="J158" s="30">
        <v>0.09</v>
      </c>
      <c r="K158" s="28" t="s">
        <v>190</v>
      </c>
      <c r="L158" s="31">
        <v>44287</v>
      </c>
      <c r="M158" s="28">
        <v>4</v>
      </c>
      <c r="N158" s="32" t="s">
        <v>191</v>
      </c>
      <c r="O158" s="28" t="s">
        <v>204</v>
      </c>
      <c r="P158" s="28" t="s">
        <v>709</v>
      </c>
      <c r="Q158" s="28" t="s">
        <v>710</v>
      </c>
      <c r="R158" s="28" t="s">
        <v>711</v>
      </c>
    </row>
    <row r="159" spans="1:18" hidden="1">
      <c r="A159" s="28">
        <v>4</v>
      </c>
      <c r="B159" s="29" t="s">
        <v>306</v>
      </c>
      <c r="C159" s="29" t="s">
        <v>339</v>
      </c>
      <c r="D159" s="29" t="s">
        <v>340</v>
      </c>
      <c r="E159" s="29" t="s">
        <v>172</v>
      </c>
      <c r="F159" s="28" t="s">
        <v>382</v>
      </c>
      <c r="G159" s="28" t="s">
        <v>383</v>
      </c>
      <c r="H159" s="28" t="s">
        <v>384</v>
      </c>
      <c r="I159" s="28">
        <v>1</v>
      </c>
      <c r="J159" s="30">
        <v>0.09</v>
      </c>
      <c r="K159" s="28" t="s">
        <v>712</v>
      </c>
      <c r="L159" s="31">
        <v>44470</v>
      </c>
      <c r="M159" s="28">
        <v>10</v>
      </c>
      <c r="N159" s="32" t="s">
        <v>191</v>
      </c>
      <c r="O159" s="28" t="s">
        <v>204</v>
      </c>
      <c r="P159" s="28" t="s">
        <v>713</v>
      </c>
      <c r="Q159" s="28" t="s">
        <v>700</v>
      </c>
      <c r="R159" s="28" t="s">
        <v>706</v>
      </c>
    </row>
    <row r="160" spans="1:18" hidden="1">
      <c r="A160" s="28">
        <v>5</v>
      </c>
      <c r="B160" s="29" t="s">
        <v>349</v>
      </c>
      <c r="C160" s="29" t="s">
        <v>350</v>
      </c>
      <c r="D160" s="29" t="s">
        <v>714</v>
      </c>
      <c r="E160" s="29" t="s">
        <v>172</v>
      </c>
      <c r="F160" s="28" t="s">
        <v>382</v>
      </c>
      <c r="G160" s="28" t="s">
        <v>390</v>
      </c>
      <c r="H160" s="28" t="s">
        <v>384</v>
      </c>
      <c r="I160" s="28">
        <v>1</v>
      </c>
      <c r="J160" s="30">
        <v>0.09</v>
      </c>
      <c r="K160" s="28" t="s">
        <v>183</v>
      </c>
      <c r="L160" s="31">
        <v>43983</v>
      </c>
      <c r="M160" s="28">
        <v>6</v>
      </c>
      <c r="N160" s="32" t="s">
        <v>184</v>
      </c>
      <c r="O160" s="28" t="s">
        <v>204</v>
      </c>
      <c r="P160" s="28" t="s">
        <v>715</v>
      </c>
      <c r="Q160" s="28" t="s">
        <v>358</v>
      </c>
      <c r="R160" s="28" t="s">
        <v>359</v>
      </c>
    </row>
    <row r="161" spans="1:18" hidden="1">
      <c r="A161" s="28">
        <v>5</v>
      </c>
      <c r="B161" s="29" t="s">
        <v>349</v>
      </c>
      <c r="C161" s="29" t="s">
        <v>350</v>
      </c>
      <c r="D161" s="29" t="s">
        <v>716</v>
      </c>
      <c r="E161" s="29" t="s">
        <v>172</v>
      </c>
      <c r="F161" s="28" t="s">
        <v>382</v>
      </c>
      <c r="G161" s="28" t="s">
        <v>390</v>
      </c>
      <c r="H161" s="28" t="s">
        <v>384</v>
      </c>
      <c r="I161" s="28">
        <v>1</v>
      </c>
      <c r="J161" s="30">
        <v>0.09</v>
      </c>
      <c r="K161" s="28" t="s">
        <v>263</v>
      </c>
      <c r="L161" s="31">
        <v>42430</v>
      </c>
      <c r="M161" s="28">
        <v>3</v>
      </c>
      <c r="N161" s="32" t="s">
        <v>191</v>
      </c>
      <c r="O161" s="28" t="s">
        <v>204</v>
      </c>
      <c r="P161" s="28" t="s">
        <v>717</v>
      </c>
      <c r="Q161" s="28" t="s">
        <v>718</v>
      </c>
      <c r="R161" s="28" t="s">
        <v>719</v>
      </c>
    </row>
    <row r="162" spans="1:18" hidden="1">
      <c r="A162" s="28">
        <v>5</v>
      </c>
      <c r="B162" s="29" t="s">
        <v>349</v>
      </c>
      <c r="C162" s="29" t="s">
        <v>350</v>
      </c>
      <c r="D162" s="29" t="s">
        <v>716</v>
      </c>
      <c r="E162" s="29" t="s">
        <v>172</v>
      </c>
      <c r="F162" s="28" t="s">
        <v>382</v>
      </c>
      <c r="G162" s="28" t="s">
        <v>390</v>
      </c>
      <c r="H162" s="28" t="s">
        <v>384</v>
      </c>
      <c r="I162" s="28">
        <v>1</v>
      </c>
      <c r="J162" s="30">
        <v>0.09</v>
      </c>
      <c r="K162" s="28" t="s">
        <v>489</v>
      </c>
      <c r="L162" s="31">
        <v>42491</v>
      </c>
      <c r="M162" s="28">
        <v>5</v>
      </c>
      <c r="N162" s="32" t="s">
        <v>191</v>
      </c>
      <c r="O162" s="28" t="s">
        <v>204</v>
      </c>
      <c r="P162" s="28" t="s">
        <v>720</v>
      </c>
      <c r="Q162" s="28" t="s">
        <v>721</v>
      </c>
      <c r="R162" s="28" t="s">
        <v>722</v>
      </c>
    </row>
    <row r="163" spans="1:18" hidden="1">
      <c r="A163" s="28">
        <v>5</v>
      </c>
      <c r="B163" s="29" t="s">
        <v>349</v>
      </c>
      <c r="C163" s="29" t="s">
        <v>350</v>
      </c>
      <c r="D163" s="29" t="s">
        <v>716</v>
      </c>
      <c r="E163" s="29" t="s">
        <v>172</v>
      </c>
      <c r="F163" s="28" t="s">
        <v>382</v>
      </c>
      <c r="G163" s="28" t="s">
        <v>390</v>
      </c>
      <c r="H163" s="28" t="s">
        <v>384</v>
      </c>
      <c r="I163" s="28">
        <v>1</v>
      </c>
      <c r="J163" s="30">
        <v>0.09</v>
      </c>
      <c r="K163" s="28" t="s">
        <v>278</v>
      </c>
      <c r="L163" s="31">
        <v>43525</v>
      </c>
      <c r="M163" s="28">
        <v>3</v>
      </c>
      <c r="N163" s="32" t="s">
        <v>191</v>
      </c>
      <c r="O163" s="28" t="s">
        <v>204</v>
      </c>
      <c r="P163" s="28" t="s">
        <v>723</v>
      </c>
      <c r="Q163" s="28" t="s">
        <v>724</v>
      </c>
      <c r="R163" s="28" t="s">
        <v>719</v>
      </c>
    </row>
    <row r="164" spans="1:18" hidden="1">
      <c r="A164" s="28">
        <v>5</v>
      </c>
      <c r="B164" s="29" t="s">
        <v>349</v>
      </c>
      <c r="C164" s="29" t="s">
        <v>350</v>
      </c>
      <c r="D164" s="29" t="s">
        <v>725</v>
      </c>
      <c r="E164" s="29" t="s">
        <v>172</v>
      </c>
      <c r="F164" s="28" t="s">
        <v>382</v>
      </c>
      <c r="G164" s="28" t="s">
        <v>390</v>
      </c>
      <c r="H164" s="28" t="s">
        <v>384</v>
      </c>
      <c r="I164" s="28">
        <v>1</v>
      </c>
      <c r="J164" s="30">
        <v>0.09</v>
      </c>
      <c r="K164" s="28" t="s">
        <v>257</v>
      </c>
      <c r="L164" s="31">
        <v>42552</v>
      </c>
      <c r="M164" s="28">
        <v>7</v>
      </c>
      <c r="N164" s="32" t="s">
        <v>184</v>
      </c>
      <c r="O164" s="28" t="s">
        <v>204</v>
      </c>
      <c r="P164" s="28" t="s">
        <v>726</v>
      </c>
      <c r="Q164" s="28" t="s">
        <v>727</v>
      </c>
      <c r="R164" s="28" t="s">
        <v>719</v>
      </c>
    </row>
    <row r="165" spans="1:18" hidden="1">
      <c r="A165" s="28">
        <v>5</v>
      </c>
      <c r="B165" s="29" t="s">
        <v>349</v>
      </c>
      <c r="C165" s="29" t="s">
        <v>350</v>
      </c>
      <c r="D165" s="29" t="s">
        <v>351</v>
      </c>
      <c r="E165" s="29" t="s">
        <v>172</v>
      </c>
      <c r="F165" s="28" t="s">
        <v>382</v>
      </c>
      <c r="G165" s="28" t="s">
        <v>383</v>
      </c>
      <c r="H165" s="28" t="s">
        <v>384</v>
      </c>
      <c r="I165" s="28">
        <v>1</v>
      </c>
      <c r="J165" s="30">
        <v>0.09</v>
      </c>
      <c r="K165" s="28" t="s">
        <v>405</v>
      </c>
      <c r="L165" s="31">
        <v>43221</v>
      </c>
      <c r="M165" s="28">
        <v>5</v>
      </c>
      <c r="N165" s="32" t="s">
        <v>191</v>
      </c>
      <c r="O165" s="28" t="s">
        <v>204</v>
      </c>
      <c r="P165" s="28" t="s">
        <v>728</v>
      </c>
      <c r="Q165" s="28" t="s">
        <v>729</v>
      </c>
      <c r="R165" s="28" t="s">
        <v>722</v>
      </c>
    </row>
    <row r="166" spans="1:18" hidden="1">
      <c r="A166" s="28">
        <v>5</v>
      </c>
      <c r="B166" s="29" t="s">
        <v>349</v>
      </c>
      <c r="C166" s="29" t="s">
        <v>355</v>
      </c>
      <c r="D166" s="29" t="s">
        <v>356</v>
      </c>
      <c r="E166" s="29" t="s">
        <v>172</v>
      </c>
      <c r="F166" s="28" t="s">
        <v>382</v>
      </c>
      <c r="G166" s="28" t="s">
        <v>383</v>
      </c>
      <c r="H166" s="28" t="s">
        <v>384</v>
      </c>
      <c r="I166" s="28">
        <v>1</v>
      </c>
      <c r="J166" s="30">
        <v>0.09</v>
      </c>
      <c r="K166" s="28" t="s">
        <v>730</v>
      </c>
      <c r="L166" s="31">
        <v>44166</v>
      </c>
      <c r="M166" s="28">
        <v>12</v>
      </c>
      <c r="N166" s="32" t="s">
        <v>176</v>
      </c>
      <c r="O166" s="28" t="s">
        <v>204</v>
      </c>
      <c r="P166" s="28" t="s">
        <v>731</v>
      </c>
      <c r="Q166" s="28" t="s">
        <v>732</v>
      </c>
      <c r="R166" s="28" t="s">
        <v>598</v>
      </c>
    </row>
    <row r="167" spans="1:18" hidden="1">
      <c r="A167" s="28">
        <v>5</v>
      </c>
      <c r="B167" s="29" t="s">
        <v>349</v>
      </c>
      <c r="C167" s="29" t="s">
        <v>355</v>
      </c>
      <c r="D167" s="29" t="s">
        <v>356</v>
      </c>
      <c r="E167" s="29" t="s">
        <v>172</v>
      </c>
      <c r="F167" s="28" t="s">
        <v>382</v>
      </c>
      <c r="G167" s="28" t="s">
        <v>383</v>
      </c>
      <c r="H167" s="28" t="s">
        <v>384</v>
      </c>
      <c r="I167" s="28">
        <v>1</v>
      </c>
      <c r="J167" s="30">
        <v>0.09</v>
      </c>
      <c r="K167" s="28" t="s">
        <v>345</v>
      </c>
      <c r="L167" s="31">
        <v>44440</v>
      </c>
      <c r="M167" s="28">
        <v>9</v>
      </c>
      <c r="N167" s="32" t="s">
        <v>191</v>
      </c>
      <c r="O167" s="28" t="s">
        <v>204</v>
      </c>
      <c r="P167" s="28" t="s">
        <v>733</v>
      </c>
      <c r="Q167" s="28" t="s">
        <v>734</v>
      </c>
      <c r="R167" s="28" t="s">
        <v>598</v>
      </c>
    </row>
    <row r="168" spans="1:18" hidden="1">
      <c r="A168" s="28">
        <v>5</v>
      </c>
      <c r="B168" s="29" t="s">
        <v>349</v>
      </c>
      <c r="C168" s="29" t="s">
        <v>355</v>
      </c>
      <c r="D168" s="29" t="s">
        <v>360</v>
      </c>
      <c r="E168" s="29" t="s">
        <v>172</v>
      </c>
      <c r="F168" s="28" t="s">
        <v>382</v>
      </c>
      <c r="G168" s="28" t="s">
        <v>390</v>
      </c>
      <c r="H168" s="28" t="s">
        <v>384</v>
      </c>
      <c r="I168" s="28">
        <v>1</v>
      </c>
      <c r="J168" s="30">
        <v>0.09</v>
      </c>
      <c r="K168" s="28" t="s">
        <v>257</v>
      </c>
      <c r="L168" s="31">
        <v>42552</v>
      </c>
      <c r="M168" s="28">
        <v>7</v>
      </c>
      <c r="N168" s="32" t="s">
        <v>184</v>
      </c>
      <c r="O168" s="28" t="s">
        <v>204</v>
      </c>
      <c r="P168" s="28" t="s">
        <v>735</v>
      </c>
      <c r="Q168" s="28" t="s">
        <v>615</v>
      </c>
      <c r="R168" s="28" t="s">
        <v>736</v>
      </c>
    </row>
    <row r="169" spans="1:18" hidden="1">
      <c r="A169" s="28">
        <v>5</v>
      </c>
      <c r="B169" s="29" t="s">
        <v>349</v>
      </c>
      <c r="C169" s="29" t="s">
        <v>355</v>
      </c>
      <c r="D169" s="29" t="s">
        <v>360</v>
      </c>
      <c r="E169" s="29" t="s">
        <v>172</v>
      </c>
      <c r="F169" s="28" t="s">
        <v>382</v>
      </c>
      <c r="G169" s="28" t="s">
        <v>390</v>
      </c>
      <c r="H169" s="28" t="s">
        <v>384</v>
      </c>
      <c r="I169" s="28">
        <v>1</v>
      </c>
      <c r="J169" s="30">
        <v>0.09</v>
      </c>
      <c r="K169" s="28" t="s">
        <v>289</v>
      </c>
      <c r="L169" s="31">
        <v>42795</v>
      </c>
      <c r="M169" s="28">
        <v>3</v>
      </c>
      <c r="N169" s="32" t="s">
        <v>191</v>
      </c>
      <c r="O169" s="28" t="s">
        <v>204</v>
      </c>
      <c r="P169" s="28" t="s">
        <v>737</v>
      </c>
      <c r="Q169" s="28" t="s">
        <v>738</v>
      </c>
      <c r="R169" s="28" t="s">
        <v>739</v>
      </c>
    </row>
    <row r="170" spans="1:18" hidden="1">
      <c r="A170" s="28">
        <v>5</v>
      </c>
      <c r="B170" s="29" t="s">
        <v>349</v>
      </c>
      <c r="C170" s="29" t="s">
        <v>355</v>
      </c>
      <c r="D170" s="29" t="s">
        <v>360</v>
      </c>
      <c r="E170" s="29" t="s">
        <v>172</v>
      </c>
      <c r="F170" s="28" t="s">
        <v>382</v>
      </c>
      <c r="G170" s="28" t="s">
        <v>390</v>
      </c>
      <c r="H170" s="28" t="s">
        <v>384</v>
      </c>
      <c r="I170" s="28">
        <v>1</v>
      </c>
      <c r="J170" s="30">
        <v>0.09</v>
      </c>
      <c r="K170" s="28" t="s">
        <v>464</v>
      </c>
      <c r="L170" s="31">
        <v>42887</v>
      </c>
      <c r="M170" s="28">
        <v>6</v>
      </c>
      <c r="N170" s="32" t="s">
        <v>184</v>
      </c>
      <c r="O170" s="28" t="s">
        <v>204</v>
      </c>
      <c r="P170" s="28" t="s">
        <v>740</v>
      </c>
      <c r="Q170" s="28" t="s">
        <v>741</v>
      </c>
      <c r="R170" s="28" t="s">
        <v>719</v>
      </c>
    </row>
    <row r="171" spans="1:18" hidden="1">
      <c r="A171" s="28">
        <v>5</v>
      </c>
      <c r="B171" s="29" t="s">
        <v>349</v>
      </c>
      <c r="C171" s="29" t="s">
        <v>355</v>
      </c>
      <c r="D171" s="29" t="s">
        <v>360</v>
      </c>
      <c r="E171" s="29" t="s">
        <v>172</v>
      </c>
      <c r="F171" s="28" t="s">
        <v>382</v>
      </c>
      <c r="G171" s="28" t="s">
        <v>390</v>
      </c>
      <c r="H171" s="28" t="s">
        <v>384</v>
      </c>
      <c r="I171" s="28">
        <v>1</v>
      </c>
      <c r="J171" s="30">
        <v>0.09</v>
      </c>
      <c r="K171" s="28" t="s">
        <v>742</v>
      </c>
      <c r="L171" s="31">
        <v>42948</v>
      </c>
      <c r="M171" s="28">
        <v>8</v>
      </c>
      <c r="N171" s="32" t="s">
        <v>184</v>
      </c>
      <c r="O171" s="28" t="s">
        <v>204</v>
      </c>
      <c r="P171" s="28" t="s">
        <v>743</v>
      </c>
      <c r="Q171" s="28" t="s">
        <v>738</v>
      </c>
      <c r="R171" s="28" t="s">
        <v>739</v>
      </c>
    </row>
    <row r="172" spans="1:18" hidden="1">
      <c r="A172" s="28">
        <v>5</v>
      </c>
      <c r="B172" s="29" t="s">
        <v>349</v>
      </c>
      <c r="C172" s="29" t="s">
        <v>355</v>
      </c>
      <c r="D172" s="29" t="s">
        <v>360</v>
      </c>
      <c r="E172" s="29" t="s">
        <v>172</v>
      </c>
      <c r="F172" s="28" t="s">
        <v>382</v>
      </c>
      <c r="G172" s="28" t="s">
        <v>390</v>
      </c>
      <c r="H172" s="28" t="s">
        <v>384</v>
      </c>
      <c r="I172" s="28">
        <v>1</v>
      </c>
      <c r="J172" s="30">
        <v>0.09</v>
      </c>
      <c r="K172" s="28" t="s">
        <v>435</v>
      </c>
      <c r="L172" s="31">
        <v>43040</v>
      </c>
      <c r="M172" s="28">
        <v>11</v>
      </c>
      <c r="N172" s="32" t="s">
        <v>191</v>
      </c>
      <c r="O172" s="28" t="s">
        <v>204</v>
      </c>
      <c r="P172" s="28" t="s">
        <v>744</v>
      </c>
      <c r="Q172" s="28" t="s">
        <v>745</v>
      </c>
      <c r="R172" s="28" t="s">
        <v>746</v>
      </c>
    </row>
    <row r="173" spans="1:18" hidden="1">
      <c r="A173" s="28">
        <v>5</v>
      </c>
      <c r="B173" s="29" t="s">
        <v>349</v>
      </c>
      <c r="C173" s="29" t="s">
        <v>355</v>
      </c>
      <c r="D173" s="29" t="s">
        <v>360</v>
      </c>
      <c r="E173" s="29" t="s">
        <v>172</v>
      </c>
      <c r="F173" s="28" t="s">
        <v>382</v>
      </c>
      <c r="G173" s="28" t="s">
        <v>390</v>
      </c>
      <c r="H173" s="28" t="s">
        <v>384</v>
      </c>
      <c r="I173" s="28">
        <v>1</v>
      </c>
      <c r="J173" s="30">
        <v>0.09</v>
      </c>
      <c r="K173" s="28" t="s">
        <v>248</v>
      </c>
      <c r="L173" s="31">
        <v>43070</v>
      </c>
      <c r="M173" s="28">
        <v>12</v>
      </c>
      <c r="N173" s="32" t="s">
        <v>176</v>
      </c>
      <c r="O173" s="28" t="s">
        <v>204</v>
      </c>
      <c r="P173" s="28" t="s">
        <v>747</v>
      </c>
      <c r="Q173" s="28" t="s">
        <v>738</v>
      </c>
      <c r="R173" s="28" t="s">
        <v>739</v>
      </c>
    </row>
    <row r="174" spans="1:18" hidden="1">
      <c r="A174" s="28">
        <v>5</v>
      </c>
      <c r="B174" s="29" t="s">
        <v>349</v>
      </c>
      <c r="C174" s="29" t="s">
        <v>355</v>
      </c>
      <c r="D174" s="29" t="s">
        <v>360</v>
      </c>
      <c r="E174" s="29" t="s">
        <v>172</v>
      </c>
      <c r="F174" s="28" t="s">
        <v>382</v>
      </c>
      <c r="G174" s="28" t="s">
        <v>390</v>
      </c>
      <c r="H174" s="28" t="s">
        <v>384</v>
      </c>
      <c r="I174" s="28">
        <v>1</v>
      </c>
      <c r="J174" s="30">
        <v>0.09</v>
      </c>
      <c r="K174" s="28" t="s">
        <v>473</v>
      </c>
      <c r="L174" s="31">
        <v>43160</v>
      </c>
      <c r="M174" s="28">
        <v>3</v>
      </c>
      <c r="N174" s="32" t="s">
        <v>191</v>
      </c>
      <c r="O174" s="28" t="s">
        <v>204</v>
      </c>
      <c r="P174" s="28" t="s">
        <v>748</v>
      </c>
      <c r="Q174" s="28" t="s">
        <v>749</v>
      </c>
      <c r="R174" s="28" t="s">
        <v>739</v>
      </c>
    </row>
    <row r="175" spans="1:18" hidden="1">
      <c r="A175" s="28">
        <v>5</v>
      </c>
      <c r="B175" s="29" t="s">
        <v>349</v>
      </c>
      <c r="C175" s="29" t="s">
        <v>355</v>
      </c>
      <c r="D175" s="29" t="s">
        <v>360</v>
      </c>
      <c r="E175" s="29" t="s">
        <v>172</v>
      </c>
      <c r="F175" s="28" t="s">
        <v>382</v>
      </c>
      <c r="G175" s="28" t="s">
        <v>390</v>
      </c>
      <c r="H175" s="28" t="s">
        <v>384</v>
      </c>
      <c r="I175" s="28">
        <v>1</v>
      </c>
      <c r="J175" s="30">
        <v>0.09</v>
      </c>
      <c r="K175" s="28" t="s">
        <v>214</v>
      </c>
      <c r="L175" s="31">
        <v>43466</v>
      </c>
      <c r="M175" s="28">
        <v>1</v>
      </c>
      <c r="N175" s="32" t="s">
        <v>176</v>
      </c>
      <c r="O175" s="28" t="s">
        <v>204</v>
      </c>
      <c r="P175" s="28" t="s">
        <v>750</v>
      </c>
      <c r="Q175" s="28" t="s">
        <v>751</v>
      </c>
      <c r="R175" s="28" t="s">
        <v>739</v>
      </c>
    </row>
    <row r="176" spans="1:18" hidden="1">
      <c r="A176" s="28">
        <v>5</v>
      </c>
      <c r="B176" s="29" t="s">
        <v>349</v>
      </c>
      <c r="C176" s="29" t="s">
        <v>355</v>
      </c>
      <c r="D176" s="29" t="s">
        <v>360</v>
      </c>
      <c r="E176" s="29" t="s">
        <v>172</v>
      </c>
      <c r="F176" s="28" t="s">
        <v>382</v>
      </c>
      <c r="G176" s="28" t="s">
        <v>383</v>
      </c>
      <c r="H176" s="28" t="s">
        <v>384</v>
      </c>
      <c r="I176" s="28">
        <v>1</v>
      </c>
      <c r="J176" s="30">
        <v>0.09</v>
      </c>
      <c r="K176" s="28" t="s">
        <v>752</v>
      </c>
      <c r="L176" s="31">
        <v>43709</v>
      </c>
      <c r="M176" s="28">
        <v>9</v>
      </c>
      <c r="N176" s="32" t="s">
        <v>191</v>
      </c>
      <c r="O176" s="28" t="s">
        <v>204</v>
      </c>
      <c r="P176" s="28" t="s">
        <v>753</v>
      </c>
      <c r="Q176" s="28" t="s">
        <v>754</v>
      </c>
      <c r="R176" s="28" t="s">
        <v>755</v>
      </c>
    </row>
    <row r="177" spans="1:18" hidden="1">
      <c r="A177" s="28">
        <v>5</v>
      </c>
      <c r="B177" s="29" t="s">
        <v>349</v>
      </c>
      <c r="C177" s="29" t="s">
        <v>355</v>
      </c>
      <c r="D177" s="29" t="s">
        <v>360</v>
      </c>
      <c r="E177" s="29" t="s">
        <v>172</v>
      </c>
      <c r="F177" s="28" t="s">
        <v>382</v>
      </c>
      <c r="G177" s="28" t="s">
        <v>390</v>
      </c>
      <c r="H177" s="28" t="s">
        <v>384</v>
      </c>
      <c r="I177" s="28">
        <v>1</v>
      </c>
      <c r="J177" s="30">
        <v>0.09</v>
      </c>
      <c r="K177" s="28" t="s">
        <v>479</v>
      </c>
      <c r="L177" s="31">
        <v>43770</v>
      </c>
      <c r="M177" s="28">
        <v>11</v>
      </c>
      <c r="N177" s="32" t="s">
        <v>191</v>
      </c>
      <c r="O177" s="28" t="s">
        <v>204</v>
      </c>
      <c r="P177" s="28" t="s">
        <v>756</v>
      </c>
      <c r="Q177" s="28" t="s">
        <v>757</v>
      </c>
      <c r="R177" s="28" t="s">
        <v>739</v>
      </c>
    </row>
    <row r="178" spans="1:18" hidden="1">
      <c r="A178" s="28">
        <v>5</v>
      </c>
      <c r="B178" s="29" t="s">
        <v>349</v>
      </c>
      <c r="C178" s="29" t="s">
        <v>355</v>
      </c>
      <c r="D178" s="29" t="s">
        <v>360</v>
      </c>
      <c r="E178" s="29" t="s">
        <v>172</v>
      </c>
      <c r="F178" s="28" t="s">
        <v>382</v>
      </c>
      <c r="G178" s="28" t="s">
        <v>383</v>
      </c>
      <c r="H178" s="28" t="s">
        <v>384</v>
      </c>
      <c r="I178" s="28">
        <v>1</v>
      </c>
      <c r="J178" s="30">
        <v>0.09</v>
      </c>
      <c r="K178" s="28" t="s">
        <v>758</v>
      </c>
      <c r="L178" s="31">
        <v>43891</v>
      </c>
      <c r="M178" s="28">
        <v>3</v>
      </c>
      <c r="N178" s="32" t="s">
        <v>191</v>
      </c>
      <c r="O178" s="28" t="s">
        <v>204</v>
      </c>
      <c r="P178" s="28" t="s">
        <v>759</v>
      </c>
      <c r="Q178" s="28" t="s">
        <v>754</v>
      </c>
      <c r="R178" s="28" t="s">
        <v>755</v>
      </c>
    </row>
    <row r="179" spans="1:18" hidden="1">
      <c r="A179" s="28">
        <v>5</v>
      </c>
      <c r="B179" s="29" t="s">
        <v>349</v>
      </c>
      <c r="C179" s="29" t="s">
        <v>355</v>
      </c>
      <c r="D179" s="29" t="s">
        <v>360</v>
      </c>
      <c r="E179" s="29" t="s">
        <v>172</v>
      </c>
      <c r="F179" s="28" t="s">
        <v>382</v>
      </c>
      <c r="G179" s="28" t="s">
        <v>383</v>
      </c>
      <c r="H179" s="28" t="s">
        <v>384</v>
      </c>
      <c r="I179" s="28">
        <v>1</v>
      </c>
      <c r="J179" s="30">
        <v>0.09</v>
      </c>
      <c r="K179" s="28" t="s">
        <v>712</v>
      </c>
      <c r="L179" s="31">
        <v>44470</v>
      </c>
      <c r="M179" s="28">
        <v>10</v>
      </c>
      <c r="N179" s="32" t="s">
        <v>191</v>
      </c>
      <c r="O179" s="28" t="s">
        <v>204</v>
      </c>
      <c r="P179" s="28" t="s">
        <v>760</v>
      </c>
      <c r="Q179" s="28" t="s">
        <v>358</v>
      </c>
      <c r="R179" s="28" t="s">
        <v>359</v>
      </c>
    </row>
    <row r="180" spans="1:18" hidden="1">
      <c r="A180" s="28">
        <v>5</v>
      </c>
      <c r="B180" s="29" t="s">
        <v>349</v>
      </c>
      <c r="C180" s="29" t="s">
        <v>761</v>
      </c>
      <c r="D180" s="29" t="s">
        <v>762</v>
      </c>
      <c r="E180" s="29" t="s">
        <v>172</v>
      </c>
      <c r="F180" s="28" t="s">
        <v>382</v>
      </c>
      <c r="G180" s="28" t="s">
        <v>383</v>
      </c>
      <c r="H180" s="28" t="s">
        <v>384</v>
      </c>
      <c r="I180" s="28">
        <v>1</v>
      </c>
      <c r="J180" s="30">
        <v>0.09</v>
      </c>
      <c r="K180" s="28" t="s">
        <v>646</v>
      </c>
      <c r="L180" s="31">
        <v>44075</v>
      </c>
      <c r="M180" s="28">
        <v>9</v>
      </c>
      <c r="N180" s="32" t="s">
        <v>191</v>
      </c>
      <c r="O180" s="28" t="s">
        <v>204</v>
      </c>
      <c r="P180" s="28" t="s">
        <v>763</v>
      </c>
      <c r="Q180" s="28" t="s">
        <v>764</v>
      </c>
      <c r="R180" s="28" t="s">
        <v>765</v>
      </c>
    </row>
    <row r="181" spans="1:18" hidden="1">
      <c r="A181" s="28">
        <v>5</v>
      </c>
      <c r="B181" s="29" t="s">
        <v>349</v>
      </c>
      <c r="C181" s="29" t="s">
        <v>761</v>
      </c>
      <c r="D181" s="29" t="s">
        <v>762</v>
      </c>
      <c r="E181" s="29" t="s">
        <v>172</v>
      </c>
      <c r="F181" s="28" t="s">
        <v>382</v>
      </c>
      <c r="G181" s="28" t="s">
        <v>383</v>
      </c>
      <c r="H181" s="28" t="s">
        <v>384</v>
      </c>
      <c r="I181" s="28">
        <v>1</v>
      </c>
      <c r="J181" s="30">
        <v>0.09</v>
      </c>
      <c r="K181" s="28" t="s">
        <v>341</v>
      </c>
      <c r="L181" s="31">
        <v>44228</v>
      </c>
      <c r="M181" s="28">
        <v>2</v>
      </c>
      <c r="N181" s="32" t="s">
        <v>176</v>
      </c>
      <c r="O181" s="28" t="s">
        <v>204</v>
      </c>
      <c r="P181" s="28" t="s">
        <v>766</v>
      </c>
      <c r="Q181" s="28" t="s">
        <v>767</v>
      </c>
      <c r="R181" s="28" t="s">
        <v>736</v>
      </c>
    </row>
    <row r="182" spans="1:18" hidden="1">
      <c r="A182" s="28">
        <v>5</v>
      </c>
      <c r="B182" s="29" t="s">
        <v>349</v>
      </c>
      <c r="C182" s="29" t="s">
        <v>761</v>
      </c>
      <c r="D182" s="29" t="s">
        <v>768</v>
      </c>
      <c r="E182" s="29" t="s">
        <v>172</v>
      </c>
      <c r="F182" s="28" t="s">
        <v>382</v>
      </c>
      <c r="G182" s="28" t="s">
        <v>383</v>
      </c>
      <c r="H182" s="28" t="s">
        <v>384</v>
      </c>
      <c r="I182" s="28">
        <v>1</v>
      </c>
      <c r="J182" s="30">
        <v>0.09</v>
      </c>
      <c r="K182" s="28" t="s">
        <v>769</v>
      </c>
      <c r="L182" s="31">
        <v>42826</v>
      </c>
      <c r="M182" s="28">
        <v>4</v>
      </c>
      <c r="N182" s="32" t="s">
        <v>191</v>
      </c>
      <c r="O182" s="28" t="s">
        <v>204</v>
      </c>
      <c r="P182" s="28" t="s">
        <v>770</v>
      </c>
      <c r="Q182" s="28" t="s">
        <v>771</v>
      </c>
      <c r="R182" s="28" t="s">
        <v>772</v>
      </c>
    </row>
    <row r="183" spans="1:18" hidden="1">
      <c r="A183" s="28">
        <v>5</v>
      </c>
      <c r="B183" s="29" t="s">
        <v>349</v>
      </c>
      <c r="C183" s="29" t="s">
        <v>761</v>
      </c>
      <c r="D183" s="29" t="s">
        <v>768</v>
      </c>
      <c r="E183" s="29" t="s">
        <v>172</v>
      </c>
      <c r="F183" s="28" t="s">
        <v>382</v>
      </c>
      <c r="G183" s="28" t="s">
        <v>390</v>
      </c>
      <c r="H183" s="28" t="s">
        <v>384</v>
      </c>
      <c r="I183" s="28">
        <v>1</v>
      </c>
      <c r="J183" s="30">
        <v>0.09</v>
      </c>
      <c r="K183" s="28" t="s">
        <v>464</v>
      </c>
      <c r="L183" s="31">
        <v>42887</v>
      </c>
      <c r="M183" s="28">
        <v>6</v>
      </c>
      <c r="N183" s="32" t="s">
        <v>184</v>
      </c>
      <c r="O183" s="28" t="s">
        <v>204</v>
      </c>
      <c r="P183" s="28" t="s">
        <v>773</v>
      </c>
      <c r="Q183" s="28" t="s">
        <v>774</v>
      </c>
      <c r="R183" s="28" t="s">
        <v>775</v>
      </c>
    </row>
    <row r="184" spans="1:18" hidden="1">
      <c r="A184" s="28">
        <v>7</v>
      </c>
      <c r="B184" s="29" t="s">
        <v>776</v>
      </c>
      <c r="C184" s="29" t="s">
        <v>777</v>
      </c>
      <c r="D184" s="29" t="s">
        <v>778</v>
      </c>
      <c r="E184" s="29" t="s">
        <v>172</v>
      </c>
      <c r="F184" s="28" t="s">
        <v>382</v>
      </c>
      <c r="G184" s="28" t="s">
        <v>390</v>
      </c>
      <c r="H184" s="28" t="s">
        <v>384</v>
      </c>
      <c r="I184" s="28">
        <v>1</v>
      </c>
      <c r="J184" s="30">
        <v>0.09</v>
      </c>
      <c r="K184" s="28" t="s">
        <v>646</v>
      </c>
      <c r="L184" s="31">
        <v>44075</v>
      </c>
      <c r="M184" s="28">
        <v>9</v>
      </c>
      <c r="N184" s="32" t="s">
        <v>191</v>
      </c>
      <c r="O184" s="28" t="s">
        <v>204</v>
      </c>
      <c r="P184" s="28" t="s">
        <v>779</v>
      </c>
      <c r="Q184" s="28" t="s">
        <v>780</v>
      </c>
      <c r="R184" s="28" t="s">
        <v>781</v>
      </c>
    </row>
    <row r="185" spans="1:18" hidden="1">
      <c r="A185" s="28">
        <v>8</v>
      </c>
      <c r="B185" s="29" t="s">
        <v>371</v>
      </c>
      <c r="C185" s="29" t="s">
        <v>782</v>
      </c>
      <c r="D185" s="29" t="s">
        <v>783</v>
      </c>
      <c r="E185" s="29" t="s">
        <v>374</v>
      </c>
      <c r="F185" s="28" t="s">
        <v>382</v>
      </c>
      <c r="G185" s="28" t="s">
        <v>383</v>
      </c>
      <c r="H185" s="28" t="s">
        <v>384</v>
      </c>
      <c r="I185" s="28">
        <v>1</v>
      </c>
      <c r="J185" s="30">
        <v>0.09</v>
      </c>
      <c r="K185" s="28" t="s">
        <v>522</v>
      </c>
      <c r="L185" s="31">
        <v>44256</v>
      </c>
      <c r="M185" s="28">
        <v>3</v>
      </c>
      <c r="N185" s="32" t="s">
        <v>191</v>
      </c>
      <c r="O185" s="28" t="s">
        <v>204</v>
      </c>
      <c r="P185" s="28" t="s">
        <v>784</v>
      </c>
      <c r="Q185" s="28" t="s">
        <v>785</v>
      </c>
      <c r="R185" s="28" t="s">
        <v>786</v>
      </c>
    </row>
    <row r="186" spans="1:18" hidden="1">
      <c r="A186" s="28">
        <v>8</v>
      </c>
      <c r="B186" s="29" t="s">
        <v>371</v>
      </c>
      <c r="C186" s="29" t="s">
        <v>787</v>
      </c>
      <c r="D186" s="29" t="s">
        <v>788</v>
      </c>
      <c r="E186" s="29" t="s">
        <v>374</v>
      </c>
      <c r="F186" s="28" t="s">
        <v>382</v>
      </c>
      <c r="G186" s="28" t="s">
        <v>383</v>
      </c>
      <c r="H186" s="28" t="s">
        <v>384</v>
      </c>
      <c r="I186" s="28">
        <v>1</v>
      </c>
      <c r="J186" s="30">
        <v>0.09</v>
      </c>
      <c r="K186" s="28" t="s">
        <v>789</v>
      </c>
      <c r="L186" s="31">
        <v>43556</v>
      </c>
      <c r="M186" s="28">
        <v>4</v>
      </c>
      <c r="N186" s="32" t="s">
        <v>191</v>
      </c>
      <c r="O186" s="28" t="s">
        <v>204</v>
      </c>
      <c r="P186" s="28" t="s">
        <v>790</v>
      </c>
      <c r="Q186" s="28" t="s">
        <v>791</v>
      </c>
      <c r="R186" s="28" t="s">
        <v>792</v>
      </c>
    </row>
    <row r="187" spans="1:18" hidden="1">
      <c r="A187" s="28">
        <v>12</v>
      </c>
      <c r="B187" s="29" t="s">
        <v>195</v>
      </c>
      <c r="C187" s="29" t="s">
        <v>202</v>
      </c>
      <c r="D187" s="29" t="s">
        <v>203</v>
      </c>
      <c r="E187" s="29" t="s">
        <v>172</v>
      </c>
      <c r="F187" s="28" t="s">
        <v>793</v>
      </c>
      <c r="G187" s="28" t="s">
        <v>793</v>
      </c>
      <c r="H187" s="28" t="s">
        <v>384</v>
      </c>
      <c r="I187" s="28">
        <v>11</v>
      </c>
      <c r="J187" s="30">
        <v>0.03</v>
      </c>
      <c r="K187" s="28" t="s">
        <v>683</v>
      </c>
      <c r="L187" s="31">
        <v>43831</v>
      </c>
      <c r="M187" s="28">
        <v>1</v>
      </c>
      <c r="N187" s="32" t="s">
        <v>176</v>
      </c>
      <c r="O187" s="28" t="s">
        <v>794</v>
      </c>
      <c r="P187" s="28" t="s">
        <v>795</v>
      </c>
      <c r="Q187" s="28" t="s">
        <v>796</v>
      </c>
      <c r="R187" s="28" t="s">
        <v>797</v>
      </c>
    </row>
    <row r="188" spans="1:18" hidden="1">
      <c r="A188" s="28">
        <v>12</v>
      </c>
      <c r="B188" s="29" t="s">
        <v>195</v>
      </c>
      <c r="C188" s="29" t="s">
        <v>230</v>
      </c>
      <c r="D188" s="29" t="s">
        <v>231</v>
      </c>
      <c r="E188" s="29" t="s">
        <v>172</v>
      </c>
      <c r="F188" s="28" t="s">
        <v>793</v>
      </c>
      <c r="G188" s="28" t="s">
        <v>793</v>
      </c>
      <c r="H188" s="28" t="s">
        <v>384</v>
      </c>
      <c r="I188" s="28">
        <v>11</v>
      </c>
      <c r="J188" s="30">
        <v>0.03</v>
      </c>
      <c r="K188" s="28" t="s">
        <v>361</v>
      </c>
      <c r="L188" s="31">
        <v>43435</v>
      </c>
      <c r="M188" s="28">
        <v>12</v>
      </c>
      <c r="N188" s="32" t="s">
        <v>176</v>
      </c>
      <c r="O188" s="28" t="s">
        <v>185</v>
      </c>
      <c r="P188" s="28" t="s">
        <v>798</v>
      </c>
      <c r="Q188" s="28" t="s">
        <v>799</v>
      </c>
      <c r="R188" s="28" t="s">
        <v>800</v>
      </c>
    </row>
    <row r="189" spans="1:18" hidden="1">
      <c r="A189" s="28">
        <v>2</v>
      </c>
      <c r="B189" s="29" t="s">
        <v>240</v>
      </c>
      <c r="C189" s="29" t="s">
        <v>241</v>
      </c>
      <c r="D189" s="29" t="s">
        <v>242</v>
      </c>
      <c r="E189" s="29" t="s">
        <v>172</v>
      </c>
      <c r="F189" s="28" t="s">
        <v>793</v>
      </c>
      <c r="G189" s="28" t="s">
        <v>793</v>
      </c>
      <c r="H189" s="28" t="s">
        <v>384</v>
      </c>
      <c r="I189" s="28">
        <v>11</v>
      </c>
      <c r="J189" s="30">
        <v>0.03</v>
      </c>
      <c r="K189" s="28" t="s">
        <v>243</v>
      </c>
      <c r="L189" s="31">
        <v>42461</v>
      </c>
      <c r="M189" s="28">
        <v>4</v>
      </c>
      <c r="N189" s="32" t="s">
        <v>191</v>
      </c>
      <c r="O189" s="28" t="s">
        <v>185</v>
      </c>
      <c r="P189" s="28" t="s">
        <v>801</v>
      </c>
      <c r="Q189" s="28" t="s">
        <v>802</v>
      </c>
      <c r="R189" s="28" t="s">
        <v>803</v>
      </c>
    </row>
    <row r="190" spans="1:18" hidden="1">
      <c r="A190" s="28">
        <v>2</v>
      </c>
      <c r="B190" s="29" t="s">
        <v>240</v>
      </c>
      <c r="C190" s="29" t="s">
        <v>241</v>
      </c>
      <c r="D190" s="29" t="s">
        <v>242</v>
      </c>
      <c r="E190" s="29" t="s">
        <v>172</v>
      </c>
      <c r="F190" s="28" t="s">
        <v>793</v>
      </c>
      <c r="G190" s="28" t="s">
        <v>793</v>
      </c>
      <c r="H190" s="28" t="s">
        <v>384</v>
      </c>
      <c r="I190" s="28">
        <v>11</v>
      </c>
      <c r="J190" s="30">
        <v>0.03</v>
      </c>
      <c r="K190" s="28" t="s">
        <v>289</v>
      </c>
      <c r="L190" s="31">
        <v>42795</v>
      </c>
      <c r="M190" s="28">
        <v>3</v>
      </c>
      <c r="N190" s="32" t="s">
        <v>191</v>
      </c>
      <c r="O190" s="28" t="s">
        <v>204</v>
      </c>
      <c r="P190" s="28" t="s">
        <v>804</v>
      </c>
      <c r="Q190" s="28" t="s">
        <v>805</v>
      </c>
      <c r="R190" s="28" t="s">
        <v>806</v>
      </c>
    </row>
    <row r="191" spans="1:18" hidden="1">
      <c r="A191" s="28">
        <v>2</v>
      </c>
      <c r="B191" s="29" t="s">
        <v>240</v>
      </c>
      <c r="C191" s="29" t="s">
        <v>241</v>
      </c>
      <c r="D191" s="29" t="s">
        <v>242</v>
      </c>
      <c r="E191" s="29" t="s">
        <v>172</v>
      </c>
      <c r="F191" s="28" t="s">
        <v>793</v>
      </c>
      <c r="G191" s="28" t="s">
        <v>793</v>
      </c>
      <c r="H191" s="28" t="s">
        <v>384</v>
      </c>
      <c r="I191" s="28">
        <v>11</v>
      </c>
      <c r="J191" s="30">
        <v>0.03</v>
      </c>
      <c r="K191" s="28" t="s">
        <v>289</v>
      </c>
      <c r="L191" s="31">
        <v>42795</v>
      </c>
      <c r="M191" s="28">
        <v>3</v>
      </c>
      <c r="N191" s="32" t="s">
        <v>191</v>
      </c>
      <c r="O191" s="28" t="s">
        <v>204</v>
      </c>
      <c r="P191" s="28" t="s">
        <v>807</v>
      </c>
      <c r="Q191" s="28" t="s">
        <v>808</v>
      </c>
      <c r="R191" s="28" t="s">
        <v>809</v>
      </c>
    </row>
    <row r="192" spans="1:18" hidden="1">
      <c r="A192" s="28">
        <v>2</v>
      </c>
      <c r="B192" s="29" t="s">
        <v>240</v>
      </c>
      <c r="C192" s="29" t="s">
        <v>241</v>
      </c>
      <c r="D192" s="29" t="s">
        <v>242</v>
      </c>
      <c r="E192" s="29" t="s">
        <v>172</v>
      </c>
      <c r="F192" s="28" t="s">
        <v>793</v>
      </c>
      <c r="G192" s="28" t="s">
        <v>793</v>
      </c>
      <c r="H192" s="28" t="s">
        <v>384</v>
      </c>
      <c r="I192" s="28">
        <v>11</v>
      </c>
      <c r="J192" s="30">
        <v>0.03</v>
      </c>
      <c r="K192" s="28" t="s">
        <v>271</v>
      </c>
      <c r="L192" s="31">
        <v>42856</v>
      </c>
      <c r="M192" s="28">
        <v>5</v>
      </c>
      <c r="N192" s="32" t="s">
        <v>191</v>
      </c>
      <c r="O192" s="28" t="s">
        <v>204</v>
      </c>
      <c r="P192" s="28" t="s">
        <v>810</v>
      </c>
      <c r="Q192" s="28" t="s">
        <v>811</v>
      </c>
      <c r="R192" s="28" t="s">
        <v>812</v>
      </c>
    </row>
    <row r="193" spans="1:18" hidden="1">
      <c r="A193" s="28">
        <v>2</v>
      </c>
      <c r="B193" s="29" t="s">
        <v>240</v>
      </c>
      <c r="C193" s="29" t="s">
        <v>241</v>
      </c>
      <c r="D193" s="29" t="s">
        <v>242</v>
      </c>
      <c r="E193" s="29" t="s">
        <v>172</v>
      </c>
      <c r="F193" s="28" t="s">
        <v>793</v>
      </c>
      <c r="G193" s="28" t="s">
        <v>793</v>
      </c>
      <c r="H193" s="28" t="s">
        <v>384</v>
      </c>
      <c r="I193" s="28">
        <v>11</v>
      </c>
      <c r="J193" s="30">
        <v>0.03</v>
      </c>
      <c r="K193" s="28" t="s">
        <v>813</v>
      </c>
      <c r="L193" s="31">
        <v>43009</v>
      </c>
      <c r="M193" s="28">
        <v>10</v>
      </c>
      <c r="N193" s="32" t="s">
        <v>191</v>
      </c>
      <c r="O193" s="28" t="s">
        <v>204</v>
      </c>
      <c r="P193" s="28" t="s">
        <v>814</v>
      </c>
      <c r="Q193" s="28" t="s">
        <v>815</v>
      </c>
      <c r="R193" s="28" t="s">
        <v>816</v>
      </c>
    </row>
    <row r="194" spans="1:18" hidden="1">
      <c r="A194" s="28">
        <v>2</v>
      </c>
      <c r="B194" s="29" t="s">
        <v>240</v>
      </c>
      <c r="C194" s="29" t="s">
        <v>241</v>
      </c>
      <c r="D194" s="29" t="s">
        <v>242</v>
      </c>
      <c r="E194" s="29" t="s">
        <v>172</v>
      </c>
      <c r="F194" s="28" t="s">
        <v>793</v>
      </c>
      <c r="G194" s="28" t="s">
        <v>793</v>
      </c>
      <c r="H194" s="28" t="s">
        <v>384</v>
      </c>
      <c r="I194" s="28">
        <v>11</v>
      </c>
      <c r="J194" s="30">
        <v>0.03</v>
      </c>
      <c r="K194" s="28" t="s">
        <v>435</v>
      </c>
      <c r="L194" s="31">
        <v>43040</v>
      </c>
      <c r="M194" s="28">
        <v>11</v>
      </c>
      <c r="N194" s="32" t="s">
        <v>191</v>
      </c>
      <c r="O194" s="28" t="s">
        <v>185</v>
      </c>
      <c r="P194" s="28" t="s">
        <v>817</v>
      </c>
      <c r="Q194" s="28" t="s">
        <v>802</v>
      </c>
      <c r="R194" s="28" t="s">
        <v>803</v>
      </c>
    </row>
    <row r="195" spans="1:18" hidden="1">
      <c r="A195" s="28">
        <v>2</v>
      </c>
      <c r="B195" s="29" t="s">
        <v>240</v>
      </c>
      <c r="C195" s="29" t="s">
        <v>241</v>
      </c>
      <c r="D195" s="29" t="s">
        <v>242</v>
      </c>
      <c r="E195" s="29" t="s">
        <v>172</v>
      </c>
      <c r="F195" s="28" t="s">
        <v>793</v>
      </c>
      <c r="G195" s="28" t="s">
        <v>793</v>
      </c>
      <c r="H195" s="28" t="s">
        <v>384</v>
      </c>
      <c r="I195" s="28">
        <v>11</v>
      </c>
      <c r="J195" s="30">
        <v>0.03</v>
      </c>
      <c r="K195" s="28" t="s">
        <v>405</v>
      </c>
      <c r="L195" s="31">
        <v>43221</v>
      </c>
      <c r="M195" s="28">
        <v>5</v>
      </c>
      <c r="N195" s="32" t="s">
        <v>191</v>
      </c>
      <c r="O195" s="28" t="s">
        <v>204</v>
      </c>
      <c r="P195" s="28" t="s">
        <v>818</v>
      </c>
      <c r="Q195" s="28" t="s">
        <v>498</v>
      </c>
      <c r="R195" s="28" t="s">
        <v>499</v>
      </c>
    </row>
    <row r="196" spans="1:18" hidden="1">
      <c r="A196" s="28">
        <v>2</v>
      </c>
      <c r="B196" s="29" t="s">
        <v>240</v>
      </c>
      <c r="C196" s="29" t="s">
        <v>241</v>
      </c>
      <c r="D196" s="29" t="s">
        <v>242</v>
      </c>
      <c r="E196" s="29" t="s">
        <v>172</v>
      </c>
      <c r="F196" s="28" t="s">
        <v>793</v>
      </c>
      <c r="G196" s="28" t="s">
        <v>793</v>
      </c>
      <c r="H196" s="28" t="s">
        <v>384</v>
      </c>
      <c r="I196" s="28">
        <v>11</v>
      </c>
      <c r="J196" s="30">
        <v>0.03</v>
      </c>
      <c r="K196" s="28" t="s">
        <v>212</v>
      </c>
      <c r="L196" s="31">
        <v>43313</v>
      </c>
      <c r="M196" s="28">
        <v>8</v>
      </c>
      <c r="N196" s="32" t="s">
        <v>184</v>
      </c>
      <c r="O196" s="28" t="s">
        <v>272</v>
      </c>
      <c r="P196" s="28" t="s">
        <v>819</v>
      </c>
      <c r="Q196" s="28" t="s">
        <v>820</v>
      </c>
      <c r="R196" s="28" t="s">
        <v>809</v>
      </c>
    </row>
    <row r="197" spans="1:18" hidden="1">
      <c r="A197" s="28">
        <v>2</v>
      </c>
      <c r="B197" s="29" t="s">
        <v>240</v>
      </c>
      <c r="C197" s="29" t="s">
        <v>241</v>
      </c>
      <c r="D197" s="29" t="s">
        <v>242</v>
      </c>
      <c r="E197" s="29" t="s">
        <v>172</v>
      </c>
      <c r="F197" s="28" t="s">
        <v>793</v>
      </c>
      <c r="G197" s="28" t="s">
        <v>793</v>
      </c>
      <c r="H197" s="28" t="s">
        <v>384</v>
      </c>
      <c r="I197" s="28">
        <v>11</v>
      </c>
      <c r="J197" s="30">
        <v>0.03</v>
      </c>
      <c r="K197" s="28" t="s">
        <v>293</v>
      </c>
      <c r="L197" s="31">
        <v>43374</v>
      </c>
      <c r="M197" s="28">
        <v>10</v>
      </c>
      <c r="N197" s="32" t="s">
        <v>191</v>
      </c>
      <c r="O197" s="28" t="s">
        <v>272</v>
      </c>
      <c r="P197" s="28" t="s">
        <v>821</v>
      </c>
      <c r="Q197" s="28" t="s">
        <v>820</v>
      </c>
      <c r="R197" s="28" t="s">
        <v>809</v>
      </c>
    </row>
    <row r="198" spans="1:18" hidden="1">
      <c r="A198" s="28">
        <v>2</v>
      </c>
      <c r="B198" s="29" t="s">
        <v>240</v>
      </c>
      <c r="C198" s="29" t="s">
        <v>241</v>
      </c>
      <c r="D198" s="29" t="s">
        <v>242</v>
      </c>
      <c r="E198" s="29" t="s">
        <v>172</v>
      </c>
      <c r="F198" s="28" t="s">
        <v>793</v>
      </c>
      <c r="G198" s="28" t="s">
        <v>793</v>
      </c>
      <c r="H198" s="28" t="s">
        <v>384</v>
      </c>
      <c r="I198" s="28">
        <v>11</v>
      </c>
      <c r="J198" s="30">
        <v>0.03</v>
      </c>
      <c r="K198" s="28" t="s">
        <v>278</v>
      </c>
      <c r="L198" s="31">
        <v>43525</v>
      </c>
      <c r="M198" s="28">
        <v>3</v>
      </c>
      <c r="N198" s="32" t="s">
        <v>191</v>
      </c>
      <c r="O198" s="28" t="s">
        <v>204</v>
      </c>
      <c r="P198" s="28" t="s">
        <v>822</v>
      </c>
      <c r="Q198" s="28" t="s">
        <v>498</v>
      </c>
      <c r="R198" s="28" t="s">
        <v>499</v>
      </c>
    </row>
    <row r="199" spans="1:18" hidden="1">
      <c r="A199" s="28">
        <v>2</v>
      </c>
      <c r="B199" s="29" t="s">
        <v>240</v>
      </c>
      <c r="C199" s="29" t="s">
        <v>241</v>
      </c>
      <c r="D199" s="29" t="s">
        <v>242</v>
      </c>
      <c r="E199" s="29" t="s">
        <v>172</v>
      </c>
      <c r="F199" s="28" t="s">
        <v>793</v>
      </c>
      <c r="G199" s="28" t="s">
        <v>793</v>
      </c>
      <c r="H199" s="28" t="s">
        <v>384</v>
      </c>
      <c r="I199" s="28">
        <v>11</v>
      </c>
      <c r="J199" s="30">
        <v>0.03</v>
      </c>
      <c r="K199" s="28" t="s">
        <v>823</v>
      </c>
      <c r="L199" s="31">
        <v>44136</v>
      </c>
      <c r="M199" s="28">
        <v>11</v>
      </c>
      <c r="N199" s="32" t="s">
        <v>191</v>
      </c>
      <c r="O199" s="28" t="s">
        <v>204</v>
      </c>
      <c r="P199" s="28" t="s">
        <v>824</v>
      </c>
      <c r="Q199" s="28" t="s">
        <v>825</v>
      </c>
      <c r="R199" s="28" t="s">
        <v>826</v>
      </c>
    </row>
    <row r="200" spans="1:18" hidden="1">
      <c r="A200" s="28">
        <v>2</v>
      </c>
      <c r="B200" s="29" t="s">
        <v>240</v>
      </c>
      <c r="C200" s="29" t="s">
        <v>241</v>
      </c>
      <c r="D200" s="29" t="s">
        <v>242</v>
      </c>
      <c r="E200" s="29" t="s">
        <v>172</v>
      </c>
      <c r="F200" s="28" t="s">
        <v>793</v>
      </c>
      <c r="G200" s="28" t="s">
        <v>793</v>
      </c>
      <c r="H200" s="28" t="s">
        <v>384</v>
      </c>
      <c r="I200" s="28">
        <v>11</v>
      </c>
      <c r="J200" s="30">
        <v>0.03</v>
      </c>
      <c r="K200" s="28" t="s">
        <v>827</v>
      </c>
      <c r="L200" s="31" t="s">
        <v>221</v>
      </c>
      <c r="M200" s="28" t="e">
        <v>#VALUE!</v>
      </c>
      <c r="N200" s="32" t="e">
        <v>#VALUE!</v>
      </c>
      <c r="O200" s="28" t="s">
        <v>272</v>
      </c>
      <c r="P200" s="28" t="s">
        <v>828</v>
      </c>
      <c r="Q200" s="28" t="s">
        <v>820</v>
      </c>
      <c r="R200" s="28" t="s">
        <v>809</v>
      </c>
    </row>
    <row r="201" spans="1:18" hidden="1">
      <c r="A201" s="28">
        <v>2</v>
      </c>
      <c r="B201" s="29" t="s">
        <v>240</v>
      </c>
      <c r="C201" s="29" t="s">
        <v>241</v>
      </c>
      <c r="D201" s="29" t="s">
        <v>509</v>
      </c>
      <c r="E201" s="29" t="s">
        <v>172</v>
      </c>
      <c r="F201" s="28" t="s">
        <v>793</v>
      </c>
      <c r="G201" s="28" t="s">
        <v>793</v>
      </c>
      <c r="H201" s="28" t="s">
        <v>384</v>
      </c>
      <c r="I201" s="28">
        <v>11</v>
      </c>
      <c r="J201" s="30">
        <v>0.03</v>
      </c>
      <c r="K201" s="28" t="s">
        <v>267</v>
      </c>
      <c r="L201" s="31">
        <v>42583</v>
      </c>
      <c r="M201" s="28">
        <v>8</v>
      </c>
      <c r="N201" s="32" t="s">
        <v>184</v>
      </c>
      <c r="O201" s="28" t="s">
        <v>185</v>
      </c>
      <c r="P201" s="28" t="s">
        <v>829</v>
      </c>
      <c r="Q201" s="28" t="s">
        <v>830</v>
      </c>
      <c r="R201" s="28" t="s">
        <v>831</v>
      </c>
    </row>
    <row r="202" spans="1:18" hidden="1">
      <c r="A202" s="28">
        <v>2</v>
      </c>
      <c r="B202" s="29" t="s">
        <v>240</v>
      </c>
      <c r="C202" s="29" t="s">
        <v>241</v>
      </c>
      <c r="D202" s="29" t="s">
        <v>509</v>
      </c>
      <c r="E202" s="29" t="s">
        <v>172</v>
      </c>
      <c r="F202" s="28" t="s">
        <v>793</v>
      </c>
      <c r="G202" s="28" t="s">
        <v>793</v>
      </c>
      <c r="H202" s="28" t="s">
        <v>384</v>
      </c>
      <c r="I202" s="28">
        <v>11</v>
      </c>
      <c r="J202" s="30">
        <v>0.03</v>
      </c>
      <c r="K202" s="28" t="s">
        <v>651</v>
      </c>
      <c r="L202" s="31">
        <v>42644</v>
      </c>
      <c r="M202" s="28">
        <v>10</v>
      </c>
      <c r="N202" s="32" t="s">
        <v>191</v>
      </c>
      <c r="O202" s="28" t="s">
        <v>204</v>
      </c>
      <c r="P202" s="28" t="s">
        <v>832</v>
      </c>
      <c r="Q202" s="28" t="s">
        <v>833</v>
      </c>
      <c r="R202" s="28" t="s">
        <v>512</v>
      </c>
    </row>
    <row r="203" spans="1:18" hidden="1">
      <c r="A203" s="28">
        <v>2</v>
      </c>
      <c r="B203" s="29" t="s">
        <v>240</v>
      </c>
      <c r="C203" s="29" t="s">
        <v>241</v>
      </c>
      <c r="D203" s="29" t="s">
        <v>509</v>
      </c>
      <c r="E203" s="29" t="s">
        <v>172</v>
      </c>
      <c r="F203" s="28" t="s">
        <v>793</v>
      </c>
      <c r="G203" s="28" t="s">
        <v>793</v>
      </c>
      <c r="H203" s="28" t="s">
        <v>384</v>
      </c>
      <c r="I203" s="28">
        <v>11</v>
      </c>
      <c r="J203" s="30">
        <v>0.03</v>
      </c>
      <c r="K203" s="28" t="s">
        <v>289</v>
      </c>
      <c r="L203" s="31">
        <v>42795</v>
      </c>
      <c r="M203" s="28">
        <v>3</v>
      </c>
      <c r="N203" s="32" t="s">
        <v>191</v>
      </c>
      <c r="O203" s="28" t="s">
        <v>177</v>
      </c>
      <c r="P203" s="28" t="s">
        <v>834</v>
      </c>
      <c r="Q203" s="28" t="s">
        <v>835</v>
      </c>
      <c r="R203" s="28" t="s">
        <v>836</v>
      </c>
    </row>
    <row r="204" spans="1:18" hidden="1">
      <c r="A204" s="28">
        <v>2</v>
      </c>
      <c r="B204" s="29" t="s">
        <v>240</v>
      </c>
      <c r="C204" s="29" t="s">
        <v>241</v>
      </c>
      <c r="D204" s="29" t="s">
        <v>509</v>
      </c>
      <c r="E204" s="29" t="s">
        <v>172</v>
      </c>
      <c r="F204" s="28" t="s">
        <v>793</v>
      </c>
      <c r="G204" s="28" t="s">
        <v>793</v>
      </c>
      <c r="H204" s="28" t="s">
        <v>384</v>
      </c>
      <c r="I204" s="28">
        <v>11</v>
      </c>
      <c r="J204" s="30">
        <v>0.03</v>
      </c>
      <c r="K204" s="28" t="s">
        <v>271</v>
      </c>
      <c r="L204" s="31">
        <v>42856</v>
      </c>
      <c r="M204" s="28">
        <v>5</v>
      </c>
      <c r="N204" s="32" t="s">
        <v>191</v>
      </c>
      <c r="O204" s="28" t="s">
        <v>185</v>
      </c>
      <c r="P204" s="28" t="s">
        <v>837</v>
      </c>
      <c r="Q204" s="28" t="s">
        <v>830</v>
      </c>
      <c r="R204" s="28" t="s">
        <v>831</v>
      </c>
    </row>
    <row r="205" spans="1:18" hidden="1">
      <c r="A205" s="28">
        <v>2</v>
      </c>
      <c r="B205" s="29" t="s">
        <v>240</v>
      </c>
      <c r="C205" s="29" t="s">
        <v>241</v>
      </c>
      <c r="D205" s="29" t="s">
        <v>509</v>
      </c>
      <c r="E205" s="29" t="s">
        <v>172</v>
      </c>
      <c r="F205" s="28" t="s">
        <v>793</v>
      </c>
      <c r="G205" s="28" t="s">
        <v>793</v>
      </c>
      <c r="H205" s="28" t="s">
        <v>384</v>
      </c>
      <c r="I205" s="28">
        <v>11</v>
      </c>
      <c r="J205" s="30">
        <v>0.03</v>
      </c>
      <c r="K205" s="28" t="s">
        <v>473</v>
      </c>
      <c r="L205" s="31">
        <v>43160</v>
      </c>
      <c r="M205" s="28">
        <v>3</v>
      </c>
      <c r="N205" s="32" t="s">
        <v>191</v>
      </c>
      <c r="O205" s="28" t="s">
        <v>185</v>
      </c>
      <c r="P205" s="28" t="s">
        <v>838</v>
      </c>
      <c r="Q205" s="28" t="s">
        <v>830</v>
      </c>
      <c r="R205" s="28" t="s">
        <v>831</v>
      </c>
    </row>
    <row r="206" spans="1:18" hidden="1">
      <c r="A206" s="28">
        <v>2</v>
      </c>
      <c r="B206" s="29" t="s">
        <v>240</v>
      </c>
      <c r="C206" s="29" t="s">
        <v>241</v>
      </c>
      <c r="D206" s="29" t="s">
        <v>509</v>
      </c>
      <c r="E206" s="29" t="s">
        <v>172</v>
      </c>
      <c r="F206" s="28" t="s">
        <v>793</v>
      </c>
      <c r="G206" s="28" t="s">
        <v>793</v>
      </c>
      <c r="H206" s="28" t="s">
        <v>384</v>
      </c>
      <c r="I206" s="28">
        <v>11</v>
      </c>
      <c r="J206" s="30">
        <v>0.03</v>
      </c>
      <c r="K206" s="28" t="s">
        <v>302</v>
      </c>
      <c r="L206" s="31">
        <v>43282</v>
      </c>
      <c r="M206" s="28">
        <v>7</v>
      </c>
      <c r="N206" s="32" t="s">
        <v>184</v>
      </c>
      <c r="O206" s="28" t="s">
        <v>204</v>
      </c>
      <c r="P206" s="28" t="s">
        <v>839</v>
      </c>
      <c r="Q206" s="28" t="s">
        <v>525</v>
      </c>
      <c r="R206" s="28" t="s">
        <v>512</v>
      </c>
    </row>
    <row r="207" spans="1:18" hidden="1">
      <c r="A207" s="28">
        <v>2</v>
      </c>
      <c r="B207" s="29" t="s">
        <v>240</v>
      </c>
      <c r="C207" s="29" t="s">
        <v>241</v>
      </c>
      <c r="D207" s="29" t="s">
        <v>509</v>
      </c>
      <c r="E207" s="29" t="s">
        <v>172</v>
      </c>
      <c r="F207" s="28" t="s">
        <v>793</v>
      </c>
      <c r="G207" s="28" t="s">
        <v>793</v>
      </c>
      <c r="H207" s="28" t="s">
        <v>384</v>
      </c>
      <c r="I207" s="28">
        <v>11</v>
      </c>
      <c r="J207" s="30">
        <v>0.03</v>
      </c>
      <c r="K207" s="28" t="s">
        <v>278</v>
      </c>
      <c r="L207" s="31">
        <v>43525</v>
      </c>
      <c r="M207" s="28">
        <v>3</v>
      </c>
      <c r="N207" s="32" t="s">
        <v>191</v>
      </c>
      <c r="O207" s="28" t="s">
        <v>185</v>
      </c>
      <c r="P207" s="28" t="s">
        <v>840</v>
      </c>
      <c r="Q207" s="28" t="s">
        <v>830</v>
      </c>
      <c r="R207" s="28" t="s">
        <v>831</v>
      </c>
    </row>
    <row r="208" spans="1:18" hidden="1">
      <c r="A208" s="28">
        <v>2</v>
      </c>
      <c r="B208" s="29" t="s">
        <v>240</v>
      </c>
      <c r="C208" s="29" t="s">
        <v>241</v>
      </c>
      <c r="D208" s="29" t="s">
        <v>509</v>
      </c>
      <c r="E208" s="29" t="s">
        <v>172</v>
      </c>
      <c r="F208" s="28" t="s">
        <v>793</v>
      </c>
      <c r="G208" s="28" t="s">
        <v>793</v>
      </c>
      <c r="H208" s="28" t="s">
        <v>384</v>
      </c>
      <c r="I208" s="28">
        <v>11</v>
      </c>
      <c r="J208" s="30">
        <v>0.03</v>
      </c>
      <c r="K208" s="28" t="s">
        <v>841</v>
      </c>
      <c r="L208" s="31">
        <v>43525</v>
      </c>
      <c r="M208" s="28">
        <v>3</v>
      </c>
      <c r="N208" s="32" t="s">
        <v>191</v>
      </c>
      <c r="O208" s="28" t="s">
        <v>204</v>
      </c>
      <c r="P208" s="28" t="s">
        <v>842</v>
      </c>
      <c r="Q208" s="28" t="s">
        <v>843</v>
      </c>
      <c r="R208" s="28" t="s">
        <v>211</v>
      </c>
    </row>
    <row r="209" spans="1:18" hidden="1">
      <c r="A209" s="28">
        <v>2</v>
      </c>
      <c r="B209" s="29" t="s">
        <v>240</v>
      </c>
      <c r="C209" s="29" t="s">
        <v>241</v>
      </c>
      <c r="D209" s="29" t="s">
        <v>509</v>
      </c>
      <c r="E209" s="29" t="s">
        <v>172</v>
      </c>
      <c r="F209" s="28" t="s">
        <v>793</v>
      </c>
      <c r="G209" s="28" t="s">
        <v>793</v>
      </c>
      <c r="H209" s="28" t="s">
        <v>384</v>
      </c>
      <c r="I209" s="28">
        <v>11</v>
      </c>
      <c r="J209" s="30">
        <v>0.03</v>
      </c>
      <c r="K209" s="28" t="s">
        <v>844</v>
      </c>
      <c r="L209" s="31">
        <v>43586</v>
      </c>
      <c r="M209" s="28">
        <v>5</v>
      </c>
      <c r="N209" s="32" t="s">
        <v>191</v>
      </c>
      <c r="O209" s="28" t="s">
        <v>204</v>
      </c>
      <c r="P209" s="28" t="s">
        <v>845</v>
      </c>
      <c r="Q209" s="28" t="s">
        <v>846</v>
      </c>
      <c r="R209" s="28" t="s">
        <v>847</v>
      </c>
    </row>
    <row r="210" spans="1:18" hidden="1">
      <c r="A210" s="28">
        <v>2</v>
      </c>
      <c r="B210" s="29" t="s">
        <v>240</v>
      </c>
      <c r="C210" s="29" t="s">
        <v>241</v>
      </c>
      <c r="D210" s="29" t="s">
        <v>509</v>
      </c>
      <c r="E210" s="29" t="s">
        <v>172</v>
      </c>
      <c r="F210" s="28" t="s">
        <v>793</v>
      </c>
      <c r="G210" s="28" t="s">
        <v>793</v>
      </c>
      <c r="H210" s="28" t="s">
        <v>384</v>
      </c>
      <c r="I210" s="28">
        <v>11</v>
      </c>
      <c r="J210" s="30">
        <v>0.03</v>
      </c>
      <c r="K210" s="28" t="s">
        <v>236</v>
      </c>
      <c r="L210" s="31">
        <v>43617</v>
      </c>
      <c r="M210" s="28">
        <v>6</v>
      </c>
      <c r="N210" s="32" t="s">
        <v>184</v>
      </c>
      <c r="O210" s="28" t="s">
        <v>204</v>
      </c>
      <c r="P210" s="28" t="s">
        <v>848</v>
      </c>
      <c r="Q210" s="28" t="s">
        <v>849</v>
      </c>
      <c r="R210" s="28" t="s">
        <v>850</v>
      </c>
    </row>
    <row r="211" spans="1:18" hidden="1">
      <c r="A211" s="28">
        <v>2</v>
      </c>
      <c r="B211" s="29" t="s">
        <v>240</v>
      </c>
      <c r="C211" s="29" t="s">
        <v>241</v>
      </c>
      <c r="D211" s="29" t="s">
        <v>509</v>
      </c>
      <c r="E211" s="29" t="s">
        <v>172</v>
      </c>
      <c r="F211" s="28" t="s">
        <v>793</v>
      </c>
      <c r="G211" s="28" t="s">
        <v>793</v>
      </c>
      <c r="H211" s="28" t="s">
        <v>384</v>
      </c>
      <c r="I211" s="28">
        <v>11</v>
      </c>
      <c r="J211" s="30">
        <v>0.03</v>
      </c>
      <c r="K211" s="28" t="s">
        <v>442</v>
      </c>
      <c r="L211" s="31">
        <v>43647</v>
      </c>
      <c r="M211" s="28">
        <v>7</v>
      </c>
      <c r="N211" s="32" t="s">
        <v>184</v>
      </c>
      <c r="O211" s="28" t="s">
        <v>204</v>
      </c>
      <c r="P211" s="28" t="s">
        <v>851</v>
      </c>
      <c r="Q211" s="28" t="s">
        <v>846</v>
      </c>
      <c r="R211" s="28" t="s">
        <v>847</v>
      </c>
    </row>
    <row r="212" spans="1:18" hidden="1">
      <c r="A212" s="28">
        <v>2</v>
      </c>
      <c r="B212" s="29" t="s">
        <v>240</v>
      </c>
      <c r="C212" s="29" t="s">
        <v>241</v>
      </c>
      <c r="D212" s="29" t="s">
        <v>509</v>
      </c>
      <c r="E212" s="29" t="s">
        <v>172</v>
      </c>
      <c r="F212" s="28" t="s">
        <v>793</v>
      </c>
      <c r="G212" s="28" t="s">
        <v>793</v>
      </c>
      <c r="H212" s="28" t="s">
        <v>384</v>
      </c>
      <c r="I212" s="28">
        <v>11</v>
      </c>
      <c r="J212" s="30">
        <v>0.03</v>
      </c>
      <c r="K212" s="28" t="s">
        <v>397</v>
      </c>
      <c r="L212" s="31">
        <v>43739</v>
      </c>
      <c r="M212" s="28">
        <v>10</v>
      </c>
      <c r="N212" s="32" t="s">
        <v>191</v>
      </c>
      <c r="O212" s="28" t="s">
        <v>204</v>
      </c>
      <c r="P212" s="28" t="s">
        <v>852</v>
      </c>
      <c r="Q212" s="28" t="s">
        <v>525</v>
      </c>
      <c r="R212" s="28" t="s">
        <v>512</v>
      </c>
    </row>
    <row r="213" spans="1:18" hidden="1">
      <c r="A213" s="28">
        <v>2</v>
      </c>
      <c r="B213" s="29" t="s">
        <v>240</v>
      </c>
      <c r="C213" s="29" t="s">
        <v>241</v>
      </c>
      <c r="D213" s="29" t="s">
        <v>509</v>
      </c>
      <c r="E213" s="29" t="s">
        <v>172</v>
      </c>
      <c r="F213" s="28" t="s">
        <v>793</v>
      </c>
      <c r="G213" s="28" t="s">
        <v>793</v>
      </c>
      <c r="H213" s="28" t="s">
        <v>384</v>
      </c>
      <c r="I213" s="28">
        <v>11</v>
      </c>
      <c r="J213" s="30">
        <v>0.03</v>
      </c>
      <c r="K213" s="28" t="s">
        <v>479</v>
      </c>
      <c r="L213" s="31">
        <v>43770</v>
      </c>
      <c r="M213" s="28">
        <v>11</v>
      </c>
      <c r="N213" s="32" t="s">
        <v>191</v>
      </c>
      <c r="O213" s="28" t="s">
        <v>204</v>
      </c>
      <c r="P213" s="28" t="s">
        <v>853</v>
      </c>
      <c r="Q213" s="28" t="s">
        <v>525</v>
      </c>
      <c r="R213" s="28" t="s">
        <v>512</v>
      </c>
    </row>
    <row r="214" spans="1:18" hidden="1">
      <c r="A214" s="28">
        <v>2</v>
      </c>
      <c r="B214" s="29" t="s">
        <v>240</v>
      </c>
      <c r="C214" s="29" t="s">
        <v>241</v>
      </c>
      <c r="D214" s="29" t="s">
        <v>509</v>
      </c>
      <c r="E214" s="29" t="s">
        <v>172</v>
      </c>
      <c r="F214" s="28" t="s">
        <v>793</v>
      </c>
      <c r="G214" s="28" t="s">
        <v>793</v>
      </c>
      <c r="H214" s="28" t="s">
        <v>384</v>
      </c>
      <c r="I214" s="28">
        <v>11</v>
      </c>
      <c r="J214" s="30">
        <v>0.03</v>
      </c>
      <c r="K214" s="28" t="s">
        <v>328</v>
      </c>
      <c r="L214" s="31">
        <v>43891</v>
      </c>
      <c r="M214" s="28">
        <v>3</v>
      </c>
      <c r="N214" s="32" t="s">
        <v>191</v>
      </c>
      <c r="O214" s="28" t="s">
        <v>185</v>
      </c>
      <c r="P214" s="28" t="s">
        <v>854</v>
      </c>
      <c r="Q214" s="28" t="s">
        <v>830</v>
      </c>
      <c r="R214" s="28" t="s">
        <v>831</v>
      </c>
    </row>
    <row r="215" spans="1:18" hidden="1">
      <c r="A215" s="28">
        <v>2</v>
      </c>
      <c r="B215" s="29" t="s">
        <v>240</v>
      </c>
      <c r="C215" s="29" t="s">
        <v>241</v>
      </c>
      <c r="D215" s="29" t="s">
        <v>509</v>
      </c>
      <c r="E215" s="29" t="s">
        <v>172</v>
      </c>
      <c r="F215" s="28" t="s">
        <v>793</v>
      </c>
      <c r="G215" s="28" t="s">
        <v>793</v>
      </c>
      <c r="H215" s="28" t="s">
        <v>384</v>
      </c>
      <c r="I215" s="28">
        <v>11</v>
      </c>
      <c r="J215" s="30">
        <v>0.03</v>
      </c>
      <c r="K215" s="28" t="s">
        <v>328</v>
      </c>
      <c r="L215" s="31">
        <v>43891</v>
      </c>
      <c r="M215" s="28">
        <v>3</v>
      </c>
      <c r="N215" s="32" t="s">
        <v>191</v>
      </c>
      <c r="O215" s="28" t="s">
        <v>204</v>
      </c>
      <c r="P215" s="28" t="s">
        <v>855</v>
      </c>
      <c r="Q215" s="28" t="s">
        <v>856</v>
      </c>
      <c r="R215" s="28" t="s">
        <v>857</v>
      </c>
    </row>
    <row r="216" spans="1:18" hidden="1">
      <c r="A216" s="28">
        <v>2</v>
      </c>
      <c r="B216" s="29" t="s">
        <v>240</v>
      </c>
      <c r="C216" s="29" t="s">
        <v>241</v>
      </c>
      <c r="D216" s="29" t="s">
        <v>509</v>
      </c>
      <c r="E216" s="29" t="s">
        <v>172</v>
      </c>
      <c r="F216" s="28" t="s">
        <v>793</v>
      </c>
      <c r="G216" s="28" t="s">
        <v>793</v>
      </c>
      <c r="H216" s="28" t="s">
        <v>384</v>
      </c>
      <c r="I216" s="28">
        <v>11</v>
      </c>
      <c r="J216" s="30">
        <v>0.03</v>
      </c>
      <c r="K216" s="28" t="s">
        <v>504</v>
      </c>
      <c r="L216" s="31">
        <v>43922</v>
      </c>
      <c r="M216" s="28">
        <v>4</v>
      </c>
      <c r="N216" s="32" t="s">
        <v>191</v>
      </c>
      <c r="O216" s="28" t="s">
        <v>185</v>
      </c>
      <c r="P216" s="28" t="s">
        <v>858</v>
      </c>
      <c r="Q216" s="28" t="s">
        <v>830</v>
      </c>
      <c r="R216" s="28" t="s">
        <v>831</v>
      </c>
    </row>
    <row r="217" spans="1:18" hidden="1">
      <c r="A217" s="28">
        <v>2</v>
      </c>
      <c r="B217" s="29" t="s">
        <v>240</v>
      </c>
      <c r="C217" s="29" t="s">
        <v>241</v>
      </c>
      <c r="D217" s="29" t="s">
        <v>509</v>
      </c>
      <c r="E217" s="29" t="s">
        <v>172</v>
      </c>
      <c r="F217" s="28" t="s">
        <v>793</v>
      </c>
      <c r="G217" s="28" t="s">
        <v>793</v>
      </c>
      <c r="H217" s="28" t="s">
        <v>384</v>
      </c>
      <c r="I217" s="28">
        <v>11</v>
      </c>
      <c r="J217" s="30">
        <v>0.03</v>
      </c>
      <c r="K217" s="28" t="s">
        <v>859</v>
      </c>
      <c r="L217" s="31">
        <v>43952</v>
      </c>
      <c r="M217" s="28">
        <v>5</v>
      </c>
      <c r="N217" s="32" t="s">
        <v>191</v>
      </c>
      <c r="O217" s="28" t="s">
        <v>204</v>
      </c>
      <c r="P217" s="28" t="s">
        <v>860</v>
      </c>
      <c r="Q217" s="28" t="s">
        <v>511</v>
      </c>
      <c r="R217" s="28" t="s">
        <v>512</v>
      </c>
    </row>
    <row r="218" spans="1:18" hidden="1">
      <c r="A218" s="28">
        <v>2</v>
      </c>
      <c r="B218" s="29" t="s">
        <v>240</v>
      </c>
      <c r="C218" s="29" t="s">
        <v>241</v>
      </c>
      <c r="D218" s="29" t="s">
        <v>509</v>
      </c>
      <c r="E218" s="29" t="s">
        <v>172</v>
      </c>
      <c r="F218" s="28" t="s">
        <v>793</v>
      </c>
      <c r="G218" s="28" t="s">
        <v>793</v>
      </c>
      <c r="H218" s="28" t="s">
        <v>384</v>
      </c>
      <c r="I218" s="28">
        <v>11</v>
      </c>
      <c r="J218" s="30">
        <v>0.03</v>
      </c>
      <c r="K218" s="28" t="s">
        <v>646</v>
      </c>
      <c r="L218" s="31">
        <v>44075</v>
      </c>
      <c r="M218" s="28">
        <v>9</v>
      </c>
      <c r="N218" s="32" t="s">
        <v>191</v>
      </c>
      <c r="O218" s="28" t="s">
        <v>185</v>
      </c>
      <c r="P218" s="28" t="s">
        <v>861</v>
      </c>
      <c r="Q218" s="28" t="s">
        <v>830</v>
      </c>
      <c r="R218" s="28" t="s">
        <v>831</v>
      </c>
    </row>
    <row r="219" spans="1:18" hidden="1">
      <c r="A219" s="28">
        <v>2</v>
      </c>
      <c r="B219" s="29" t="s">
        <v>240</v>
      </c>
      <c r="C219" s="29" t="s">
        <v>241</v>
      </c>
      <c r="D219" s="29" t="s">
        <v>509</v>
      </c>
      <c r="E219" s="29" t="s">
        <v>172</v>
      </c>
      <c r="F219" s="28" t="s">
        <v>793</v>
      </c>
      <c r="G219" s="28" t="s">
        <v>793</v>
      </c>
      <c r="H219" s="28" t="s">
        <v>384</v>
      </c>
      <c r="I219" s="28">
        <v>11</v>
      </c>
      <c r="J219" s="30">
        <v>0.03</v>
      </c>
      <c r="K219" s="28" t="s">
        <v>430</v>
      </c>
      <c r="L219" s="31">
        <v>44105</v>
      </c>
      <c r="M219" s="28">
        <v>10</v>
      </c>
      <c r="N219" s="32" t="s">
        <v>191</v>
      </c>
      <c r="O219" s="28" t="s">
        <v>204</v>
      </c>
      <c r="P219" s="28" t="s">
        <v>862</v>
      </c>
      <c r="Q219" s="28" t="s">
        <v>863</v>
      </c>
      <c r="R219" s="28" t="s">
        <v>831</v>
      </c>
    </row>
    <row r="220" spans="1:18" hidden="1">
      <c r="A220" s="28">
        <v>2</v>
      </c>
      <c r="B220" s="29" t="s">
        <v>240</v>
      </c>
      <c r="C220" s="29" t="s">
        <v>241</v>
      </c>
      <c r="D220" s="29" t="s">
        <v>509</v>
      </c>
      <c r="E220" s="29" t="s">
        <v>172</v>
      </c>
      <c r="F220" s="28" t="s">
        <v>793</v>
      </c>
      <c r="G220" s="28" t="s">
        <v>793</v>
      </c>
      <c r="H220" s="28" t="s">
        <v>384</v>
      </c>
      <c r="I220" s="28">
        <v>11</v>
      </c>
      <c r="J220" s="30">
        <v>0.03</v>
      </c>
      <c r="K220" s="28" t="s">
        <v>823</v>
      </c>
      <c r="L220" s="31">
        <v>44136</v>
      </c>
      <c r="M220" s="28">
        <v>11</v>
      </c>
      <c r="N220" s="32" t="s">
        <v>191</v>
      </c>
      <c r="O220" s="28" t="s">
        <v>204</v>
      </c>
      <c r="P220" s="28" t="s">
        <v>864</v>
      </c>
      <c r="Q220" s="28" t="s">
        <v>833</v>
      </c>
      <c r="R220" s="28" t="s">
        <v>512</v>
      </c>
    </row>
    <row r="221" spans="1:18" hidden="1">
      <c r="A221" s="28">
        <v>2</v>
      </c>
      <c r="B221" s="29" t="s">
        <v>240</v>
      </c>
      <c r="C221" s="29" t="s">
        <v>241</v>
      </c>
      <c r="D221" s="29" t="s">
        <v>509</v>
      </c>
      <c r="E221" s="29" t="s">
        <v>172</v>
      </c>
      <c r="F221" s="28" t="s">
        <v>793</v>
      </c>
      <c r="G221" s="28" t="s">
        <v>793</v>
      </c>
      <c r="H221" s="28" t="s">
        <v>384</v>
      </c>
      <c r="I221" s="28">
        <v>11</v>
      </c>
      <c r="J221" s="30">
        <v>0.03</v>
      </c>
      <c r="K221" s="28" t="s">
        <v>730</v>
      </c>
      <c r="L221" s="31">
        <v>44166</v>
      </c>
      <c r="M221" s="28">
        <v>12</v>
      </c>
      <c r="N221" s="32" t="s">
        <v>176</v>
      </c>
      <c r="O221" s="28" t="s">
        <v>204</v>
      </c>
      <c r="P221" s="28" t="s">
        <v>865</v>
      </c>
      <c r="Q221" s="28" t="s">
        <v>833</v>
      </c>
      <c r="R221" s="28" t="s">
        <v>512</v>
      </c>
    </row>
    <row r="222" spans="1:18" hidden="1">
      <c r="A222" s="28">
        <v>2</v>
      </c>
      <c r="B222" s="29" t="s">
        <v>240</v>
      </c>
      <c r="C222" s="29" t="s">
        <v>241</v>
      </c>
      <c r="D222" s="29" t="s">
        <v>509</v>
      </c>
      <c r="E222" s="29" t="s">
        <v>172</v>
      </c>
      <c r="F222" s="28" t="s">
        <v>793</v>
      </c>
      <c r="G222" s="28" t="s">
        <v>793</v>
      </c>
      <c r="H222" s="28" t="s">
        <v>384</v>
      </c>
      <c r="I222" s="28">
        <v>11</v>
      </c>
      <c r="J222" s="30">
        <v>0.03</v>
      </c>
      <c r="K222" s="28" t="s">
        <v>554</v>
      </c>
      <c r="L222" s="31">
        <v>44317</v>
      </c>
      <c r="M222" s="28">
        <v>5</v>
      </c>
      <c r="N222" s="32" t="s">
        <v>191</v>
      </c>
      <c r="O222" s="28" t="s">
        <v>204</v>
      </c>
      <c r="P222" s="28" t="s">
        <v>866</v>
      </c>
      <c r="Q222" s="28" t="s">
        <v>833</v>
      </c>
      <c r="R222" s="28" t="s">
        <v>512</v>
      </c>
    </row>
    <row r="223" spans="1:18" hidden="1">
      <c r="A223" s="28">
        <v>2</v>
      </c>
      <c r="B223" s="29" t="s">
        <v>240</v>
      </c>
      <c r="C223" s="29" t="s">
        <v>241</v>
      </c>
      <c r="D223" s="29" t="s">
        <v>509</v>
      </c>
      <c r="E223" s="29" t="s">
        <v>172</v>
      </c>
      <c r="F223" s="28" t="s">
        <v>793</v>
      </c>
      <c r="G223" s="28" t="s">
        <v>793</v>
      </c>
      <c r="H223" s="28" t="s">
        <v>384</v>
      </c>
      <c r="I223" s="28">
        <v>11</v>
      </c>
      <c r="J223" s="30">
        <v>0.03</v>
      </c>
      <c r="K223" s="28" t="s">
        <v>345</v>
      </c>
      <c r="L223" s="31">
        <v>44440</v>
      </c>
      <c r="M223" s="28">
        <v>9</v>
      </c>
      <c r="N223" s="32" t="s">
        <v>191</v>
      </c>
      <c r="O223" s="28" t="s">
        <v>204</v>
      </c>
      <c r="P223" s="28" t="s">
        <v>867</v>
      </c>
      <c r="Q223" s="28" t="s">
        <v>833</v>
      </c>
      <c r="R223" s="28" t="s">
        <v>512</v>
      </c>
    </row>
    <row r="224" spans="1:18" hidden="1">
      <c r="A224" s="28">
        <v>2</v>
      </c>
      <c r="B224" s="29" t="s">
        <v>240</v>
      </c>
      <c r="C224" s="29" t="s">
        <v>241</v>
      </c>
      <c r="D224" s="29" t="s">
        <v>509</v>
      </c>
      <c r="E224" s="29" t="s">
        <v>172</v>
      </c>
      <c r="F224" s="28" t="s">
        <v>793</v>
      </c>
      <c r="G224" s="28" t="s">
        <v>793</v>
      </c>
      <c r="H224" s="28" t="s">
        <v>384</v>
      </c>
      <c r="I224" s="28">
        <v>11</v>
      </c>
      <c r="J224" s="30">
        <v>0.03</v>
      </c>
      <c r="K224" s="28" t="s">
        <v>670</v>
      </c>
      <c r="L224" s="31">
        <v>44501</v>
      </c>
      <c r="M224" s="28">
        <v>11</v>
      </c>
      <c r="N224" s="32" t="s">
        <v>191</v>
      </c>
      <c r="O224" s="28" t="s">
        <v>204</v>
      </c>
      <c r="P224" s="28" t="s">
        <v>868</v>
      </c>
      <c r="Q224" s="28" t="s">
        <v>833</v>
      </c>
      <c r="R224" s="28" t="s">
        <v>512</v>
      </c>
    </row>
    <row r="225" spans="1:18" hidden="1">
      <c r="A225" s="28">
        <v>2</v>
      </c>
      <c r="B225" s="29" t="s">
        <v>240</v>
      </c>
      <c r="C225" s="29" t="s">
        <v>241</v>
      </c>
      <c r="D225" s="29" t="s">
        <v>252</v>
      </c>
      <c r="E225" s="29" t="s">
        <v>172</v>
      </c>
      <c r="F225" s="28" t="s">
        <v>793</v>
      </c>
      <c r="G225" s="28" t="s">
        <v>793</v>
      </c>
      <c r="H225" s="28" t="s">
        <v>384</v>
      </c>
      <c r="I225" s="28">
        <v>11</v>
      </c>
      <c r="J225" s="30">
        <v>0.03</v>
      </c>
      <c r="K225" s="28" t="s">
        <v>243</v>
      </c>
      <c r="L225" s="31">
        <v>42461</v>
      </c>
      <c r="M225" s="28">
        <v>4</v>
      </c>
      <c r="N225" s="32" t="s">
        <v>191</v>
      </c>
      <c r="O225" s="28" t="s">
        <v>204</v>
      </c>
      <c r="P225" s="28" t="s">
        <v>869</v>
      </c>
      <c r="Q225" s="28" t="s">
        <v>870</v>
      </c>
      <c r="R225" s="28" t="s">
        <v>871</v>
      </c>
    </row>
    <row r="226" spans="1:18" hidden="1">
      <c r="A226" s="28">
        <v>2</v>
      </c>
      <c r="B226" s="29" t="s">
        <v>240</v>
      </c>
      <c r="C226" s="29" t="s">
        <v>241</v>
      </c>
      <c r="D226" s="29" t="s">
        <v>252</v>
      </c>
      <c r="E226" s="29" t="s">
        <v>172</v>
      </c>
      <c r="F226" s="28" t="s">
        <v>793</v>
      </c>
      <c r="G226" s="28" t="s">
        <v>793</v>
      </c>
      <c r="H226" s="28" t="s">
        <v>384</v>
      </c>
      <c r="I226" s="28">
        <v>11</v>
      </c>
      <c r="J226" s="30">
        <v>0.03</v>
      </c>
      <c r="K226" s="28" t="s">
        <v>257</v>
      </c>
      <c r="L226" s="31">
        <v>42552</v>
      </c>
      <c r="M226" s="28">
        <v>7</v>
      </c>
      <c r="N226" s="32" t="s">
        <v>184</v>
      </c>
      <c r="O226" s="28" t="s">
        <v>204</v>
      </c>
      <c r="P226" s="28" t="s">
        <v>872</v>
      </c>
      <c r="Q226" s="28" t="s">
        <v>873</v>
      </c>
      <c r="R226" s="28" t="s">
        <v>874</v>
      </c>
    </row>
    <row r="227" spans="1:18" hidden="1">
      <c r="A227" s="28">
        <v>2</v>
      </c>
      <c r="B227" s="29" t="s">
        <v>240</v>
      </c>
      <c r="C227" s="29" t="s">
        <v>241</v>
      </c>
      <c r="D227" s="29" t="s">
        <v>252</v>
      </c>
      <c r="E227" s="29" t="s">
        <v>172</v>
      </c>
      <c r="F227" s="28" t="s">
        <v>793</v>
      </c>
      <c r="G227" s="28" t="s">
        <v>793</v>
      </c>
      <c r="H227" s="28" t="s">
        <v>384</v>
      </c>
      <c r="I227" s="28">
        <v>11</v>
      </c>
      <c r="J227" s="30">
        <v>0.03</v>
      </c>
      <c r="K227" s="28" t="s">
        <v>267</v>
      </c>
      <c r="L227" s="31">
        <v>42583</v>
      </c>
      <c r="M227" s="28">
        <v>8</v>
      </c>
      <c r="N227" s="32" t="s">
        <v>184</v>
      </c>
      <c r="O227" s="28" t="s">
        <v>177</v>
      </c>
      <c r="P227" s="28" t="s">
        <v>875</v>
      </c>
      <c r="Q227" s="28" t="s">
        <v>876</v>
      </c>
      <c r="R227" s="28" t="s">
        <v>877</v>
      </c>
    </row>
    <row r="228" spans="1:18" hidden="1">
      <c r="A228" s="28">
        <v>2</v>
      </c>
      <c r="B228" s="29" t="s">
        <v>240</v>
      </c>
      <c r="C228" s="29" t="s">
        <v>241</v>
      </c>
      <c r="D228" s="29" t="s">
        <v>252</v>
      </c>
      <c r="E228" s="29" t="s">
        <v>172</v>
      </c>
      <c r="F228" s="28" t="s">
        <v>793</v>
      </c>
      <c r="G228" s="28" t="s">
        <v>793</v>
      </c>
      <c r="H228" s="28" t="s">
        <v>384</v>
      </c>
      <c r="I228" s="28">
        <v>11</v>
      </c>
      <c r="J228" s="30">
        <v>0.03</v>
      </c>
      <c r="K228" s="28" t="s">
        <v>651</v>
      </c>
      <c r="L228" s="31">
        <v>42644</v>
      </c>
      <c r="M228" s="28">
        <v>10</v>
      </c>
      <c r="N228" s="32" t="s">
        <v>191</v>
      </c>
      <c r="O228" s="28" t="s">
        <v>204</v>
      </c>
      <c r="P228" s="28" t="s">
        <v>878</v>
      </c>
      <c r="Q228" s="28" t="s">
        <v>873</v>
      </c>
      <c r="R228" s="28" t="s">
        <v>874</v>
      </c>
    </row>
    <row r="229" spans="1:18" hidden="1">
      <c r="A229" s="28">
        <v>2</v>
      </c>
      <c r="B229" s="29" t="s">
        <v>240</v>
      </c>
      <c r="C229" s="29" t="s">
        <v>241</v>
      </c>
      <c r="D229" s="29" t="s">
        <v>252</v>
      </c>
      <c r="E229" s="29" t="s">
        <v>172</v>
      </c>
      <c r="F229" s="28" t="s">
        <v>793</v>
      </c>
      <c r="G229" s="28" t="s">
        <v>793</v>
      </c>
      <c r="H229" s="28" t="s">
        <v>384</v>
      </c>
      <c r="I229" s="28">
        <v>11</v>
      </c>
      <c r="J229" s="30">
        <v>0.03</v>
      </c>
      <c r="K229" s="28" t="s">
        <v>651</v>
      </c>
      <c r="L229" s="31">
        <v>42644</v>
      </c>
      <c r="M229" s="28">
        <v>10</v>
      </c>
      <c r="N229" s="32" t="s">
        <v>191</v>
      </c>
      <c r="O229" s="28" t="s">
        <v>794</v>
      </c>
      <c r="P229" s="28" t="s">
        <v>879</v>
      </c>
      <c r="Q229" s="28" t="s">
        <v>880</v>
      </c>
      <c r="R229" s="28" t="s">
        <v>881</v>
      </c>
    </row>
    <row r="230" spans="1:18" hidden="1">
      <c r="A230" s="28">
        <v>2</v>
      </c>
      <c r="B230" s="29" t="s">
        <v>240</v>
      </c>
      <c r="C230" s="29" t="s">
        <v>241</v>
      </c>
      <c r="D230" s="29" t="s">
        <v>252</v>
      </c>
      <c r="E230" s="29" t="s">
        <v>172</v>
      </c>
      <c r="F230" s="28" t="s">
        <v>793</v>
      </c>
      <c r="G230" s="28" t="s">
        <v>793</v>
      </c>
      <c r="H230" s="28" t="s">
        <v>384</v>
      </c>
      <c r="I230" s="28">
        <v>11</v>
      </c>
      <c r="J230" s="30">
        <v>0.03</v>
      </c>
      <c r="K230" s="28" t="s">
        <v>496</v>
      </c>
      <c r="L230" s="31">
        <v>42917</v>
      </c>
      <c r="M230" s="28">
        <v>7</v>
      </c>
      <c r="N230" s="32" t="s">
        <v>184</v>
      </c>
      <c r="O230" s="28" t="s">
        <v>204</v>
      </c>
      <c r="P230" s="28" t="s">
        <v>882</v>
      </c>
      <c r="Q230" s="28" t="s">
        <v>870</v>
      </c>
      <c r="R230" s="28" t="s">
        <v>871</v>
      </c>
    </row>
    <row r="231" spans="1:18" hidden="1">
      <c r="A231" s="28">
        <v>2</v>
      </c>
      <c r="B231" s="29" t="s">
        <v>240</v>
      </c>
      <c r="C231" s="29" t="s">
        <v>241</v>
      </c>
      <c r="D231" s="29" t="s">
        <v>252</v>
      </c>
      <c r="E231" s="29" t="s">
        <v>172</v>
      </c>
      <c r="F231" s="28" t="s">
        <v>793</v>
      </c>
      <c r="G231" s="28" t="s">
        <v>793</v>
      </c>
      <c r="H231" s="28" t="s">
        <v>384</v>
      </c>
      <c r="I231" s="28">
        <v>11</v>
      </c>
      <c r="J231" s="30">
        <v>0.03</v>
      </c>
      <c r="K231" s="28" t="s">
        <v>496</v>
      </c>
      <c r="L231" s="31">
        <v>42917</v>
      </c>
      <c r="M231" s="28">
        <v>7</v>
      </c>
      <c r="N231" s="32" t="s">
        <v>184</v>
      </c>
      <c r="O231" s="28" t="s">
        <v>204</v>
      </c>
      <c r="P231" s="28" t="s">
        <v>883</v>
      </c>
      <c r="Q231" s="28" t="s">
        <v>884</v>
      </c>
      <c r="R231" s="28" t="s">
        <v>885</v>
      </c>
    </row>
    <row r="232" spans="1:18" hidden="1">
      <c r="A232" s="28">
        <v>2</v>
      </c>
      <c r="B232" s="29" t="s">
        <v>240</v>
      </c>
      <c r="C232" s="29" t="s">
        <v>241</v>
      </c>
      <c r="D232" s="29" t="s">
        <v>252</v>
      </c>
      <c r="E232" s="29" t="s">
        <v>172</v>
      </c>
      <c r="F232" s="28" t="s">
        <v>793</v>
      </c>
      <c r="G232" s="28" t="s">
        <v>793</v>
      </c>
      <c r="H232" s="28" t="s">
        <v>384</v>
      </c>
      <c r="I232" s="28">
        <v>11</v>
      </c>
      <c r="J232" s="30">
        <v>0.03</v>
      </c>
      <c r="K232" s="28" t="s">
        <v>473</v>
      </c>
      <c r="L232" s="31">
        <v>43160</v>
      </c>
      <c r="M232" s="28">
        <v>3</v>
      </c>
      <c r="N232" s="32" t="s">
        <v>191</v>
      </c>
      <c r="O232" s="28" t="s">
        <v>204</v>
      </c>
      <c r="P232" s="28" t="s">
        <v>886</v>
      </c>
      <c r="Q232" s="28" t="s">
        <v>873</v>
      </c>
      <c r="R232" s="28" t="s">
        <v>874</v>
      </c>
    </row>
    <row r="233" spans="1:18" hidden="1">
      <c r="A233" s="28">
        <v>2</v>
      </c>
      <c r="B233" s="29" t="s">
        <v>240</v>
      </c>
      <c r="C233" s="29" t="s">
        <v>241</v>
      </c>
      <c r="D233" s="29" t="s">
        <v>252</v>
      </c>
      <c r="E233" s="29" t="s">
        <v>172</v>
      </c>
      <c r="F233" s="28" t="s">
        <v>793</v>
      </c>
      <c r="G233" s="28" t="s">
        <v>793</v>
      </c>
      <c r="H233" s="28" t="s">
        <v>384</v>
      </c>
      <c r="I233" s="28">
        <v>11</v>
      </c>
      <c r="J233" s="30">
        <v>0.03</v>
      </c>
      <c r="K233" s="28" t="s">
        <v>302</v>
      </c>
      <c r="L233" s="31">
        <v>43282</v>
      </c>
      <c r="M233" s="28">
        <v>7</v>
      </c>
      <c r="N233" s="32" t="s">
        <v>184</v>
      </c>
      <c r="O233" s="28" t="s">
        <v>204</v>
      </c>
      <c r="P233" s="28" t="s">
        <v>887</v>
      </c>
      <c r="Q233" s="28" t="s">
        <v>888</v>
      </c>
      <c r="R233" s="28" t="s">
        <v>889</v>
      </c>
    </row>
    <row r="234" spans="1:18" hidden="1">
      <c r="A234" s="28">
        <v>2</v>
      </c>
      <c r="B234" s="29" t="s">
        <v>240</v>
      </c>
      <c r="C234" s="29" t="s">
        <v>241</v>
      </c>
      <c r="D234" s="29" t="s">
        <v>252</v>
      </c>
      <c r="E234" s="29" t="s">
        <v>172</v>
      </c>
      <c r="F234" s="28" t="s">
        <v>793</v>
      </c>
      <c r="G234" s="28" t="s">
        <v>793</v>
      </c>
      <c r="H234" s="28" t="s">
        <v>384</v>
      </c>
      <c r="I234" s="28">
        <v>11</v>
      </c>
      <c r="J234" s="30">
        <v>0.03</v>
      </c>
      <c r="K234" s="28" t="s">
        <v>411</v>
      </c>
      <c r="L234" s="31">
        <v>43556</v>
      </c>
      <c r="M234" s="28">
        <v>4</v>
      </c>
      <c r="N234" s="32" t="s">
        <v>191</v>
      </c>
      <c r="O234" s="28" t="s">
        <v>204</v>
      </c>
      <c r="P234" s="28" t="s">
        <v>890</v>
      </c>
      <c r="Q234" s="28" t="s">
        <v>870</v>
      </c>
      <c r="R234" s="28" t="s">
        <v>871</v>
      </c>
    </row>
    <row r="235" spans="1:18" hidden="1">
      <c r="A235" s="28">
        <v>2</v>
      </c>
      <c r="B235" s="29" t="s">
        <v>240</v>
      </c>
      <c r="C235" s="29" t="s">
        <v>241</v>
      </c>
      <c r="D235" s="29" t="s">
        <v>252</v>
      </c>
      <c r="E235" s="29" t="s">
        <v>172</v>
      </c>
      <c r="F235" s="28" t="s">
        <v>793</v>
      </c>
      <c r="G235" s="28" t="s">
        <v>793</v>
      </c>
      <c r="H235" s="28" t="s">
        <v>384</v>
      </c>
      <c r="I235" s="28">
        <v>11</v>
      </c>
      <c r="J235" s="30">
        <v>0.03</v>
      </c>
      <c r="K235" s="28" t="s">
        <v>236</v>
      </c>
      <c r="L235" s="31">
        <v>43617</v>
      </c>
      <c r="M235" s="28">
        <v>6</v>
      </c>
      <c r="N235" s="32" t="s">
        <v>184</v>
      </c>
      <c r="O235" s="28" t="s">
        <v>177</v>
      </c>
      <c r="P235" s="28" t="s">
        <v>891</v>
      </c>
      <c r="Q235" s="28" t="s">
        <v>892</v>
      </c>
      <c r="R235" s="28" t="s">
        <v>877</v>
      </c>
    </row>
    <row r="236" spans="1:18" hidden="1">
      <c r="A236" s="28">
        <v>2</v>
      </c>
      <c r="B236" s="29" t="s">
        <v>240</v>
      </c>
      <c r="C236" s="29" t="s">
        <v>241</v>
      </c>
      <c r="D236" s="29" t="s">
        <v>252</v>
      </c>
      <c r="E236" s="29" t="s">
        <v>172</v>
      </c>
      <c r="F236" s="28" t="s">
        <v>793</v>
      </c>
      <c r="G236" s="28" t="s">
        <v>793</v>
      </c>
      <c r="H236" s="28" t="s">
        <v>384</v>
      </c>
      <c r="I236" s="28">
        <v>11</v>
      </c>
      <c r="J236" s="30">
        <v>0.03</v>
      </c>
      <c r="K236" s="28" t="s">
        <v>236</v>
      </c>
      <c r="L236" s="31">
        <v>43617</v>
      </c>
      <c r="M236" s="28">
        <v>6</v>
      </c>
      <c r="N236" s="32" t="s">
        <v>184</v>
      </c>
      <c r="O236" s="28" t="s">
        <v>177</v>
      </c>
      <c r="P236" s="28" t="s">
        <v>893</v>
      </c>
      <c r="Q236" s="28" t="s">
        <v>892</v>
      </c>
      <c r="R236" s="28" t="s">
        <v>877</v>
      </c>
    </row>
    <row r="237" spans="1:18" hidden="1">
      <c r="A237" s="28">
        <v>2</v>
      </c>
      <c r="B237" s="29" t="s">
        <v>240</v>
      </c>
      <c r="C237" s="29" t="s">
        <v>241</v>
      </c>
      <c r="D237" s="29" t="s">
        <v>252</v>
      </c>
      <c r="E237" s="29" t="s">
        <v>172</v>
      </c>
      <c r="F237" s="28" t="s">
        <v>793</v>
      </c>
      <c r="G237" s="28" t="s">
        <v>793</v>
      </c>
      <c r="H237" s="28" t="s">
        <v>384</v>
      </c>
      <c r="I237" s="28">
        <v>11</v>
      </c>
      <c r="J237" s="30">
        <v>0.03</v>
      </c>
      <c r="K237" s="28" t="s">
        <v>520</v>
      </c>
      <c r="L237" s="31">
        <v>43800</v>
      </c>
      <c r="M237" s="28">
        <v>12</v>
      </c>
      <c r="N237" s="32" t="s">
        <v>176</v>
      </c>
      <c r="O237" s="28" t="s">
        <v>177</v>
      </c>
      <c r="P237" s="28" t="s">
        <v>894</v>
      </c>
      <c r="Q237" s="28" t="s">
        <v>892</v>
      </c>
      <c r="R237" s="28" t="s">
        <v>877</v>
      </c>
    </row>
    <row r="238" spans="1:18" hidden="1">
      <c r="A238" s="28">
        <v>2</v>
      </c>
      <c r="B238" s="29" t="s">
        <v>240</v>
      </c>
      <c r="C238" s="29" t="s">
        <v>241</v>
      </c>
      <c r="D238" s="29" t="s">
        <v>252</v>
      </c>
      <c r="E238" s="29" t="s">
        <v>172</v>
      </c>
      <c r="F238" s="28" t="s">
        <v>793</v>
      </c>
      <c r="G238" s="28" t="s">
        <v>793</v>
      </c>
      <c r="H238" s="28" t="s">
        <v>384</v>
      </c>
      <c r="I238" s="28">
        <v>11</v>
      </c>
      <c r="J238" s="30">
        <v>0.03</v>
      </c>
      <c r="K238" s="28" t="s">
        <v>683</v>
      </c>
      <c r="L238" s="31">
        <v>43831</v>
      </c>
      <c r="M238" s="28">
        <v>1</v>
      </c>
      <c r="N238" s="32" t="s">
        <v>176</v>
      </c>
      <c r="O238" s="28" t="s">
        <v>204</v>
      </c>
      <c r="P238" s="28" t="s">
        <v>895</v>
      </c>
      <c r="Q238" s="28" t="s">
        <v>870</v>
      </c>
      <c r="R238" s="28" t="s">
        <v>871</v>
      </c>
    </row>
    <row r="239" spans="1:18" hidden="1">
      <c r="A239" s="28">
        <v>2</v>
      </c>
      <c r="B239" s="29" t="s">
        <v>240</v>
      </c>
      <c r="C239" s="29" t="s">
        <v>241</v>
      </c>
      <c r="D239" s="29" t="s">
        <v>252</v>
      </c>
      <c r="E239" s="29" t="s">
        <v>172</v>
      </c>
      <c r="F239" s="28" t="s">
        <v>793</v>
      </c>
      <c r="G239" s="28" t="s">
        <v>793</v>
      </c>
      <c r="H239" s="28" t="s">
        <v>384</v>
      </c>
      <c r="I239" s="28">
        <v>11</v>
      </c>
      <c r="J239" s="30">
        <v>0.03</v>
      </c>
      <c r="K239" s="28" t="s">
        <v>324</v>
      </c>
      <c r="L239" s="31">
        <v>43862</v>
      </c>
      <c r="M239" s="28">
        <v>2</v>
      </c>
      <c r="N239" s="32" t="s">
        <v>176</v>
      </c>
      <c r="O239" s="28" t="s">
        <v>177</v>
      </c>
      <c r="P239" s="28" t="s">
        <v>896</v>
      </c>
      <c r="Q239" s="28" t="s">
        <v>892</v>
      </c>
      <c r="R239" s="28" t="s">
        <v>877</v>
      </c>
    </row>
    <row r="240" spans="1:18" hidden="1">
      <c r="A240" s="28">
        <v>2</v>
      </c>
      <c r="B240" s="29" t="s">
        <v>240</v>
      </c>
      <c r="C240" s="29" t="s">
        <v>241</v>
      </c>
      <c r="D240" s="29" t="s">
        <v>252</v>
      </c>
      <c r="E240" s="29" t="s">
        <v>172</v>
      </c>
      <c r="F240" s="28" t="s">
        <v>793</v>
      </c>
      <c r="G240" s="28" t="s">
        <v>793</v>
      </c>
      <c r="H240" s="28" t="s">
        <v>384</v>
      </c>
      <c r="I240" s="28">
        <v>11</v>
      </c>
      <c r="J240" s="30">
        <v>0.03</v>
      </c>
      <c r="K240" s="28" t="s">
        <v>328</v>
      </c>
      <c r="L240" s="31">
        <v>43891</v>
      </c>
      <c r="M240" s="28">
        <v>3</v>
      </c>
      <c r="N240" s="32" t="s">
        <v>191</v>
      </c>
      <c r="O240" s="28" t="s">
        <v>204</v>
      </c>
      <c r="P240" s="28" t="s">
        <v>897</v>
      </c>
      <c r="Q240" s="28" t="s">
        <v>873</v>
      </c>
      <c r="R240" s="28" t="s">
        <v>874</v>
      </c>
    </row>
    <row r="241" spans="1:18" hidden="1">
      <c r="A241" s="28">
        <v>2</v>
      </c>
      <c r="B241" s="29" t="s">
        <v>240</v>
      </c>
      <c r="C241" s="29" t="s">
        <v>241</v>
      </c>
      <c r="D241" s="29" t="s">
        <v>252</v>
      </c>
      <c r="E241" s="29" t="s">
        <v>172</v>
      </c>
      <c r="F241" s="28" t="s">
        <v>793</v>
      </c>
      <c r="G241" s="28" t="s">
        <v>793</v>
      </c>
      <c r="H241" s="28" t="s">
        <v>384</v>
      </c>
      <c r="I241" s="28">
        <v>11</v>
      </c>
      <c r="J241" s="30">
        <v>0.03</v>
      </c>
      <c r="K241" s="28" t="s">
        <v>183</v>
      </c>
      <c r="L241" s="31">
        <v>43983</v>
      </c>
      <c r="M241" s="28">
        <v>6</v>
      </c>
      <c r="N241" s="32" t="s">
        <v>184</v>
      </c>
      <c r="O241" s="28" t="s">
        <v>204</v>
      </c>
      <c r="P241" s="28" t="s">
        <v>898</v>
      </c>
      <c r="Q241" s="28" t="s">
        <v>870</v>
      </c>
      <c r="R241" s="28" t="s">
        <v>871</v>
      </c>
    </row>
    <row r="242" spans="1:18" hidden="1">
      <c r="A242" s="28">
        <v>2</v>
      </c>
      <c r="B242" s="29" t="s">
        <v>240</v>
      </c>
      <c r="C242" s="29" t="s">
        <v>241</v>
      </c>
      <c r="D242" s="29" t="s">
        <v>252</v>
      </c>
      <c r="E242" s="29" t="s">
        <v>172</v>
      </c>
      <c r="F242" s="28" t="s">
        <v>793</v>
      </c>
      <c r="G242" s="28" t="s">
        <v>793</v>
      </c>
      <c r="H242" s="28" t="s">
        <v>384</v>
      </c>
      <c r="I242" s="28">
        <v>11</v>
      </c>
      <c r="J242" s="30">
        <v>0.03</v>
      </c>
      <c r="K242" s="28" t="s">
        <v>218</v>
      </c>
      <c r="L242" s="31">
        <v>44044</v>
      </c>
      <c r="M242" s="28">
        <v>8</v>
      </c>
      <c r="N242" s="32" t="s">
        <v>184</v>
      </c>
      <c r="O242" s="28" t="s">
        <v>204</v>
      </c>
      <c r="P242" s="28" t="s">
        <v>899</v>
      </c>
      <c r="Q242" s="28" t="s">
        <v>870</v>
      </c>
      <c r="R242" s="28" t="s">
        <v>871</v>
      </c>
    </row>
    <row r="243" spans="1:18" hidden="1">
      <c r="A243" s="28">
        <v>2</v>
      </c>
      <c r="B243" s="29" t="s">
        <v>240</v>
      </c>
      <c r="C243" s="29" t="s">
        <v>241</v>
      </c>
      <c r="D243" s="29" t="s">
        <v>252</v>
      </c>
      <c r="E243" s="29" t="s">
        <v>172</v>
      </c>
      <c r="F243" s="28" t="s">
        <v>793</v>
      </c>
      <c r="G243" s="28" t="s">
        <v>793</v>
      </c>
      <c r="H243" s="28" t="s">
        <v>384</v>
      </c>
      <c r="I243" s="28">
        <v>11</v>
      </c>
      <c r="J243" s="30">
        <v>0.03</v>
      </c>
      <c r="K243" s="28" t="s">
        <v>646</v>
      </c>
      <c r="L243" s="31">
        <v>44075</v>
      </c>
      <c r="M243" s="28">
        <v>9</v>
      </c>
      <c r="N243" s="32" t="s">
        <v>191</v>
      </c>
      <c r="O243" s="28" t="s">
        <v>204</v>
      </c>
      <c r="P243" s="28" t="s">
        <v>900</v>
      </c>
      <c r="Q243" s="28" t="s">
        <v>873</v>
      </c>
      <c r="R243" s="28" t="s">
        <v>874</v>
      </c>
    </row>
    <row r="244" spans="1:18" hidden="1">
      <c r="A244" s="28">
        <v>2</v>
      </c>
      <c r="B244" s="29" t="s">
        <v>240</v>
      </c>
      <c r="C244" s="29" t="s">
        <v>241</v>
      </c>
      <c r="D244" s="29" t="s">
        <v>256</v>
      </c>
      <c r="E244" s="29" t="s">
        <v>172</v>
      </c>
      <c r="F244" s="28" t="s">
        <v>793</v>
      </c>
      <c r="G244" s="28" t="s">
        <v>793</v>
      </c>
      <c r="H244" s="28" t="s">
        <v>384</v>
      </c>
      <c r="I244" s="28">
        <v>11</v>
      </c>
      <c r="J244" s="30">
        <v>0.03</v>
      </c>
      <c r="K244" s="28" t="s">
        <v>489</v>
      </c>
      <c r="L244" s="31">
        <v>42491</v>
      </c>
      <c r="M244" s="28">
        <v>5</v>
      </c>
      <c r="N244" s="32" t="s">
        <v>191</v>
      </c>
      <c r="O244" s="28" t="s">
        <v>272</v>
      </c>
      <c r="P244" s="28" t="s">
        <v>901</v>
      </c>
      <c r="Q244" s="28" t="s">
        <v>902</v>
      </c>
      <c r="R244" s="28" t="s">
        <v>903</v>
      </c>
    </row>
    <row r="245" spans="1:18" hidden="1">
      <c r="A245" s="28">
        <v>2</v>
      </c>
      <c r="B245" s="29" t="s">
        <v>240</v>
      </c>
      <c r="C245" s="29" t="s">
        <v>241</v>
      </c>
      <c r="D245" s="29" t="s">
        <v>256</v>
      </c>
      <c r="E245" s="29" t="s">
        <v>172</v>
      </c>
      <c r="F245" s="28" t="s">
        <v>793</v>
      </c>
      <c r="G245" s="28" t="s">
        <v>793</v>
      </c>
      <c r="H245" s="28" t="s">
        <v>384</v>
      </c>
      <c r="I245" s="28">
        <v>11</v>
      </c>
      <c r="J245" s="30">
        <v>0.03</v>
      </c>
      <c r="K245" s="28" t="s">
        <v>460</v>
      </c>
      <c r="L245" s="31">
        <v>42675</v>
      </c>
      <c r="M245" s="28">
        <v>11</v>
      </c>
      <c r="N245" s="32" t="s">
        <v>191</v>
      </c>
      <c r="O245" s="28" t="s">
        <v>177</v>
      </c>
      <c r="P245" s="28" t="s">
        <v>904</v>
      </c>
      <c r="Q245" s="28" t="s">
        <v>905</v>
      </c>
      <c r="R245" s="28" t="s">
        <v>906</v>
      </c>
    </row>
    <row r="246" spans="1:18" hidden="1">
      <c r="A246" s="28">
        <v>2</v>
      </c>
      <c r="B246" s="29" t="s">
        <v>240</v>
      </c>
      <c r="C246" s="29" t="s">
        <v>241</v>
      </c>
      <c r="D246" s="29" t="s">
        <v>256</v>
      </c>
      <c r="E246" s="29" t="s">
        <v>172</v>
      </c>
      <c r="F246" s="28" t="s">
        <v>793</v>
      </c>
      <c r="G246" s="28" t="s">
        <v>793</v>
      </c>
      <c r="H246" s="28" t="s">
        <v>384</v>
      </c>
      <c r="I246" s="28">
        <v>11</v>
      </c>
      <c r="J246" s="30">
        <v>0.03</v>
      </c>
      <c r="K246" s="28" t="s">
        <v>464</v>
      </c>
      <c r="L246" s="31">
        <v>42887</v>
      </c>
      <c r="M246" s="28">
        <v>6</v>
      </c>
      <c r="N246" s="32" t="s">
        <v>184</v>
      </c>
      <c r="O246" s="28" t="s">
        <v>185</v>
      </c>
      <c r="P246" s="28" t="s">
        <v>907</v>
      </c>
      <c r="Q246" s="28" t="s">
        <v>908</v>
      </c>
      <c r="R246" s="28" t="s">
        <v>909</v>
      </c>
    </row>
    <row r="247" spans="1:18" hidden="1">
      <c r="A247" s="28">
        <v>2</v>
      </c>
      <c r="B247" s="29" t="s">
        <v>240</v>
      </c>
      <c r="C247" s="29" t="s">
        <v>241</v>
      </c>
      <c r="D247" s="29" t="s">
        <v>256</v>
      </c>
      <c r="E247" s="29" t="s">
        <v>172</v>
      </c>
      <c r="F247" s="28" t="s">
        <v>793</v>
      </c>
      <c r="G247" s="28" t="s">
        <v>793</v>
      </c>
      <c r="H247" s="28" t="s">
        <v>384</v>
      </c>
      <c r="I247" s="28">
        <v>11</v>
      </c>
      <c r="J247" s="30">
        <v>0.03</v>
      </c>
      <c r="K247" s="28" t="s">
        <v>752</v>
      </c>
      <c r="L247" s="31">
        <v>43709</v>
      </c>
      <c r="M247" s="28">
        <v>9</v>
      </c>
      <c r="N247" s="32" t="s">
        <v>191</v>
      </c>
      <c r="O247" s="28" t="s">
        <v>204</v>
      </c>
      <c r="P247" s="28" t="s">
        <v>910</v>
      </c>
      <c r="Q247" s="28" t="s">
        <v>911</v>
      </c>
      <c r="R247" s="28" t="s">
        <v>912</v>
      </c>
    </row>
    <row r="248" spans="1:18" hidden="1">
      <c r="A248" s="28">
        <v>2</v>
      </c>
      <c r="B248" s="29" t="s">
        <v>240</v>
      </c>
      <c r="C248" s="29" t="s">
        <v>241</v>
      </c>
      <c r="D248" s="29" t="s">
        <v>256</v>
      </c>
      <c r="E248" s="29" t="s">
        <v>172</v>
      </c>
      <c r="F248" s="28" t="s">
        <v>793</v>
      </c>
      <c r="G248" s="28" t="s">
        <v>793</v>
      </c>
      <c r="H248" s="28" t="s">
        <v>384</v>
      </c>
      <c r="I248" s="28">
        <v>11</v>
      </c>
      <c r="J248" s="30">
        <v>0.03</v>
      </c>
      <c r="K248" s="28" t="s">
        <v>504</v>
      </c>
      <c r="L248" s="31">
        <v>43922</v>
      </c>
      <c r="M248" s="28">
        <v>4</v>
      </c>
      <c r="N248" s="32" t="s">
        <v>191</v>
      </c>
      <c r="O248" s="28" t="s">
        <v>204</v>
      </c>
      <c r="P248" s="28" t="s">
        <v>913</v>
      </c>
      <c r="Q248" s="28" t="s">
        <v>914</v>
      </c>
      <c r="R248" s="28" t="s">
        <v>826</v>
      </c>
    </row>
    <row r="249" spans="1:18" hidden="1">
      <c r="A249" s="28">
        <v>2</v>
      </c>
      <c r="B249" s="29" t="s">
        <v>240</v>
      </c>
      <c r="C249" s="29" t="s">
        <v>915</v>
      </c>
      <c r="D249" s="29" t="s">
        <v>916</v>
      </c>
      <c r="E249" s="29" t="s">
        <v>172</v>
      </c>
      <c r="F249" s="28" t="s">
        <v>793</v>
      </c>
      <c r="G249" s="28" t="s">
        <v>793</v>
      </c>
      <c r="H249" s="28" t="s">
        <v>384</v>
      </c>
      <c r="I249" s="28">
        <v>11</v>
      </c>
      <c r="J249" s="30">
        <v>0.03</v>
      </c>
      <c r="K249" s="28" t="s">
        <v>289</v>
      </c>
      <c r="L249" s="31">
        <v>42795</v>
      </c>
      <c r="M249" s="28">
        <v>3</v>
      </c>
      <c r="N249" s="32" t="s">
        <v>191</v>
      </c>
      <c r="O249" s="28" t="s">
        <v>204</v>
      </c>
      <c r="P249" s="28" t="s">
        <v>917</v>
      </c>
      <c r="Q249" s="28" t="s">
        <v>918</v>
      </c>
      <c r="R249" s="28" t="s">
        <v>919</v>
      </c>
    </row>
    <row r="250" spans="1:18" hidden="1">
      <c r="A250" s="28">
        <v>2</v>
      </c>
      <c r="B250" s="29" t="s">
        <v>240</v>
      </c>
      <c r="C250" s="29" t="s">
        <v>915</v>
      </c>
      <c r="D250" s="29" t="s">
        <v>916</v>
      </c>
      <c r="E250" s="29" t="s">
        <v>172</v>
      </c>
      <c r="F250" s="28" t="s">
        <v>793</v>
      </c>
      <c r="G250" s="28" t="s">
        <v>793</v>
      </c>
      <c r="H250" s="28" t="s">
        <v>384</v>
      </c>
      <c r="I250" s="28">
        <v>11</v>
      </c>
      <c r="J250" s="30">
        <v>0.03</v>
      </c>
      <c r="K250" s="28" t="s">
        <v>271</v>
      </c>
      <c r="L250" s="31">
        <v>42856</v>
      </c>
      <c r="M250" s="28">
        <v>5</v>
      </c>
      <c r="N250" s="32" t="s">
        <v>191</v>
      </c>
      <c r="O250" s="28" t="s">
        <v>177</v>
      </c>
      <c r="P250" s="28" t="s">
        <v>920</v>
      </c>
      <c r="Q250" s="28" t="s">
        <v>921</v>
      </c>
      <c r="R250" s="28" t="s">
        <v>922</v>
      </c>
    </row>
    <row r="251" spans="1:18" hidden="1">
      <c r="A251" s="28">
        <v>2</v>
      </c>
      <c r="B251" s="29" t="s">
        <v>240</v>
      </c>
      <c r="C251" s="29" t="s">
        <v>915</v>
      </c>
      <c r="D251" s="29" t="s">
        <v>916</v>
      </c>
      <c r="E251" s="29" t="s">
        <v>172</v>
      </c>
      <c r="F251" s="28" t="s">
        <v>793</v>
      </c>
      <c r="G251" s="28" t="s">
        <v>793</v>
      </c>
      <c r="H251" s="28" t="s">
        <v>384</v>
      </c>
      <c r="I251" s="28">
        <v>11</v>
      </c>
      <c r="J251" s="30">
        <v>0.03</v>
      </c>
      <c r="K251" s="28" t="s">
        <v>208</v>
      </c>
      <c r="L251" s="31">
        <v>43101</v>
      </c>
      <c r="M251" s="28">
        <v>1</v>
      </c>
      <c r="N251" s="32" t="s">
        <v>176</v>
      </c>
      <c r="O251" s="28" t="s">
        <v>204</v>
      </c>
      <c r="P251" s="28" t="s">
        <v>923</v>
      </c>
      <c r="Q251" s="28" t="s">
        <v>924</v>
      </c>
      <c r="R251" s="28" t="s">
        <v>925</v>
      </c>
    </row>
    <row r="252" spans="1:18" hidden="1">
      <c r="A252" s="28">
        <v>2</v>
      </c>
      <c r="B252" s="29" t="s">
        <v>240</v>
      </c>
      <c r="C252" s="29" t="s">
        <v>915</v>
      </c>
      <c r="D252" s="29" t="s">
        <v>916</v>
      </c>
      <c r="E252" s="29" t="s">
        <v>172</v>
      </c>
      <c r="F252" s="28" t="s">
        <v>793</v>
      </c>
      <c r="G252" s="28" t="s">
        <v>793</v>
      </c>
      <c r="H252" s="28" t="s">
        <v>384</v>
      </c>
      <c r="I252" s="28">
        <v>11</v>
      </c>
      <c r="J252" s="30">
        <v>0.03</v>
      </c>
      <c r="K252" s="28" t="s">
        <v>208</v>
      </c>
      <c r="L252" s="31">
        <v>43101</v>
      </c>
      <c r="M252" s="28">
        <v>1</v>
      </c>
      <c r="N252" s="32" t="s">
        <v>176</v>
      </c>
      <c r="O252" s="28" t="s">
        <v>204</v>
      </c>
      <c r="P252" s="28" t="s">
        <v>926</v>
      </c>
      <c r="Q252" s="28" t="s">
        <v>927</v>
      </c>
      <c r="R252" s="28" t="s">
        <v>928</v>
      </c>
    </row>
    <row r="253" spans="1:18" hidden="1">
      <c r="A253" s="28">
        <v>2</v>
      </c>
      <c r="B253" s="29" t="s">
        <v>240</v>
      </c>
      <c r="C253" s="29" t="s">
        <v>915</v>
      </c>
      <c r="D253" s="29" t="s">
        <v>916</v>
      </c>
      <c r="E253" s="29" t="s">
        <v>172</v>
      </c>
      <c r="F253" s="28" t="s">
        <v>793</v>
      </c>
      <c r="G253" s="28" t="s">
        <v>793</v>
      </c>
      <c r="H253" s="28" t="s">
        <v>384</v>
      </c>
      <c r="I253" s="28">
        <v>11</v>
      </c>
      <c r="J253" s="30">
        <v>0.03</v>
      </c>
      <c r="K253" s="28" t="s">
        <v>473</v>
      </c>
      <c r="L253" s="31">
        <v>43160</v>
      </c>
      <c r="M253" s="28">
        <v>3</v>
      </c>
      <c r="N253" s="32" t="s">
        <v>191</v>
      </c>
      <c r="O253" s="28" t="s">
        <v>204</v>
      </c>
      <c r="P253" s="28" t="s">
        <v>929</v>
      </c>
      <c r="Q253" s="28" t="s">
        <v>927</v>
      </c>
      <c r="R253" s="28" t="s">
        <v>928</v>
      </c>
    </row>
    <row r="254" spans="1:18" hidden="1">
      <c r="A254" s="28">
        <v>2</v>
      </c>
      <c r="B254" s="29" t="s">
        <v>240</v>
      </c>
      <c r="C254" s="29" t="s">
        <v>915</v>
      </c>
      <c r="D254" s="29" t="s">
        <v>916</v>
      </c>
      <c r="E254" s="29" t="s">
        <v>172</v>
      </c>
      <c r="F254" s="28" t="s">
        <v>793</v>
      </c>
      <c r="G254" s="28" t="s">
        <v>793</v>
      </c>
      <c r="H254" s="28" t="s">
        <v>384</v>
      </c>
      <c r="I254" s="28">
        <v>11</v>
      </c>
      <c r="J254" s="30">
        <v>0.03</v>
      </c>
      <c r="K254" s="28" t="s">
        <v>559</v>
      </c>
      <c r="L254" s="31">
        <v>43252</v>
      </c>
      <c r="M254" s="28">
        <v>6</v>
      </c>
      <c r="N254" s="32" t="s">
        <v>184</v>
      </c>
      <c r="O254" s="28" t="s">
        <v>204</v>
      </c>
      <c r="P254" s="28" t="s">
        <v>930</v>
      </c>
      <c r="Q254" s="28" t="s">
        <v>931</v>
      </c>
      <c r="R254" s="28" t="s">
        <v>932</v>
      </c>
    </row>
    <row r="255" spans="1:18" hidden="1">
      <c r="A255" s="28">
        <v>2</v>
      </c>
      <c r="B255" s="29" t="s">
        <v>240</v>
      </c>
      <c r="C255" s="29" t="s">
        <v>915</v>
      </c>
      <c r="D255" s="29" t="s">
        <v>916</v>
      </c>
      <c r="E255" s="29" t="s">
        <v>172</v>
      </c>
      <c r="F255" s="28" t="s">
        <v>793</v>
      </c>
      <c r="G255" s="28" t="s">
        <v>793</v>
      </c>
      <c r="H255" s="28" t="s">
        <v>384</v>
      </c>
      <c r="I255" s="28">
        <v>11</v>
      </c>
      <c r="J255" s="30">
        <v>0.03</v>
      </c>
      <c r="K255" s="28" t="s">
        <v>411</v>
      </c>
      <c r="L255" s="31">
        <v>43556</v>
      </c>
      <c r="M255" s="28">
        <v>4</v>
      </c>
      <c r="N255" s="32" t="s">
        <v>191</v>
      </c>
      <c r="O255" s="28" t="s">
        <v>794</v>
      </c>
      <c r="P255" s="28" t="s">
        <v>933</v>
      </c>
      <c r="Q255" s="28" t="s">
        <v>934</v>
      </c>
      <c r="R255" s="28" t="s">
        <v>935</v>
      </c>
    </row>
    <row r="256" spans="1:18" hidden="1">
      <c r="A256" s="28">
        <v>2</v>
      </c>
      <c r="B256" s="29" t="s">
        <v>240</v>
      </c>
      <c r="C256" s="29" t="s">
        <v>915</v>
      </c>
      <c r="D256" s="29" t="s">
        <v>916</v>
      </c>
      <c r="E256" s="29" t="s">
        <v>172</v>
      </c>
      <c r="F256" s="28" t="s">
        <v>793</v>
      </c>
      <c r="G256" s="28" t="s">
        <v>793</v>
      </c>
      <c r="H256" s="28" t="s">
        <v>384</v>
      </c>
      <c r="I256" s="28">
        <v>11</v>
      </c>
      <c r="J256" s="30">
        <v>0.03</v>
      </c>
      <c r="K256" s="28" t="s">
        <v>411</v>
      </c>
      <c r="L256" s="31">
        <v>43556</v>
      </c>
      <c r="M256" s="28">
        <v>4</v>
      </c>
      <c r="N256" s="32" t="s">
        <v>191</v>
      </c>
      <c r="O256" s="28" t="s">
        <v>204</v>
      </c>
      <c r="P256" s="28" t="s">
        <v>936</v>
      </c>
      <c r="Q256" s="28" t="s">
        <v>937</v>
      </c>
      <c r="R256" s="28" t="s">
        <v>912</v>
      </c>
    </row>
    <row r="257" spans="1:18" hidden="1">
      <c r="A257" s="28">
        <v>2</v>
      </c>
      <c r="B257" s="29" t="s">
        <v>240</v>
      </c>
      <c r="C257" s="29" t="s">
        <v>915</v>
      </c>
      <c r="D257" s="29" t="s">
        <v>916</v>
      </c>
      <c r="E257" s="29" t="s">
        <v>172</v>
      </c>
      <c r="F257" s="28" t="s">
        <v>793</v>
      </c>
      <c r="G257" s="28" t="s">
        <v>793</v>
      </c>
      <c r="H257" s="28" t="s">
        <v>384</v>
      </c>
      <c r="I257" s="28">
        <v>11</v>
      </c>
      <c r="J257" s="30">
        <v>0.03</v>
      </c>
      <c r="K257" s="28" t="s">
        <v>236</v>
      </c>
      <c r="L257" s="31">
        <v>43617</v>
      </c>
      <c r="M257" s="28">
        <v>6</v>
      </c>
      <c r="N257" s="32" t="s">
        <v>184</v>
      </c>
      <c r="O257" s="28" t="s">
        <v>204</v>
      </c>
      <c r="P257" s="28" t="s">
        <v>938</v>
      </c>
      <c r="Q257" s="28" t="s">
        <v>939</v>
      </c>
      <c r="R257" s="28" t="s">
        <v>940</v>
      </c>
    </row>
    <row r="258" spans="1:18" hidden="1">
      <c r="A258" s="28">
        <v>2</v>
      </c>
      <c r="B258" s="29" t="s">
        <v>240</v>
      </c>
      <c r="C258" s="29" t="s">
        <v>276</v>
      </c>
      <c r="D258" s="29" t="s">
        <v>277</v>
      </c>
      <c r="E258" s="29" t="s">
        <v>172</v>
      </c>
      <c r="F258" s="28" t="s">
        <v>793</v>
      </c>
      <c r="G258" s="28" t="s">
        <v>793</v>
      </c>
      <c r="H258" s="28" t="s">
        <v>384</v>
      </c>
      <c r="I258" s="28">
        <v>11</v>
      </c>
      <c r="J258" s="30">
        <v>0.03</v>
      </c>
      <c r="K258" s="28" t="s">
        <v>489</v>
      </c>
      <c r="L258" s="31">
        <v>42491</v>
      </c>
      <c r="M258" s="28">
        <v>5</v>
      </c>
      <c r="N258" s="32" t="s">
        <v>191</v>
      </c>
      <c r="O258" s="28" t="s">
        <v>204</v>
      </c>
      <c r="P258" s="28" t="s">
        <v>941</v>
      </c>
      <c r="Q258" s="28" t="s">
        <v>942</v>
      </c>
      <c r="R258" s="28" t="s">
        <v>943</v>
      </c>
    </row>
    <row r="259" spans="1:18" hidden="1">
      <c r="A259" s="28">
        <v>2</v>
      </c>
      <c r="B259" s="29" t="s">
        <v>240</v>
      </c>
      <c r="C259" s="29" t="s">
        <v>276</v>
      </c>
      <c r="D259" s="29" t="s">
        <v>277</v>
      </c>
      <c r="E259" s="29" t="s">
        <v>172</v>
      </c>
      <c r="F259" s="28" t="s">
        <v>793</v>
      </c>
      <c r="G259" s="28" t="s">
        <v>793</v>
      </c>
      <c r="H259" s="28" t="s">
        <v>384</v>
      </c>
      <c r="I259" s="28">
        <v>11</v>
      </c>
      <c r="J259" s="30">
        <v>0.03</v>
      </c>
      <c r="K259" s="28" t="s">
        <v>401</v>
      </c>
      <c r="L259" s="31">
        <v>42705</v>
      </c>
      <c r="M259" s="28">
        <v>12</v>
      </c>
      <c r="N259" s="32" t="s">
        <v>176</v>
      </c>
      <c r="O259" s="28" t="s">
        <v>204</v>
      </c>
      <c r="P259" s="28" t="s">
        <v>944</v>
      </c>
      <c r="Q259" s="28" t="s">
        <v>945</v>
      </c>
      <c r="R259" s="28" t="s">
        <v>946</v>
      </c>
    </row>
    <row r="260" spans="1:18" hidden="1">
      <c r="A260" s="28">
        <v>2</v>
      </c>
      <c r="B260" s="29" t="s">
        <v>240</v>
      </c>
      <c r="C260" s="29" t="s">
        <v>276</v>
      </c>
      <c r="D260" s="29" t="s">
        <v>277</v>
      </c>
      <c r="E260" s="29" t="s">
        <v>172</v>
      </c>
      <c r="F260" s="28" t="s">
        <v>793</v>
      </c>
      <c r="G260" s="28" t="s">
        <v>793</v>
      </c>
      <c r="H260" s="28" t="s">
        <v>384</v>
      </c>
      <c r="I260" s="28">
        <v>11</v>
      </c>
      <c r="J260" s="30">
        <v>0.03</v>
      </c>
      <c r="K260" s="28" t="s">
        <v>813</v>
      </c>
      <c r="L260" s="31">
        <v>43009</v>
      </c>
      <c r="M260" s="28">
        <v>10</v>
      </c>
      <c r="N260" s="32" t="s">
        <v>191</v>
      </c>
      <c r="O260" s="28" t="s">
        <v>185</v>
      </c>
      <c r="P260" s="28" t="s">
        <v>947</v>
      </c>
      <c r="Q260" s="28" t="s">
        <v>948</v>
      </c>
      <c r="R260" s="28" t="s">
        <v>949</v>
      </c>
    </row>
    <row r="261" spans="1:18" hidden="1">
      <c r="A261" s="28">
        <v>2</v>
      </c>
      <c r="B261" s="29" t="s">
        <v>240</v>
      </c>
      <c r="C261" s="29" t="s">
        <v>276</v>
      </c>
      <c r="D261" s="29" t="s">
        <v>277</v>
      </c>
      <c r="E261" s="29" t="s">
        <v>172</v>
      </c>
      <c r="F261" s="28" t="s">
        <v>793</v>
      </c>
      <c r="G261" s="28" t="s">
        <v>793</v>
      </c>
      <c r="H261" s="28" t="s">
        <v>384</v>
      </c>
      <c r="I261" s="28">
        <v>11</v>
      </c>
      <c r="J261" s="30">
        <v>0.03</v>
      </c>
      <c r="K261" s="28" t="s">
        <v>518</v>
      </c>
      <c r="L261" s="31">
        <v>43709</v>
      </c>
      <c r="M261" s="28">
        <v>9</v>
      </c>
      <c r="N261" s="32" t="s">
        <v>191</v>
      </c>
      <c r="O261" s="28" t="s">
        <v>204</v>
      </c>
      <c r="P261" s="28" t="s">
        <v>950</v>
      </c>
      <c r="Q261" s="28" t="s">
        <v>951</v>
      </c>
      <c r="R261" s="28" t="s">
        <v>952</v>
      </c>
    </row>
    <row r="262" spans="1:18" hidden="1">
      <c r="A262" s="28">
        <v>2</v>
      </c>
      <c r="B262" s="29" t="s">
        <v>240</v>
      </c>
      <c r="C262" s="29" t="s">
        <v>276</v>
      </c>
      <c r="D262" s="29" t="s">
        <v>277</v>
      </c>
      <c r="E262" s="29" t="s">
        <v>172</v>
      </c>
      <c r="F262" s="28" t="s">
        <v>793</v>
      </c>
      <c r="G262" s="28" t="s">
        <v>793</v>
      </c>
      <c r="H262" s="28" t="s">
        <v>384</v>
      </c>
      <c r="I262" s="28">
        <v>11</v>
      </c>
      <c r="J262" s="30">
        <v>0.03</v>
      </c>
      <c r="K262" s="28" t="s">
        <v>483</v>
      </c>
      <c r="L262" s="31">
        <v>44197</v>
      </c>
      <c r="M262" s="28">
        <v>1</v>
      </c>
      <c r="N262" s="32" t="s">
        <v>176</v>
      </c>
      <c r="O262" s="28" t="s">
        <v>953</v>
      </c>
      <c r="P262" s="28" t="s">
        <v>954</v>
      </c>
      <c r="Q262" s="28" t="s">
        <v>955</v>
      </c>
      <c r="R262" s="28" t="s">
        <v>956</v>
      </c>
    </row>
    <row r="263" spans="1:18" hidden="1">
      <c r="A263" s="28">
        <v>4</v>
      </c>
      <c r="B263" s="29" t="s">
        <v>306</v>
      </c>
      <c r="C263" s="29" t="s">
        <v>307</v>
      </c>
      <c r="D263" s="29" t="s">
        <v>308</v>
      </c>
      <c r="E263" s="29" t="s">
        <v>172</v>
      </c>
      <c r="F263" s="28" t="s">
        <v>793</v>
      </c>
      <c r="G263" s="28" t="s">
        <v>793</v>
      </c>
      <c r="H263" s="28" t="s">
        <v>384</v>
      </c>
      <c r="I263" s="28">
        <v>11</v>
      </c>
      <c r="J263" s="30">
        <v>0.03</v>
      </c>
      <c r="K263" s="28" t="s">
        <v>483</v>
      </c>
      <c r="L263" s="31">
        <v>44197</v>
      </c>
      <c r="M263" s="28">
        <v>1</v>
      </c>
      <c r="N263" s="32" t="s">
        <v>176</v>
      </c>
      <c r="O263" s="28" t="s">
        <v>204</v>
      </c>
      <c r="P263" s="28" t="s">
        <v>957</v>
      </c>
      <c r="Q263" s="28" t="s">
        <v>610</v>
      </c>
      <c r="R263" s="28" t="s">
        <v>611</v>
      </c>
    </row>
    <row r="264" spans="1:18" hidden="1">
      <c r="A264" s="28">
        <v>5</v>
      </c>
      <c r="B264" s="29" t="s">
        <v>349</v>
      </c>
      <c r="C264" s="29" t="s">
        <v>350</v>
      </c>
      <c r="D264" s="29" t="s">
        <v>716</v>
      </c>
      <c r="E264" s="29" t="s">
        <v>172</v>
      </c>
      <c r="F264" s="28" t="s">
        <v>793</v>
      </c>
      <c r="G264" s="28" t="s">
        <v>793</v>
      </c>
      <c r="H264" s="28" t="s">
        <v>384</v>
      </c>
      <c r="I264" s="28">
        <v>11</v>
      </c>
      <c r="J264" s="30">
        <v>0.03</v>
      </c>
      <c r="K264" s="28" t="s">
        <v>271</v>
      </c>
      <c r="L264" s="31">
        <v>42856</v>
      </c>
      <c r="M264" s="28">
        <v>5</v>
      </c>
      <c r="N264" s="32" t="s">
        <v>191</v>
      </c>
      <c r="O264" s="28" t="s">
        <v>177</v>
      </c>
      <c r="P264" s="28" t="s">
        <v>958</v>
      </c>
      <c r="Q264" s="28" t="s">
        <v>959</v>
      </c>
      <c r="R264" s="28" t="s">
        <v>960</v>
      </c>
    </row>
    <row r="265" spans="1:18" hidden="1">
      <c r="A265" s="28">
        <v>8</v>
      </c>
      <c r="B265" s="29" t="s">
        <v>371</v>
      </c>
      <c r="C265" s="29" t="s">
        <v>782</v>
      </c>
      <c r="D265" s="29" t="s">
        <v>961</v>
      </c>
      <c r="E265" s="29" t="s">
        <v>374</v>
      </c>
      <c r="F265" s="28" t="s">
        <v>793</v>
      </c>
      <c r="G265" s="28" t="s">
        <v>793</v>
      </c>
      <c r="H265" s="28" t="s">
        <v>384</v>
      </c>
      <c r="I265" s="28">
        <v>11</v>
      </c>
      <c r="J265" s="30">
        <v>0.03</v>
      </c>
      <c r="K265" s="28" t="s">
        <v>962</v>
      </c>
      <c r="L265" s="31">
        <v>44348</v>
      </c>
      <c r="M265" s="28">
        <v>6</v>
      </c>
      <c r="N265" s="32" t="s">
        <v>184</v>
      </c>
      <c r="O265" s="28" t="s">
        <v>185</v>
      </c>
      <c r="P265" s="28" t="s">
        <v>963</v>
      </c>
      <c r="Q265" s="28" t="s">
        <v>964</v>
      </c>
      <c r="R265" s="28" t="s">
        <v>965</v>
      </c>
    </row>
    <row r="266" spans="1:18" hidden="1">
      <c r="A266" s="28">
        <v>8</v>
      </c>
      <c r="B266" s="29" t="s">
        <v>371</v>
      </c>
      <c r="C266" s="29" t="s">
        <v>787</v>
      </c>
      <c r="D266" s="29" t="s">
        <v>788</v>
      </c>
      <c r="E266" s="29" t="s">
        <v>374</v>
      </c>
      <c r="F266" s="28" t="s">
        <v>793</v>
      </c>
      <c r="G266" s="28" t="s">
        <v>793</v>
      </c>
      <c r="H266" s="28" t="s">
        <v>384</v>
      </c>
      <c r="I266" s="28">
        <v>11</v>
      </c>
      <c r="J266" s="30">
        <v>0.03</v>
      </c>
      <c r="K266" s="28" t="s">
        <v>208</v>
      </c>
      <c r="L266" s="31">
        <v>43101</v>
      </c>
      <c r="M266" s="28">
        <v>1</v>
      </c>
      <c r="N266" s="32" t="s">
        <v>176</v>
      </c>
      <c r="O266" s="28" t="s">
        <v>204</v>
      </c>
      <c r="P266" s="28" t="s">
        <v>966</v>
      </c>
      <c r="Q266" s="28" t="s">
        <v>967</v>
      </c>
      <c r="R266" s="28" t="s">
        <v>968</v>
      </c>
    </row>
    <row r="267" spans="1:18" hidden="1">
      <c r="A267" s="28">
        <v>1</v>
      </c>
      <c r="B267" s="29" t="s">
        <v>379</v>
      </c>
      <c r="C267" s="29" t="s">
        <v>388</v>
      </c>
      <c r="D267" s="29" t="s">
        <v>381</v>
      </c>
      <c r="E267" s="29" t="s">
        <v>172</v>
      </c>
      <c r="F267" s="28" t="s">
        <v>969</v>
      </c>
      <c r="G267" s="28" t="s">
        <v>970</v>
      </c>
      <c r="H267" s="28" t="s">
        <v>384</v>
      </c>
      <c r="I267" s="28">
        <v>5</v>
      </c>
      <c r="J267" s="30">
        <v>4.9000000000000002E-2</v>
      </c>
      <c r="K267" s="28" t="s">
        <v>971</v>
      </c>
      <c r="L267" s="31">
        <v>42979</v>
      </c>
      <c r="M267" s="28">
        <v>9</v>
      </c>
      <c r="N267" s="32" t="s">
        <v>191</v>
      </c>
      <c r="O267" s="28" t="s">
        <v>177</v>
      </c>
      <c r="P267" s="28" t="s">
        <v>972</v>
      </c>
      <c r="Q267" s="28" t="s">
        <v>973</v>
      </c>
      <c r="R267" s="28" t="s">
        <v>974</v>
      </c>
    </row>
    <row r="268" spans="1:18" hidden="1">
      <c r="A268" s="28">
        <v>1</v>
      </c>
      <c r="B268" s="29" t="s">
        <v>379</v>
      </c>
      <c r="C268" s="29" t="s">
        <v>388</v>
      </c>
      <c r="D268" s="29" t="s">
        <v>381</v>
      </c>
      <c r="E268" s="29" t="s">
        <v>172</v>
      </c>
      <c r="F268" s="28" t="s">
        <v>969</v>
      </c>
      <c r="G268" s="28" t="s">
        <v>975</v>
      </c>
      <c r="H268" s="28" t="s">
        <v>384</v>
      </c>
      <c r="I268" s="28">
        <v>12</v>
      </c>
      <c r="J268" s="30">
        <v>2.3E-2</v>
      </c>
      <c r="K268" s="28" t="s">
        <v>248</v>
      </c>
      <c r="L268" s="31">
        <v>43070</v>
      </c>
      <c r="M268" s="28">
        <v>12</v>
      </c>
      <c r="N268" s="32" t="s">
        <v>176</v>
      </c>
      <c r="O268" s="28" t="s">
        <v>204</v>
      </c>
      <c r="P268" s="28" t="s">
        <v>976</v>
      </c>
      <c r="Q268" s="28" t="s">
        <v>977</v>
      </c>
      <c r="R268" s="28" t="s">
        <v>978</v>
      </c>
    </row>
    <row r="269" spans="1:18" hidden="1">
      <c r="A269" s="28">
        <v>1</v>
      </c>
      <c r="B269" s="29" t="s">
        <v>379</v>
      </c>
      <c r="C269" s="29" t="s">
        <v>388</v>
      </c>
      <c r="D269" s="29" t="s">
        <v>381</v>
      </c>
      <c r="E269" s="29" t="s">
        <v>172</v>
      </c>
      <c r="F269" s="28" t="s">
        <v>969</v>
      </c>
      <c r="G269" s="28" t="s">
        <v>970</v>
      </c>
      <c r="H269" s="28" t="s">
        <v>384</v>
      </c>
      <c r="I269" s="28">
        <v>5</v>
      </c>
      <c r="J269" s="30">
        <v>4.9000000000000002E-2</v>
      </c>
      <c r="K269" s="28" t="s">
        <v>473</v>
      </c>
      <c r="L269" s="31">
        <v>43160</v>
      </c>
      <c r="M269" s="28">
        <v>3</v>
      </c>
      <c r="N269" s="32" t="s">
        <v>191</v>
      </c>
      <c r="O269" s="28" t="s">
        <v>185</v>
      </c>
      <c r="P269" s="28" t="s">
        <v>979</v>
      </c>
      <c r="Q269" s="28" t="s">
        <v>980</v>
      </c>
      <c r="R269" s="28" t="s">
        <v>981</v>
      </c>
    </row>
    <row r="270" spans="1:18" hidden="1">
      <c r="A270" s="28">
        <v>1</v>
      </c>
      <c r="B270" s="29" t="s">
        <v>379</v>
      </c>
      <c r="C270" s="29" t="s">
        <v>388</v>
      </c>
      <c r="D270" s="29" t="s">
        <v>389</v>
      </c>
      <c r="E270" s="29" t="s">
        <v>172</v>
      </c>
      <c r="F270" s="28" t="s">
        <v>969</v>
      </c>
      <c r="G270" s="28" t="s">
        <v>970</v>
      </c>
      <c r="H270" s="28" t="s">
        <v>384</v>
      </c>
      <c r="I270" s="28">
        <v>5</v>
      </c>
      <c r="J270" s="30">
        <v>4.9000000000000002E-2</v>
      </c>
      <c r="K270" s="28" t="s">
        <v>982</v>
      </c>
      <c r="L270" s="31">
        <v>41609</v>
      </c>
      <c r="M270" s="28">
        <v>12</v>
      </c>
      <c r="N270" s="32" t="s">
        <v>176</v>
      </c>
      <c r="O270" s="28" t="s">
        <v>204</v>
      </c>
      <c r="P270" s="28" t="s">
        <v>983</v>
      </c>
      <c r="Q270" s="28" t="s">
        <v>984</v>
      </c>
      <c r="R270" s="28" t="s">
        <v>985</v>
      </c>
    </row>
    <row r="271" spans="1:18" hidden="1">
      <c r="A271" s="28">
        <v>1</v>
      </c>
      <c r="B271" s="29" t="s">
        <v>379</v>
      </c>
      <c r="C271" s="29" t="s">
        <v>388</v>
      </c>
      <c r="D271" s="29" t="s">
        <v>389</v>
      </c>
      <c r="E271" s="29" t="s">
        <v>172</v>
      </c>
      <c r="F271" s="28" t="s">
        <v>969</v>
      </c>
      <c r="G271" s="28" t="s">
        <v>970</v>
      </c>
      <c r="H271" s="28" t="s">
        <v>384</v>
      </c>
      <c r="I271" s="28">
        <v>5</v>
      </c>
      <c r="J271" s="30">
        <v>4.9000000000000002E-2</v>
      </c>
      <c r="K271" s="28" t="s">
        <v>271</v>
      </c>
      <c r="L271" s="31">
        <v>42856</v>
      </c>
      <c r="M271" s="28">
        <v>5</v>
      </c>
      <c r="N271" s="32" t="s">
        <v>191</v>
      </c>
      <c r="O271" s="28" t="s">
        <v>177</v>
      </c>
      <c r="P271" s="28" t="s">
        <v>986</v>
      </c>
      <c r="Q271" s="28" t="s">
        <v>987</v>
      </c>
      <c r="R271" s="28" t="s">
        <v>985</v>
      </c>
    </row>
    <row r="272" spans="1:18" hidden="1">
      <c r="A272" s="28">
        <v>1</v>
      </c>
      <c r="B272" s="29" t="s">
        <v>379</v>
      </c>
      <c r="C272" s="29" t="s">
        <v>388</v>
      </c>
      <c r="D272" s="29" t="s">
        <v>389</v>
      </c>
      <c r="E272" s="29" t="s">
        <v>172</v>
      </c>
      <c r="F272" s="28" t="s">
        <v>969</v>
      </c>
      <c r="G272" s="28" t="s">
        <v>970</v>
      </c>
      <c r="H272" s="28" t="s">
        <v>384</v>
      </c>
      <c r="I272" s="28">
        <v>5</v>
      </c>
      <c r="J272" s="30">
        <v>4.9000000000000002E-2</v>
      </c>
      <c r="K272" s="28" t="s">
        <v>435</v>
      </c>
      <c r="L272" s="31">
        <v>43040</v>
      </c>
      <c r="M272" s="28">
        <v>11</v>
      </c>
      <c r="N272" s="32" t="s">
        <v>191</v>
      </c>
      <c r="O272" s="28" t="s">
        <v>794</v>
      </c>
      <c r="P272" s="28" t="s">
        <v>988</v>
      </c>
      <c r="Q272" s="28" t="s">
        <v>989</v>
      </c>
      <c r="R272" s="28" t="s">
        <v>990</v>
      </c>
    </row>
    <row r="273" spans="1:18" hidden="1">
      <c r="A273" s="28">
        <v>1</v>
      </c>
      <c r="B273" s="29" t="s">
        <v>379</v>
      </c>
      <c r="C273" s="29" t="s">
        <v>388</v>
      </c>
      <c r="D273" s="29" t="s">
        <v>389</v>
      </c>
      <c r="E273" s="29" t="s">
        <v>172</v>
      </c>
      <c r="F273" s="28" t="s">
        <v>969</v>
      </c>
      <c r="G273" s="28" t="s">
        <v>970</v>
      </c>
      <c r="H273" s="28" t="s">
        <v>384</v>
      </c>
      <c r="I273" s="28">
        <v>5</v>
      </c>
      <c r="J273" s="30">
        <v>4.9000000000000002E-2</v>
      </c>
      <c r="K273" s="28" t="s">
        <v>278</v>
      </c>
      <c r="L273" s="31">
        <v>43525</v>
      </c>
      <c r="M273" s="28">
        <v>3</v>
      </c>
      <c r="N273" s="32" t="s">
        <v>191</v>
      </c>
      <c r="O273" s="28" t="s">
        <v>185</v>
      </c>
      <c r="P273" s="28" t="s">
        <v>991</v>
      </c>
      <c r="Q273" s="28" t="s">
        <v>992</v>
      </c>
      <c r="R273" s="28" t="s">
        <v>985</v>
      </c>
    </row>
    <row r="274" spans="1:18" hidden="1">
      <c r="A274" s="28">
        <v>1</v>
      </c>
      <c r="B274" s="29" t="s">
        <v>379</v>
      </c>
      <c r="C274" s="29" t="s">
        <v>388</v>
      </c>
      <c r="D274" s="29" t="s">
        <v>389</v>
      </c>
      <c r="E274" s="29" t="s">
        <v>172</v>
      </c>
      <c r="F274" s="28" t="s">
        <v>969</v>
      </c>
      <c r="G274" s="28" t="s">
        <v>970</v>
      </c>
      <c r="H274" s="28" t="s">
        <v>384</v>
      </c>
      <c r="I274" s="28">
        <v>5</v>
      </c>
      <c r="J274" s="30">
        <v>4.9000000000000002E-2</v>
      </c>
      <c r="K274" s="28" t="s">
        <v>328</v>
      </c>
      <c r="L274" s="31">
        <v>43891</v>
      </c>
      <c r="M274" s="28">
        <v>3</v>
      </c>
      <c r="N274" s="32" t="s">
        <v>191</v>
      </c>
      <c r="O274" s="28" t="s">
        <v>794</v>
      </c>
      <c r="P274" s="28" t="s">
        <v>993</v>
      </c>
      <c r="Q274" s="28" t="s">
        <v>994</v>
      </c>
      <c r="R274" s="28" t="s">
        <v>990</v>
      </c>
    </row>
    <row r="275" spans="1:18" hidden="1">
      <c r="A275" s="28">
        <v>1</v>
      </c>
      <c r="B275" s="29" t="s">
        <v>379</v>
      </c>
      <c r="C275" s="29" t="s">
        <v>388</v>
      </c>
      <c r="D275" s="29" t="s">
        <v>389</v>
      </c>
      <c r="E275" s="29" t="s">
        <v>172</v>
      </c>
      <c r="F275" s="28" t="s">
        <v>969</v>
      </c>
      <c r="G275" s="28" t="s">
        <v>970</v>
      </c>
      <c r="H275" s="28" t="s">
        <v>384</v>
      </c>
      <c r="I275" s="28">
        <v>5</v>
      </c>
      <c r="J275" s="30">
        <v>4.9000000000000002E-2</v>
      </c>
      <c r="K275" s="28" t="s">
        <v>190</v>
      </c>
      <c r="L275" s="31">
        <v>44287</v>
      </c>
      <c r="M275" s="28">
        <v>4</v>
      </c>
      <c r="N275" s="32" t="s">
        <v>191</v>
      </c>
      <c r="O275" s="28" t="s">
        <v>185</v>
      </c>
      <c r="P275" s="28" t="s">
        <v>995</v>
      </c>
      <c r="Q275" s="28" t="s">
        <v>992</v>
      </c>
      <c r="R275" s="28" t="s">
        <v>985</v>
      </c>
    </row>
    <row r="276" spans="1:18" hidden="1">
      <c r="A276" s="28">
        <v>1</v>
      </c>
      <c r="B276" s="29" t="s">
        <v>379</v>
      </c>
      <c r="C276" s="29" t="s">
        <v>388</v>
      </c>
      <c r="D276" s="29" t="s">
        <v>389</v>
      </c>
      <c r="E276" s="29" t="s">
        <v>172</v>
      </c>
      <c r="F276" s="28" t="s">
        <v>969</v>
      </c>
      <c r="G276" s="28" t="s">
        <v>970</v>
      </c>
      <c r="H276" s="28" t="s">
        <v>384</v>
      </c>
      <c r="I276" s="28">
        <v>5</v>
      </c>
      <c r="J276" s="30">
        <v>4.9000000000000002E-2</v>
      </c>
      <c r="K276" s="28" t="s">
        <v>554</v>
      </c>
      <c r="L276" s="31">
        <v>44317</v>
      </c>
      <c r="M276" s="28">
        <v>5</v>
      </c>
      <c r="N276" s="32" t="s">
        <v>191</v>
      </c>
      <c r="O276" s="28" t="s">
        <v>185</v>
      </c>
      <c r="P276" s="28" t="s">
        <v>996</v>
      </c>
      <c r="Q276" s="28" t="s">
        <v>997</v>
      </c>
      <c r="R276" s="28" t="s">
        <v>998</v>
      </c>
    </row>
    <row r="277" spans="1:18" hidden="1">
      <c r="A277" s="28">
        <v>1</v>
      </c>
      <c r="B277" s="29" t="s">
        <v>379</v>
      </c>
      <c r="C277" s="29" t="s">
        <v>388</v>
      </c>
      <c r="D277" s="29" t="s">
        <v>999</v>
      </c>
      <c r="E277" s="29" t="s">
        <v>172</v>
      </c>
      <c r="F277" s="28" t="s">
        <v>969</v>
      </c>
      <c r="G277" s="28" t="s">
        <v>1000</v>
      </c>
      <c r="H277" s="28" t="s">
        <v>384</v>
      </c>
      <c r="I277" s="28">
        <v>9</v>
      </c>
      <c r="J277" s="30">
        <v>3.4000000000000002E-2</v>
      </c>
      <c r="K277" s="28" t="s">
        <v>243</v>
      </c>
      <c r="L277" s="31">
        <v>42461</v>
      </c>
      <c r="M277" s="28">
        <v>4</v>
      </c>
      <c r="N277" s="32" t="s">
        <v>191</v>
      </c>
      <c r="O277" s="28" t="s">
        <v>185</v>
      </c>
      <c r="P277" s="28" t="s">
        <v>1001</v>
      </c>
      <c r="Q277" s="28" t="s">
        <v>1002</v>
      </c>
      <c r="R277" s="28" t="s">
        <v>1003</v>
      </c>
    </row>
    <row r="278" spans="1:18" hidden="1">
      <c r="A278" s="28">
        <v>1</v>
      </c>
      <c r="B278" s="29" t="s">
        <v>379</v>
      </c>
      <c r="C278" s="29" t="s">
        <v>388</v>
      </c>
      <c r="D278" s="29" t="s">
        <v>999</v>
      </c>
      <c r="E278" s="29" t="s">
        <v>172</v>
      </c>
      <c r="F278" s="28" t="s">
        <v>969</v>
      </c>
      <c r="G278" s="28" t="s">
        <v>970</v>
      </c>
      <c r="H278" s="28" t="s">
        <v>384</v>
      </c>
      <c r="I278" s="28">
        <v>5</v>
      </c>
      <c r="J278" s="30">
        <v>4.9000000000000002E-2</v>
      </c>
      <c r="K278" s="28" t="s">
        <v>257</v>
      </c>
      <c r="L278" s="31">
        <v>42552</v>
      </c>
      <c r="M278" s="28">
        <v>7</v>
      </c>
      <c r="N278" s="32" t="s">
        <v>184</v>
      </c>
      <c r="O278" s="28" t="s">
        <v>185</v>
      </c>
      <c r="P278" s="28" t="s">
        <v>1004</v>
      </c>
      <c r="Q278" s="28" t="s">
        <v>1005</v>
      </c>
      <c r="R278" s="28" t="s">
        <v>1006</v>
      </c>
    </row>
    <row r="279" spans="1:18" hidden="1">
      <c r="A279" s="28">
        <v>1</v>
      </c>
      <c r="B279" s="29" t="s">
        <v>379</v>
      </c>
      <c r="C279" s="29" t="s">
        <v>388</v>
      </c>
      <c r="D279" s="29" t="s">
        <v>999</v>
      </c>
      <c r="E279" s="29" t="s">
        <v>172</v>
      </c>
      <c r="F279" s="28" t="s">
        <v>969</v>
      </c>
      <c r="G279" s="28" t="s">
        <v>1007</v>
      </c>
      <c r="H279" s="28" t="s">
        <v>174</v>
      </c>
      <c r="I279" s="28" t="s">
        <v>174</v>
      </c>
      <c r="J279" s="30" t="s">
        <v>174</v>
      </c>
      <c r="K279" s="28" t="s">
        <v>198</v>
      </c>
      <c r="L279" s="31">
        <v>42767</v>
      </c>
      <c r="M279" s="28">
        <v>2</v>
      </c>
      <c r="N279" s="32" t="s">
        <v>176</v>
      </c>
      <c r="O279" s="28" t="s">
        <v>177</v>
      </c>
      <c r="P279" s="28" t="s">
        <v>1008</v>
      </c>
      <c r="Q279" s="28" t="s">
        <v>1009</v>
      </c>
      <c r="R279" s="28" t="s">
        <v>1010</v>
      </c>
    </row>
    <row r="280" spans="1:18" hidden="1">
      <c r="A280" s="28">
        <v>1</v>
      </c>
      <c r="B280" s="29" t="s">
        <v>379</v>
      </c>
      <c r="C280" s="29" t="s">
        <v>388</v>
      </c>
      <c r="D280" s="29" t="s">
        <v>999</v>
      </c>
      <c r="E280" s="29" t="s">
        <v>172</v>
      </c>
      <c r="F280" s="28" t="s">
        <v>969</v>
      </c>
      <c r="G280" s="28" t="s">
        <v>975</v>
      </c>
      <c r="H280" s="28" t="s">
        <v>384</v>
      </c>
      <c r="I280" s="28">
        <v>12</v>
      </c>
      <c r="J280" s="30">
        <v>2.3E-2</v>
      </c>
      <c r="K280" s="28" t="s">
        <v>289</v>
      </c>
      <c r="L280" s="31">
        <v>42795</v>
      </c>
      <c r="M280" s="28">
        <v>3</v>
      </c>
      <c r="N280" s="32" t="s">
        <v>191</v>
      </c>
      <c r="O280" s="28" t="s">
        <v>185</v>
      </c>
      <c r="P280" s="28" t="s">
        <v>1011</v>
      </c>
      <c r="Q280" s="28" t="s">
        <v>1012</v>
      </c>
      <c r="R280" s="28" t="s">
        <v>1013</v>
      </c>
    </row>
    <row r="281" spans="1:18" hidden="1">
      <c r="A281" s="28">
        <v>1</v>
      </c>
      <c r="B281" s="29" t="s">
        <v>379</v>
      </c>
      <c r="C281" s="29" t="s">
        <v>388</v>
      </c>
      <c r="D281" s="29" t="s">
        <v>999</v>
      </c>
      <c r="E281" s="29" t="s">
        <v>172</v>
      </c>
      <c r="F281" s="28" t="s">
        <v>969</v>
      </c>
      <c r="G281" s="28" t="s">
        <v>1007</v>
      </c>
      <c r="H281" s="28" t="s">
        <v>174</v>
      </c>
      <c r="I281" s="28" t="s">
        <v>174</v>
      </c>
      <c r="J281" s="30" t="s">
        <v>174</v>
      </c>
      <c r="K281" s="28" t="s">
        <v>742</v>
      </c>
      <c r="L281" s="31">
        <v>42948</v>
      </c>
      <c r="M281" s="28">
        <v>8</v>
      </c>
      <c r="N281" s="32" t="s">
        <v>184</v>
      </c>
      <c r="O281" s="28" t="s">
        <v>185</v>
      </c>
      <c r="P281" s="28" t="s">
        <v>1014</v>
      </c>
      <c r="Q281" s="28" t="s">
        <v>1012</v>
      </c>
      <c r="R281" s="28" t="s">
        <v>1013</v>
      </c>
    </row>
    <row r="282" spans="1:18" hidden="1">
      <c r="A282" s="28">
        <v>1</v>
      </c>
      <c r="B282" s="29" t="s">
        <v>379</v>
      </c>
      <c r="C282" s="29" t="s">
        <v>388</v>
      </c>
      <c r="D282" s="29" t="s">
        <v>999</v>
      </c>
      <c r="E282" s="29" t="s">
        <v>172</v>
      </c>
      <c r="F282" s="28" t="s">
        <v>969</v>
      </c>
      <c r="G282" s="28" t="s">
        <v>1000</v>
      </c>
      <c r="H282" s="28" t="s">
        <v>384</v>
      </c>
      <c r="I282" s="28">
        <v>9</v>
      </c>
      <c r="J282" s="30">
        <v>3.4000000000000002E-2</v>
      </c>
      <c r="K282" s="28" t="s">
        <v>813</v>
      </c>
      <c r="L282" s="31">
        <v>43009</v>
      </c>
      <c r="M282" s="28">
        <v>10</v>
      </c>
      <c r="N282" s="32" t="s">
        <v>191</v>
      </c>
      <c r="O282" s="28" t="s">
        <v>185</v>
      </c>
      <c r="P282" s="28" t="s">
        <v>1015</v>
      </c>
      <c r="Q282" s="28" t="s">
        <v>1016</v>
      </c>
      <c r="R282" s="28" t="s">
        <v>1003</v>
      </c>
    </row>
    <row r="283" spans="1:18" hidden="1">
      <c r="A283" s="28">
        <v>1</v>
      </c>
      <c r="B283" s="29" t="s">
        <v>379</v>
      </c>
      <c r="C283" s="29" t="s">
        <v>388</v>
      </c>
      <c r="D283" s="29" t="s">
        <v>999</v>
      </c>
      <c r="E283" s="29" t="s">
        <v>172</v>
      </c>
      <c r="F283" s="28" t="s">
        <v>969</v>
      </c>
      <c r="G283" s="28" t="s">
        <v>1000</v>
      </c>
      <c r="H283" s="28" t="s">
        <v>384</v>
      </c>
      <c r="I283" s="28">
        <v>9</v>
      </c>
      <c r="J283" s="30">
        <v>3.4000000000000002E-2</v>
      </c>
      <c r="K283" s="28" t="s">
        <v>435</v>
      </c>
      <c r="L283" s="31">
        <v>43040</v>
      </c>
      <c r="M283" s="28">
        <v>11</v>
      </c>
      <c r="N283" s="32" t="s">
        <v>191</v>
      </c>
      <c r="O283" s="28" t="s">
        <v>185</v>
      </c>
      <c r="P283" s="28" t="s">
        <v>1017</v>
      </c>
      <c r="Q283" s="28" t="s">
        <v>1002</v>
      </c>
      <c r="R283" s="28" t="s">
        <v>1003</v>
      </c>
    </row>
    <row r="284" spans="1:18" hidden="1">
      <c r="A284" s="28">
        <v>1</v>
      </c>
      <c r="B284" s="29" t="s">
        <v>379</v>
      </c>
      <c r="C284" s="29" t="s">
        <v>388</v>
      </c>
      <c r="D284" s="29" t="s">
        <v>999</v>
      </c>
      <c r="E284" s="29" t="s">
        <v>172</v>
      </c>
      <c r="F284" s="28" t="s">
        <v>969</v>
      </c>
      <c r="G284" s="28" t="s">
        <v>970</v>
      </c>
      <c r="H284" s="28" t="s">
        <v>384</v>
      </c>
      <c r="I284" s="28">
        <v>5</v>
      </c>
      <c r="J284" s="30">
        <v>4.9000000000000002E-2</v>
      </c>
      <c r="K284" s="28" t="s">
        <v>248</v>
      </c>
      <c r="L284" s="31">
        <v>43070</v>
      </c>
      <c r="M284" s="28">
        <v>12</v>
      </c>
      <c r="N284" s="32" t="s">
        <v>176</v>
      </c>
      <c r="O284" s="28" t="s">
        <v>204</v>
      </c>
      <c r="P284" s="28" t="s">
        <v>1018</v>
      </c>
      <c r="Q284" s="28" t="s">
        <v>1019</v>
      </c>
      <c r="R284" s="28" t="s">
        <v>1006</v>
      </c>
    </row>
    <row r="285" spans="1:18" hidden="1">
      <c r="A285" s="28">
        <v>1</v>
      </c>
      <c r="B285" s="29" t="s">
        <v>379</v>
      </c>
      <c r="C285" s="29" t="s">
        <v>388</v>
      </c>
      <c r="D285" s="29" t="s">
        <v>999</v>
      </c>
      <c r="E285" s="29" t="s">
        <v>172</v>
      </c>
      <c r="F285" s="28" t="s">
        <v>969</v>
      </c>
      <c r="G285" s="28" t="s">
        <v>1000</v>
      </c>
      <c r="H285" s="28" t="s">
        <v>384</v>
      </c>
      <c r="I285" s="28">
        <v>9</v>
      </c>
      <c r="J285" s="30">
        <v>3.4000000000000002E-2</v>
      </c>
      <c r="K285" s="28" t="s">
        <v>208</v>
      </c>
      <c r="L285" s="31">
        <v>43101</v>
      </c>
      <c r="M285" s="28">
        <v>1</v>
      </c>
      <c r="N285" s="32" t="s">
        <v>176</v>
      </c>
      <c r="O285" s="28" t="s">
        <v>204</v>
      </c>
      <c r="P285" s="28" t="s">
        <v>1020</v>
      </c>
      <c r="Q285" s="28" t="s">
        <v>1021</v>
      </c>
      <c r="R285" s="28" t="s">
        <v>1022</v>
      </c>
    </row>
    <row r="286" spans="1:18" hidden="1">
      <c r="A286" s="28">
        <v>1</v>
      </c>
      <c r="B286" s="29" t="s">
        <v>379</v>
      </c>
      <c r="C286" s="29" t="s">
        <v>388</v>
      </c>
      <c r="D286" s="29" t="s">
        <v>999</v>
      </c>
      <c r="E286" s="29" t="s">
        <v>172</v>
      </c>
      <c r="F286" s="28" t="s">
        <v>969</v>
      </c>
      <c r="G286" s="28" t="s">
        <v>1000</v>
      </c>
      <c r="H286" s="28" t="s">
        <v>384</v>
      </c>
      <c r="I286" s="28">
        <v>9</v>
      </c>
      <c r="J286" s="30">
        <v>3.4000000000000002E-2</v>
      </c>
      <c r="K286" s="28" t="s">
        <v>212</v>
      </c>
      <c r="L286" s="31">
        <v>43313</v>
      </c>
      <c r="M286" s="28">
        <v>8</v>
      </c>
      <c r="N286" s="32" t="s">
        <v>184</v>
      </c>
      <c r="O286" s="28" t="s">
        <v>204</v>
      </c>
      <c r="P286" s="28" t="s">
        <v>1023</v>
      </c>
      <c r="Q286" s="28" t="s">
        <v>1024</v>
      </c>
      <c r="R286" s="28" t="s">
        <v>1025</v>
      </c>
    </row>
    <row r="287" spans="1:18" hidden="1">
      <c r="A287" s="28">
        <v>1</v>
      </c>
      <c r="B287" s="29" t="s">
        <v>379</v>
      </c>
      <c r="C287" s="29" t="s">
        <v>388</v>
      </c>
      <c r="D287" s="29" t="s">
        <v>999</v>
      </c>
      <c r="E287" s="29" t="s">
        <v>172</v>
      </c>
      <c r="F287" s="28" t="s">
        <v>969</v>
      </c>
      <c r="G287" s="28" t="s">
        <v>1000</v>
      </c>
      <c r="H287" s="28" t="s">
        <v>384</v>
      </c>
      <c r="I287" s="28">
        <v>9</v>
      </c>
      <c r="J287" s="30">
        <v>3.4000000000000002E-2</v>
      </c>
      <c r="K287" s="28" t="s">
        <v>212</v>
      </c>
      <c r="L287" s="31">
        <v>43313</v>
      </c>
      <c r="M287" s="28">
        <v>8</v>
      </c>
      <c r="N287" s="32" t="s">
        <v>184</v>
      </c>
      <c r="O287" s="28" t="s">
        <v>185</v>
      </c>
      <c r="P287" s="28" t="s">
        <v>1026</v>
      </c>
      <c r="Q287" s="28" t="s">
        <v>1027</v>
      </c>
      <c r="R287" s="28" t="s">
        <v>1003</v>
      </c>
    </row>
    <row r="288" spans="1:18" hidden="1">
      <c r="A288" s="28">
        <v>1</v>
      </c>
      <c r="B288" s="29" t="s">
        <v>379</v>
      </c>
      <c r="C288" s="29" t="s">
        <v>388</v>
      </c>
      <c r="D288" s="29" t="s">
        <v>999</v>
      </c>
      <c r="E288" s="29" t="s">
        <v>172</v>
      </c>
      <c r="F288" s="28" t="s">
        <v>969</v>
      </c>
      <c r="G288" s="28" t="s">
        <v>1000</v>
      </c>
      <c r="H288" s="28" t="s">
        <v>384</v>
      </c>
      <c r="I288" s="28">
        <v>9</v>
      </c>
      <c r="J288" s="30">
        <v>3.4000000000000002E-2</v>
      </c>
      <c r="K288" s="28" t="s">
        <v>293</v>
      </c>
      <c r="L288" s="31">
        <v>43374</v>
      </c>
      <c r="M288" s="28">
        <v>10</v>
      </c>
      <c r="N288" s="32" t="s">
        <v>191</v>
      </c>
      <c r="O288" s="28" t="s">
        <v>794</v>
      </c>
      <c r="P288" s="28" t="s">
        <v>1028</v>
      </c>
      <c r="Q288" s="28" t="s">
        <v>1029</v>
      </c>
      <c r="R288" s="28" t="s">
        <v>1030</v>
      </c>
    </row>
    <row r="289" spans="1:18" hidden="1">
      <c r="A289" s="28">
        <v>1</v>
      </c>
      <c r="B289" s="29" t="s">
        <v>379</v>
      </c>
      <c r="C289" s="29" t="s">
        <v>388</v>
      </c>
      <c r="D289" s="29" t="s">
        <v>999</v>
      </c>
      <c r="E289" s="29" t="s">
        <v>172</v>
      </c>
      <c r="F289" s="28" t="s">
        <v>969</v>
      </c>
      <c r="G289" s="28" t="s">
        <v>1000</v>
      </c>
      <c r="H289" s="28" t="s">
        <v>384</v>
      </c>
      <c r="I289" s="28">
        <v>9</v>
      </c>
      <c r="J289" s="30">
        <v>3.4000000000000002E-2</v>
      </c>
      <c r="K289" s="28" t="s">
        <v>501</v>
      </c>
      <c r="L289" s="31">
        <v>43405</v>
      </c>
      <c r="M289" s="28">
        <v>11</v>
      </c>
      <c r="N289" s="32" t="s">
        <v>191</v>
      </c>
      <c r="O289" s="28" t="s">
        <v>185</v>
      </c>
      <c r="P289" s="28" t="s">
        <v>1031</v>
      </c>
      <c r="Q289" s="28" t="s">
        <v>1032</v>
      </c>
      <c r="R289" s="28" t="s">
        <v>1003</v>
      </c>
    </row>
    <row r="290" spans="1:18" hidden="1">
      <c r="A290" s="28">
        <v>1</v>
      </c>
      <c r="B290" s="29" t="s">
        <v>379</v>
      </c>
      <c r="C290" s="29" t="s">
        <v>388</v>
      </c>
      <c r="D290" s="29" t="s">
        <v>999</v>
      </c>
      <c r="E290" s="29" t="s">
        <v>172</v>
      </c>
      <c r="F290" s="28" t="s">
        <v>969</v>
      </c>
      <c r="G290" s="28" t="s">
        <v>970</v>
      </c>
      <c r="H290" s="28" t="s">
        <v>384</v>
      </c>
      <c r="I290" s="28">
        <v>5</v>
      </c>
      <c r="J290" s="30">
        <v>4.9000000000000002E-2</v>
      </c>
      <c r="K290" s="28" t="s">
        <v>844</v>
      </c>
      <c r="L290" s="31">
        <v>43586</v>
      </c>
      <c r="M290" s="28">
        <v>5</v>
      </c>
      <c r="N290" s="32" t="s">
        <v>191</v>
      </c>
      <c r="O290" s="28" t="s">
        <v>794</v>
      </c>
      <c r="P290" s="28" t="s">
        <v>1033</v>
      </c>
      <c r="Q290" s="28" t="s">
        <v>1034</v>
      </c>
      <c r="R290" s="28" t="s">
        <v>1006</v>
      </c>
    </row>
    <row r="291" spans="1:18" hidden="1">
      <c r="A291" s="28">
        <v>1</v>
      </c>
      <c r="B291" s="29" t="s">
        <v>379</v>
      </c>
      <c r="C291" s="29" t="s">
        <v>388</v>
      </c>
      <c r="D291" s="29" t="s">
        <v>999</v>
      </c>
      <c r="E291" s="29" t="s">
        <v>172</v>
      </c>
      <c r="F291" s="28" t="s">
        <v>969</v>
      </c>
      <c r="G291" s="28" t="s">
        <v>1000</v>
      </c>
      <c r="H291" s="28" t="s">
        <v>384</v>
      </c>
      <c r="I291" s="28">
        <v>9</v>
      </c>
      <c r="J291" s="30">
        <v>3.4000000000000002E-2</v>
      </c>
      <c r="K291" s="28" t="s">
        <v>643</v>
      </c>
      <c r="L291" s="31">
        <v>44013</v>
      </c>
      <c r="M291" s="28">
        <v>7</v>
      </c>
      <c r="N291" s="32" t="s">
        <v>184</v>
      </c>
      <c r="O291" s="28" t="s">
        <v>794</v>
      </c>
      <c r="P291" s="28" t="s">
        <v>1035</v>
      </c>
      <c r="Q291" s="28" t="s">
        <v>1036</v>
      </c>
      <c r="R291" s="28" t="s">
        <v>1037</v>
      </c>
    </row>
    <row r="292" spans="1:18" hidden="1">
      <c r="A292" s="28">
        <v>1</v>
      </c>
      <c r="B292" s="29" t="s">
        <v>379</v>
      </c>
      <c r="C292" s="29" t="s">
        <v>388</v>
      </c>
      <c r="D292" s="29" t="s">
        <v>999</v>
      </c>
      <c r="E292" s="29" t="s">
        <v>172</v>
      </c>
      <c r="F292" s="28" t="s">
        <v>969</v>
      </c>
      <c r="G292" s="28" t="s">
        <v>970</v>
      </c>
      <c r="H292" s="28" t="s">
        <v>384</v>
      </c>
      <c r="I292" s="28">
        <v>5</v>
      </c>
      <c r="J292" s="30">
        <v>4.9000000000000002E-2</v>
      </c>
      <c r="K292" s="28" t="s">
        <v>730</v>
      </c>
      <c r="L292" s="31">
        <v>44166</v>
      </c>
      <c r="M292" s="28">
        <v>12</v>
      </c>
      <c r="N292" s="32" t="s">
        <v>176</v>
      </c>
      <c r="O292" s="28" t="s">
        <v>185</v>
      </c>
      <c r="P292" s="28" t="s">
        <v>1038</v>
      </c>
      <c r="Q292" s="28" t="s">
        <v>1039</v>
      </c>
      <c r="R292" s="28" t="s">
        <v>1006</v>
      </c>
    </row>
    <row r="293" spans="1:18" hidden="1">
      <c r="A293" s="28">
        <v>1</v>
      </c>
      <c r="B293" s="29" t="s">
        <v>379</v>
      </c>
      <c r="C293" s="29" t="s">
        <v>388</v>
      </c>
      <c r="D293" s="29" t="s">
        <v>999</v>
      </c>
      <c r="E293" s="29" t="s">
        <v>172</v>
      </c>
      <c r="F293" s="28" t="s">
        <v>969</v>
      </c>
      <c r="G293" s="28" t="s">
        <v>1000</v>
      </c>
      <c r="H293" s="28" t="s">
        <v>384</v>
      </c>
      <c r="I293" s="28">
        <v>9</v>
      </c>
      <c r="J293" s="30">
        <v>3.4000000000000002E-2</v>
      </c>
      <c r="K293" s="28" t="s">
        <v>341</v>
      </c>
      <c r="L293" s="31">
        <v>44228</v>
      </c>
      <c r="M293" s="28">
        <v>2</v>
      </c>
      <c r="N293" s="32" t="s">
        <v>176</v>
      </c>
      <c r="O293" s="28" t="s">
        <v>794</v>
      </c>
      <c r="P293" s="28" t="s">
        <v>1040</v>
      </c>
      <c r="Q293" s="28" t="s">
        <v>1041</v>
      </c>
      <c r="R293" s="28" t="s">
        <v>1003</v>
      </c>
    </row>
    <row r="294" spans="1:18" hidden="1">
      <c r="A294" s="28">
        <v>1</v>
      </c>
      <c r="B294" s="29" t="s">
        <v>379</v>
      </c>
      <c r="C294" s="29" t="s">
        <v>388</v>
      </c>
      <c r="D294" s="29" t="s">
        <v>999</v>
      </c>
      <c r="E294" s="29" t="s">
        <v>172</v>
      </c>
      <c r="F294" s="28" t="s">
        <v>969</v>
      </c>
      <c r="G294" s="28" t="s">
        <v>1000</v>
      </c>
      <c r="H294" s="28" t="s">
        <v>384</v>
      </c>
      <c r="I294" s="28">
        <v>9</v>
      </c>
      <c r="J294" s="30">
        <v>3.4000000000000002E-2</v>
      </c>
      <c r="K294" s="28" t="s">
        <v>190</v>
      </c>
      <c r="L294" s="31">
        <v>44287</v>
      </c>
      <c r="M294" s="28">
        <v>4</v>
      </c>
      <c r="N294" s="32" t="s">
        <v>191</v>
      </c>
      <c r="O294" s="28" t="s">
        <v>185</v>
      </c>
      <c r="P294" s="28" t="s">
        <v>1042</v>
      </c>
      <c r="Q294" s="28" t="s">
        <v>1016</v>
      </c>
      <c r="R294" s="28" t="s">
        <v>1003</v>
      </c>
    </row>
    <row r="295" spans="1:18" hidden="1">
      <c r="A295" s="28">
        <v>1</v>
      </c>
      <c r="B295" s="29" t="s">
        <v>379</v>
      </c>
      <c r="C295" s="29" t="s">
        <v>388</v>
      </c>
      <c r="D295" s="29" t="s">
        <v>999</v>
      </c>
      <c r="E295" s="29" t="s">
        <v>172</v>
      </c>
      <c r="F295" s="28" t="s">
        <v>969</v>
      </c>
      <c r="G295" s="28" t="s">
        <v>1000</v>
      </c>
      <c r="H295" s="28" t="s">
        <v>384</v>
      </c>
      <c r="I295" s="28">
        <v>9</v>
      </c>
      <c r="J295" s="30">
        <v>3.4000000000000002E-2</v>
      </c>
      <c r="K295" s="28" t="s">
        <v>670</v>
      </c>
      <c r="L295" s="31">
        <v>44501</v>
      </c>
      <c r="M295" s="28">
        <v>11</v>
      </c>
      <c r="N295" s="32" t="s">
        <v>191</v>
      </c>
      <c r="O295" s="28" t="s">
        <v>794</v>
      </c>
      <c r="P295" s="28" t="s">
        <v>1043</v>
      </c>
      <c r="Q295" s="28" t="s">
        <v>1044</v>
      </c>
      <c r="R295" s="28" t="s">
        <v>1045</v>
      </c>
    </row>
    <row r="296" spans="1:18" hidden="1">
      <c r="A296" s="28">
        <v>1</v>
      </c>
      <c r="B296" s="29" t="s">
        <v>379</v>
      </c>
      <c r="C296" s="29" t="s">
        <v>388</v>
      </c>
      <c r="D296" s="29" t="s">
        <v>999</v>
      </c>
      <c r="E296" s="29" t="s">
        <v>172</v>
      </c>
      <c r="F296" s="28" t="s">
        <v>969</v>
      </c>
      <c r="G296" s="28" t="s">
        <v>1000</v>
      </c>
      <c r="H296" s="28" t="s">
        <v>384</v>
      </c>
      <c r="I296" s="28">
        <v>9</v>
      </c>
      <c r="J296" s="30">
        <v>3.4000000000000002E-2</v>
      </c>
      <c r="K296" s="28" t="s">
        <v>670</v>
      </c>
      <c r="L296" s="31">
        <v>44501</v>
      </c>
      <c r="M296" s="28">
        <v>11</v>
      </c>
      <c r="N296" s="32" t="s">
        <v>191</v>
      </c>
      <c r="O296" s="28" t="s">
        <v>204</v>
      </c>
      <c r="P296" s="28" t="s">
        <v>1046</v>
      </c>
      <c r="Q296" s="28" t="s">
        <v>1047</v>
      </c>
      <c r="R296" s="28" t="s">
        <v>1022</v>
      </c>
    </row>
    <row r="297" spans="1:18" hidden="1">
      <c r="A297" s="28">
        <v>1</v>
      </c>
      <c r="B297" s="29" t="s">
        <v>379</v>
      </c>
      <c r="C297" s="29" t="s">
        <v>1048</v>
      </c>
      <c r="D297" s="29" t="s">
        <v>1049</v>
      </c>
      <c r="E297" s="29" t="s">
        <v>172</v>
      </c>
      <c r="F297" s="28" t="s">
        <v>969</v>
      </c>
      <c r="G297" s="28" t="s">
        <v>970</v>
      </c>
      <c r="H297" s="28" t="s">
        <v>384</v>
      </c>
      <c r="I297" s="28">
        <v>5</v>
      </c>
      <c r="J297" s="30">
        <v>4.9000000000000002E-2</v>
      </c>
      <c r="K297" s="28" t="s">
        <v>391</v>
      </c>
      <c r="L297" s="31">
        <v>42370</v>
      </c>
      <c r="M297" s="28">
        <v>1</v>
      </c>
      <c r="N297" s="32" t="s">
        <v>176</v>
      </c>
      <c r="O297" s="28" t="s">
        <v>185</v>
      </c>
      <c r="P297" s="28" t="s">
        <v>1050</v>
      </c>
      <c r="Q297" s="28" t="s">
        <v>1051</v>
      </c>
      <c r="R297" s="28" t="s">
        <v>1052</v>
      </c>
    </row>
    <row r="298" spans="1:18" hidden="1">
      <c r="A298" s="28">
        <v>1</v>
      </c>
      <c r="B298" s="29" t="s">
        <v>379</v>
      </c>
      <c r="C298" s="29" t="s">
        <v>1048</v>
      </c>
      <c r="D298" s="29" t="s">
        <v>1049</v>
      </c>
      <c r="E298" s="29" t="s">
        <v>172</v>
      </c>
      <c r="F298" s="28" t="s">
        <v>969</v>
      </c>
      <c r="G298" s="28" t="s">
        <v>970</v>
      </c>
      <c r="H298" s="28" t="s">
        <v>384</v>
      </c>
      <c r="I298" s="28">
        <v>5</v>
      </c>
      <c r="J298" s="30">
        <v>4.9000000000000002E-2</v>
      </c>
      <c r="K298" s="28" t="s">
        <v>257</v>
      </c>
      <c r="L298" s="31">
        <v>42552</v>
      </c>
      <c r="M298" s="28">
        <v>7</v>
      </c>
      <c r="N298" s="32" t="s">
        <v>184</v>
      </c>
      <c r="O298" s="28" t="s">
        <v>244</v>
      </c>
      <c r="P298" s="28" t="s">
        <v>1053</v>
      </c>
      <c r="Q298" s="28" t="s">
        <v>1054</v>
      </c>
      <c r="R298" s="28" t="s">
        <v>978</v>
      </c>
    </row>
    <row r="299" spans="1:18" hidden="1">
      <c r="A299" s="28">
        <v>1</v>
      </c>
      <c r="B299" s="29" t="s">
        <v>379</v>
      </c>
      <c r="C299" s="29" t="s">
        <v>1048</v>
      </c>
      <c r="D299" s="29" t="s">
        <v>1049</v>
      </c>
      <c r="E299" s="29" t="s">
        <v>172</v>
      </c>
      <c r="F299" s="28" t="s">
        <v>969</v>
      </c>
      <c r="G299" s="28" t="s">
        <v>975</v>
      </c>
      <c r="H299" s="28" t="s">
        <v>384</v>
      </c>
      <c r="I299" s="28">
        <v>12</v>
      </c>
      <c r="J299" s="30">
        <v>2.3E-2</v>
      </c>
      <c r="K299" s="28" t="s">
        <v>683</v>
      </c>
      <c r="L299" s="31">
        <v>43831</v>
      </c>
      <c r="M299" s="28">
        <v>1</v>
      </c>
      <c r="N299" s="32" t="s">
        <v>176</v>
      </c>
      <c r="O299" s="28" t="s">
        <v>244</v>
      </c>
      <c r="P299" s="28" t="s">
        <v>1055</v>
      </c>
      <c r="Q299" s="28" t="s">
        <v>1054</v>
      </c>
      <c r="R299" s="28" t="s">
        <v>1056</v>
      </c>
    </row>
    <row r="300" spans="1:18" hidden="1">
      <c r="A300" s="28">
        <v>1</v>
      </c>
      <c r="B300" s="29" t="s">
        <v>379</v>
      </c>
      <c r="C300" s="29" t="s">
        <v>1048</v>
      </c>
      <c r="D300" s="29" t="s">
        <v>1057</v>
      </c>
      <c r="E300" s="29" t="s">
        <v>172</v>
      </c>
      <c r="F300" s="28" t="s">
        <v>969</v>
      </c>
      <c r="G300" s="28" t="s">
        <v>970</v>
      </c>
      <c r="H300" s="28" t="s">
        <v>384</v>
      </c>
      <c r="I300" s="28">
        <v>5</v>
      </c>
      <c r="J300" s="30">
        <v>4.9000000000000002E-2</v>
      </c>
      <c r="K300" s="28" t="s">
        <v>651</v>
      </c>
      <c r="L300" s="31">
        <v>42644</v>
      </c>
      <c r="M300" s="28">
        <v>10</v>
      </c>
      <c r="N300" s="32" t="s">
        <v>191</v>
      </c>
      <c r="O300" s="28" t="s">
        <v>244</v>
      </c>
      <c r="P300" s="28" t="s">
        <v>1058</v>
      </c>
      <c r="Q300" s="28" t="s">
        <v>1054</v>
      </c>
      <c r="R300" s="28" t="s">
        <v>1059</v>
      </c>
    </row>
    <row r="301" spans="1:18" hidden="1">
      <c r="A301" s="28">
        <v>1</v>
      </c>
      <c r="B301" s="29" t="s">
        <v>379</v>
      </c>
      <c r="C301" s="29" t="s">
        <v>1048</v>
      </c>
      <c r="D301" s="29" t="s">
        <v>1057</v>
      </c>
      <c r="E301" s="29" t="s">
        <v>172</v>
      </c>
      <c r="F301" s="28" t="s">
        <v>969</v>
      </c>
      <c r="G301" s="28" t="s">
        <v>975</v>
      </c>
      <c r="H301" s="28" t="s">
        <v>384</v>
      </c>
      <c r="I301" s="28">
        <v>12</v>
      </c>
      <c r="J301" s="30">
        <v>2.3E-2</v>
      </c>
      <c r="K301" s="28" t="s">
        <v>198</v>
      </c>
      <c r="L301" s="31">
        <v>42767</v>
      </c>
      <c r="M301" s="28">
        <v>2</v>
      </c>
      <c r="N301" s="32" t="s">
        <v>176</v>
      </c>
      <c r="O301" s="28" t="s">
        <v>1060</v>
      </c>
      <c r="P301" s="28" t="s">
        <v>1061</v>
      </c>
      <c r="Q301" s="28" t="s">
        <v>1062</v>
      </c>
      <c r="R301" s="28" t="s">
        <v>1063</v>
      </c>
    </row>
    <row r="302" spans="1:18" hidden="1">
      <c r="A302" s="28">
        <v>1</v>
      </c>
      <c r="B302" s="29" t="s">
        <v>379</v>
      </c>
      <c r="C302" s="29" t="s">
        <v>1048</v>
      </c>
      <c r="D302" s="29" t="s">
        <v>1057</v>
      </c>
      <c r="E302" s="29" t="s">
        <v>172</v>
      </c>
      <c r="F302" s="28" t="s">
        <v>969</v>
      </c>
      <c r="G302" s="28" t="s">
        <v>1064</v>
      </c>
      <c r="H302" s="28" t="s">
        <v>174</v>
      </c>
      <c r="I302" s="28" t="s">
        <v>174</v>
      </c>
      <c r="J302" s="30" t="s">
        <v>174</v>
      </c>
      <c r="K302" s="28" t="s">
        <v>198</v>
      </c>
      <c r="L302" s="31">
        <v>42767</v>
      </c>
      <c r="M302" s="28">
        <v>2</v>
      </c>
      <c r="N302" s="32" t="s">
        <v>176</v>
      </c>
      <c r="O302" s="28" t="s">
        <v>177</v>
      </c>
      <c r="P302" s="28" t="s">
        <v>1065</v>
      </c>
      <c r="Q302" s="28" t="s">
        <v>1066</v>
      </c>
      <c r="R302" s="28" t="s">
        <v>1067</v>
      </c>
    </row>
    <row r="303" spans="1:18" hidden="1">
      <c r="A303" s="28">
        <v>1</v>
      </c>
      <c r="B303" s="29" t="s">
        <v>379</v>
      </c>
      <c r="C303" s="29" t="s">
        <v>1048</v>
      </c>
      <c r="D303" s="29" t="s">
        <v>1057</v>
      </c>
      <c r="E303" s="29" t="s">
        <v>172</v>
      </c>
      <c r="F303" s="28" t="s">
        <v>969</v>
      </c>
      <c r="G303" s="28" t="s">
        <v>1064</v>
      </c>
      <c r="H303" s="28" t="s">
        <v>174</v>
      </c>
      <c r="I303" s="28" t="s">
        <v>174</v>
      </c>
      <c r="J303" s="30" t="s">
        <v>174</v>
      </c>
      <c r="K303" s="28" t="s">
        <v>198</v>
      </c>
      <c r="L303" s="31">
        <v>42767</v>
      </c>
      <c r="M303" s="28">
        <v>2</v>
      </c>
      <c r="N303" s="32" t="s">
        <v>176</v>
      </c>
      <c r="O303" s="28" t="s">
        <v>244</v>
      </c>
      <c r="P303" s="28" t="s">
        <v>1068</v>
      </c>
      <c r="Q303" s="28" t="s">
        <v>1069</v>
      </c>
      <c r="R303" s="28" t="s">
        <v>1059</v>
      </c>
    </row>
    <row r="304" spans="1:18" hidden="1">
      <c r="A304" s="28">
        <v>1</v>
      </c>
      <c r="B304" s="29" t="s">
        <v>379</v>
      </c>
      <c r="C304" s="29" t="s">
        <v>1048</v>
      </c>
      <c r="D304" s="29" t="s">
        <v>1057</v>
      </c>
      <c r="E304" s="29" t="s">
        <v>172</v>
      </c>
      <c r="F304" s="28" t="s">
        <v>969</v>
      </c>
      <c r="G304" s="28" t="s">
        <v>970</v>
      </c>
      <c r="H304" s="28" t="s">
        <v>384</v>
      </c>
      <c r="I304" s="28">
        <v>5</v>
      </c>
      <c r="J304" s="30">
        <v>4.9000000000000002E-2</v>
      </c>
      <c r="K304" s="28" t="s">
        <v>278</v>
      </c>
      <c r="L304" s="31">
        <v>43525</v>
      </c>
      <c r="M304" s="28">
        <v>3</v>
      </c>
      <c r="N304" s="32" t="s">
        <v>191</v>
      </c>
      <c r="O304" s="28" t="s">
        <v>1060</v>
      </c>
      <c r="P304" s="28" t="s">
        <v>1070</v>
      </c>
      <c r="Q304" s="28" t="s">
        <v>1062</v>
      </c>
      <c r="R304" s="28" t="s">
        <v>1063</v>
      </c>
    </row>
    <row r="305" spans="1:18" hidden="1">
      <c r="A305" s="28">
        <v>1</v>
      </c>
      <c r="B305" s="29" t="s">
        <v>379</v>
      </c>
      <c r="C305" s="29" t="s">
        <v>1048</v>
      </c>
      <c r="D305" s="29" t="s">
        <v>1057</v>
      </c>
      <c r="E305" s="29" t="s">
        <v>172</v>
      </c>
      <c r="F305" s="28" t="s">
        <v>969</v>
      </c>
      <c r="G305" s="28" t="s">
        <v>970</v>
      </c>
      <c r="H305" s="28" t="s">
        <v>384</v>
      </c>
      <c r="I305" s="28">
        <v>5</v>
      </c>
      <c r="J305" s="30">
        <v>4.9000000000000002E-2</v>
      </c>
      <c r="K305" s="28" t="s">
        <v>643</v>
      </c>
      <c r="L305" s="31">
        <v>44013</v>
      </c>
      <c r="M305" s="28">
        <v>7</v>
      </c>
      <c r="N305" s="32" t="s">
        <v>184</v>
      </c>
      <c r="O305" s="28" t="s">
        <v>177</v>
      </c>
      <c r="P305" s="28" t="s">
        <v>1071</v>
      </c>
      <c r="Q305" s="28" t="s">
        <v>1072</v>
      </c>
      <c r="R305" s="28" t="s">
        <v>1073</v>
      </c>
    </row>
    <row r="306" spans="1:18" hidden="1">
      <c r="A306" s="28">
        <v>1</v>
      </c>
      <c r="B306" s="29" t="s">
        <v>379</v>
      </c>
      <c r="C306" s="29" t="s">
        <v>1048</v>
      </c>
      <c r="D306" s="29" t="s">
        <v>1074</v>
      </c>
      <c r="E306" s="29" t="s">
        <v>172</v>
      </c>
      <c r="F306" s="28" t="s">
        <v>969</v>
      </c>
      <c r="G306" s="28" t="s">
        <v>975</v>
      </c>
      <c r="H306" s="28" t="s">
        <v>384</v>
      </c>
      <c r="I306" s="28">
        <v>12</v>
      </c>
      <c r="J306" s="30">
        <v>2.3E-2</v>
      </c>
      <c r="K306" s="28" t="s">
        <v>271</v>
      </c>
      <c r="L306" s="31">
        <v>42856</v>
      </c>
      <c r="M306" s="28">
        <v>5</v>
      </c>
      <c r="N306" s="32" t="s">
        <v>191</v>
      </c>
      <c r="O306" s="28" t="s">
        <v>204</v>
      </c>
      <c r="P306" s="28" t="s">
        <v>1075</v>
      </c>
      <c r="Q306" s="28" t="s">
        <v>1076</v>
      </c>
      <c r="R306" s="28" t="s">
        <v>1077</v>
      </c>
    </row>
    <row r="307" spans="1:18" hidden="1">
      <c r="A307" s="28">
        <v>1</v>
      </c>
      <c r="B307" s="29" t="s">
        <v>379</v>
      </c>
      <c r="C307" s="29" t="s">
        <v>1048</v>
      </c>
      <c r="D307" s="29" t="s">
        <v>1074</v>
      </c>
      <c r="E307" s="29" t="s">
        <v>172</v>
      </c>
      <c r="F307" s="28" t="s">
        <v>969</v>
      </c>
      <c r="G307" s="28" t="s">
        <v>970</v>
      </c>
      <c r="H307" s="28" t="s">
        <v>384</v>
      </c>
      <c r="I307" s="28">
        <v>5</v>
      </c>
      <c r="J307" s="30">
        <v>4.9000000000000002E-2</v>
      </c>
      <c r="K307" s="28" t="s">
        <v>442</v>
      </c>
      <c r="L307" s="31">
        <v>43647</v>
      </c>
      <c r="M307" s="28">
        <v>7</v>
      </c>
      <c r="N307" s="32" t="s">
        <v>184</v>
      </c>
      <c r="O307" s="28" t="s">
        <v>1060</v>
      </c>
      <c r="P307" s="28" t="s">
        <v>1078</v>
      </c>
      <c r="Q307" s="28" t="s">
        <v>1079</v>
      </c>
      <c r="R307" s="28" t="s">
        <v>1080</v>
      </c>
    </row>
    <row r="308" spans="1:18" hidden="1">
      <c r="A308" s="28">
        <v>1</v>
      </c>
      <c r="B308" s="29" t="s">
        <v>379</v>
      </c>
      <c r="C308" s="29" t="s">
        <v>395</v>
      </c>
      <c r="D308" s="29" t="s">
        <v>1081</v>
      </c>
      <c r="E308" s="29" t="s">
        <v>172</v>
      </c>
      <c r="F308" s="28" t="s">
        <v>969</v>
      </c>
      <c r="G308" s="28" t="s">
        <v>970</v>
      </c>
      <c r="H308" s="28" t="s">
        <v>384</v>
      </c>
      <c r="I308" s="28">
        <v>5</v>
      </c>
      <c r="J308" s="30">
        <v>4.9000000000000002E-2</v>
      </c>
      <c r="K308" s="28" t="s">
        <v>1082</v>
      </c>
      <c r="L308" s="31">
        <v>42095</v>
      </c>
      <c r="M308" s="28">
        <v>4</v>
      </c>
      <c r="N308" s="32" t="s">
        <v>191</v>
      </c>
      <c r="O308" s="28" t="s">
        <v>177</v>
      </c>
      <c r="P308" s="28" t="s">
        <v>1083</v>
      </c>
      <c r="Q308" s="28" t="s">
        <v>1084</v>
      </c>
      <c r="R308" s="28" t="s">
        <v>1085</v>
      </c>
    </row>
    <row r="309" spans="1:18" hidden="1">
      <c r="A309" s="28">
        <v>1</v>
      </c>
      <c r="B309" s="29" t="s">
        <v>379</v>
      </c>
      <c r="C309" s="29" t="s">
        <v>395</v>
      </c>
      <c r="D309" s="29" t="s">
        <v>1081</v>
      </c>
      <c r="E309" s="29" t="s">
        <v>172</v>
      </c>
      <c r="F309" s="28" t="s">
        <v>969</v>
      </c>
      <c r="G309" s="28" t="s">
        <v>975</v>
      </c>
      <c r="H309" s="28" t="s">
        <v>384</v>
      </c>
      <c r="I309" s="28">
        <v>12</v>
      </c>
      <c r="J309" s="30">
        <v>2.3E-2</v>
      </c>
      <c r="K309" s="28" t="s">
        <v>263</v>
      </c>
      <c r="L309" s="31">
        <v>42430</v>
      </c>
      <c r="M309" s="28">
        <v>3</v>
      </c>
      <c r="N309" s="32" t="s">
        <v>191</v>
      </c>
      <c r="O309" s="28" t="s">
        <v>244</v>
      </c>
      <c r="P309" s="28" t="s">
        <v>1086</v>
      </c>
      <c r="Q309" s="28" t="s">
        <v>1087</v>
      </c>
      <c r="R309" s="28" t="s">
        <v>1088</v>
      </c>
    </row>
    <row r="310" spans="1:18" hidden="1">
      <c r="A310" s="28">
        <v>1</v>
      </c>
      <c r="B310" s="29" t="s">
        <v>379</v>
      </c>
      <c r="C310" s="29" t="s">
        <v>395</v>
      </c>
      <c r="D310" s="29" t="s">
        <v>1081</v>
      </c>
      <c r="E310" s="29" t="s">
        <v>172</v>
      </c>
      <c r="F310" s="28" t="s">
        <v>969</v>
      </c>
      <c r="G310" s="28" t="s">
        <v>970</v>
      </c>
      <c r="H310" s="28" t="s">
        <v>384</v>
      </c>
      <c r="I310" s="28">
        <v>5</v>
      </c>
      <c r="J310" s="30">
        <v>4.9000000000000002E-2</v>
      </c>
      <c r="K310" s="28" t="s">
        <v>243</v>
      </c>
      <c r="L310" s="31">
        <v>42461</v>
      </c>
      <c r="M310" s="28">
        <v>4</v>
      </c>
      <c r="N310" s="32" t="s">
        <v>191</v>
      </c>
      <c r="O310" s="28" t="s">
        <v>185</v>
      </c>
      <c r="P310" s="28" t="s">
        <v>1089</v>
      </c>
      <c r="Q310" s="28" t="s">
        <v>1090</v>
      </c>
      <c r="R310" s="28" t="s">
        <v>1091</v>
      </c>
    </row>
    <row r="311" spans="1:18" hidden="1">
      <c r="A311" s="28">
        <v>1</v>
      </c>
      <c r="B311" s="29" t="s">
        <v>379</v>
      </c>
      <c r="C311" s="29" t="s">
        <v>395</v>
      </c>
      <c r="D311" s="29" t="s">
        <v>1081</v>
      </c>
      <c r="E311" s="29" t="s">
        <v>172</v>
      </c>
      <c r="F311" s="28" t="s">
        <v>969</v>
      </c>
      <c r="G311" s="28" t="s">
        <v>970</v>
      </c>
      <c r="H311" s="28" t="s">
        <v>384</v>
      </c>
      <c r="I311" s="28">
        <v>5</v>
      </c>
      <c r="J311" s="30">
        <v>4.9000000000000002E-2</v>
      </c>
      <c r="K311" s="28" t="s">
        <v>243</v>
      </c>
      <c r="L311" s="31">
        <v>42461</v>
      </c>
      <c r="M311" s="28">
        <v>4</v>
      </c>
      <c r="N311" s="32" t="s">
        <v>191</v>
      </c>
      <c r="O311" s="28" t="s">
        <v>177</v>
      </c>
      <c r="P311" s="28" t="s">
        <v>1092</v>
      </c>
      <c r="Q311" s="28" t="s">
        <v>1084</v>
      </c>
      <c r="R311" s="28" t="s">
        <v>1085</v>
      </c>
    </row>
    <row r="312" spans="1:18" hidden="1">
      <c r="A312" s="28">
        <v>1</v>
      </c>
      <c r="B312" s="29" t="s">
        <v>379</v>
      </c>
      <c r="C312" s="29" t="s">
        <v>395</v>
      </c>
      <c r="D312" s="29" t="s">
        <v>1081</v>
      </c>
      <c r="E312" s="29" t="s">
        <v>172</v>
      </c>
      <c r="F312" s="28" t="s">
        <v>969</v>
      </c>
      <c r="G312" s="28" t="s">
        <v>975</v>
      </c>
      <c r="H312" s="28" t="s">
        <v>384</v>
      </c>
      <c r="I312" s="28">
        <v>12</v>
      </c>
      <c r="J312" s="30">
        <v>2.3E-2</v>
      </c>
      <c r="K312" s="28" t="s">
        <v>243</v>
      </c>
      <c r="L312" s="31">
        <v>42461</v>
      </c>
      <c r="M312" s="28">
        <v>4</v>
      </c>
      <c r="N312" s="32" t="s">
        <v>191</v>
      </c>
      <c r="O312" s="28" t="s">
        <v>204</v>
      </c>
      <c r="P312" s="28" t="s">
        <v>1093</v>
      </c>
      <c r="Q312" s="28" t="s">
        <v>1094</v>
      </c>
      <c r="R312" s="28" t="s">
        <v>1095</v>
      </c>
    </row>
    <row r="313" spans="1:18" hidden="1">
      <c r="A313" s="28">
        <v>1</v>
      </c>
      <c r="B313" s="29" t="s">
        <v>379</v>
      </c>
      <c r="C313" s="29" t="s">
        <v>395</v>
      </c>
      <c r="D313" s="29" t="s">
        <v>1081</v>
      </c>
      <c r="E313" s="29" t="s">
        <v>172</v>
      </c>
      <c r="F313" s="28" t="s">
        <v>969</v>
      </c>
      <c r="G313" s="28" t="s">
        <v>1064</v>
      </c>
      <c r="H313" s="28" t="s">
        <v>174</v>
      </c>
      <c r="I313" s="28" t="s">
        <v>174</v>
      </c>
      <c r="J313" s="30" t="s">
        <v>174</v>
      </c>
      <c r="K313" s="28" t="s">
        <v>257</v>
      </c>
      <c r="L313" s="31">
        <v>42552</v>
      </c>
      <c r="M313" s="28">
        <v>7</v>
      </c>
      <c r="N313" s="32" t="s">
        <v>184</v>
      </c>
      <c r="O313" s="28" t="s">
        <v>794</v>
      </c>
      <c r="P313" s="28" t="s">
        <v>1096</v>
      </c>
      <c r="Q313" s="28" t="s">
        <v>1097</v>
      </c>
      <c r="R313" s="28" t="s">
        <v>1085</v>
      </c>
    </row>
    <row r="314" spans="1:18" hidden="1">
      <c r="A314" s="28">
        <v>1</v>
      </c>
      <c r="B314" s="29" t="s">
        <v>379</v>
      </c>
      <c r="C314" s="29" t="s">
        <v>395</v>
      </c>
      <c r="D314" s="29" t="s">
        <v>1081</v>
      </c>
      <c r="E314" s="29" t="s">
        <v>172</v>
      </c>
      <c r="F314" s="28" t="s">
        <v>969</v>
      </c>
      <c r="G314" s="28" t="s">
        <v>1064</v>
      </c>
      <c r="H314" s="28" t="s">
        <v>174</v>
      </c>
      <c r="I314" s="28" t="s">
        <v>174</v>
      </c>
      <c r="J314" s="30" t="s">
        <v>174</v>
      </c>
      <c r="K314" s="28" t="s">
        <v>971</v>
      </c>
      <c r="L314" s="31">
        <v>42979</v>
      </c>
      <c r="M314" s="28">
        <v>9</v>
      </c>
      <c r="N314" s="32" t="s">
        <v>191</v>
      </c>
      <c r="O314" s="28" t="s">
        <v>185</v>
      </c>
      <c r="P314" s="28" t="s">
        <v>1098</v>
      </c>
      <c r="Q314" s="28" t="s">
        <v>1099</v>
      </c>
      <c r="R314" s="28" t="s">
        <v>1085</v>
      </c>
    </row>
    <row r="315" spans="1:18" hidden="1">
      <c r="A315" s="28">
        <v>1</v>
      </c>
      <c r="B315" s="29" t="s">
        <v>379</v>
      </c>
      <c r="C315" s="29" t="s">
        <v>395</v>
      </c>
      <c r="D315" s="29" t="s">
        <v>1081</v>
      </c>
      <c r="E315" s="29" t="s">
        <v>172</v>
      </c>
      <c r="F315" s="28" t="s">
        <v>969</v>
      </c>
      <c r="G315" s="28" t="s">
        <v>970</v>
      </c>
      <c r="H315" s="28" t="s">
        <v>384</v>
      </c>
      <c r="I315" s="28">
        <v>5</v>
      </c>
      <c r="J315" s="30">
        <v>4.9000000000000002E-2</v>
      </c>
      <c r="K315" s="28" t="s">
        <v>813</v>
      </c>
      <c r="L315" s="31">
        <v>43009</v>
      </c>
      <c r="M315" s="28">
        <v>10</v>
      </c>
      <c r="N315" s="32" t="s">
        <v>191</v>
      </c>
      <c r="O315" s="28" t="s">
        <v>1060</v>
      </c>
      <c r="P315" s="28" t="s">
        <v>1100</v>
      </c>
      <c r="Q315" s="28" t="s">
        <v>1101</v>
      </c>
      <c r="R315" s="28" t="s">
        <v>1085</v>
      </c>
    </row>
    <row r="316" spans="1:18" hidden="1">
      <c r="A316" s="28">
        <v>1</v>
      </c>
      <c r="B316" s="29" t="s">
        <v>379</v>
      </c>
      <c r="C316" s="29" t="s">
        <v>395</v>
      </c>
      <c r="D316" s="29" t="s">
        <v>1081</v>
      </c>
      <c r="E316" s="29" t="s">
        <v>172</v>
      </c>
      <c r="F316" s="28" t="s">
        <v>969</v>
      </c>
      <c r="G316" s="28" t="s">
        <v>1064</v>
      </c>
      <c r="H316" s="28" t="s">
        <v>174</v>
      </c>
      <c r="I316" s="28" t="s">
        <v>174</v>
      </c>
      <c r="J316" s="30" t="s">
        <v>174</v>
      </c>
      <c r="K316" s="28" t="s">
        <v>678</v>
      </c>
      <c r="L316" s="31">
        <v>43344</v>
      </c>
      <c r="M316" s="28">
        <v>9</v>
      </c>
      <c r="N316" s="32" t="s">
        <v>191</v>
      </c>
      <c r="O316" s="28" t="s">
        <v>185</v>
      </c>
      <c r="P316" s="28" t="s">
        <v>1102</v>
      </c>
      <c r="Q316" s="28" t="s">
        <v>1103</v>
      </c>
      <c r="R316" s="28" t="s">
        <v>1104</v>
      </c>
    </row>
    <row r="317" spans="1:18" hidden="1">
      <c r="A317" s="28">
        <v>1</v>
      </c>
      <c r="B317" s="29" t="s">
        <v>379</v>
      </c>
      <c r="C317" s="29" t="s">
        <v>395</v>
      </c>
      <c r="D317" s="29" t="s">
        <v>1081</v>
      </c>
      <c r="E317" s="29" t="s">
        <v>172</v>
      </c>
      <c r="F317" s="28" t="s">
        <v>969</v>
      </c>
      <c r="G317" s="28" t="s">
        <v>1064</v>
      </c>
      <c r="H317" s="28" t="s">
        <v>174</v>
      </c>
      <c r="I317" s="28" t="s">
        <v>174</v>
      </c>
      <c r="J317" s="30" t="s">
        <v>174</v>
      </c>
      <c r="K317" s="28" t="s">
        <v>236</v>
      </c>
      <c r="L317" s="31">
        <v>43617</v>
      </c>
      <c r="M317" s="28">
        <v>6</v>
      </c>
      <c r="N317" s="32" t="s">
        <v>184</v>
      </c>
      <c r="O317" s="28" t="s">
        <v>177</v>
      </c>
      <c r="P317" s="28" t="s">
        <v>1105</v>
      </c>
      <c r="Q317" s="28" t="s">
        <v>1106</v>
      </c>
      <c r="R317" s="28" t="s">
        <v>1107</v>
      </c>
    </row>
    <row r="318" spans="1:18" hidden="1">
      <c r="A318" s="28">
        <v>1</v>
      </c>
      <c r="B318" s="29" t="s">
        <v>379</v>
      </c>
      <c r="C318" s="29" t="s">
        <v>395</v>
      </c>
      <c r="D318" s="29" t="s">
        <v>1081</v>
      </c>
      <c r="E318" s="29" t="s">
        <v>172</v>
      </c>
      <c r="F318" s="28" t="s">
        <v>969</v>
      </c>
      <c r="G318" s="28" t="s">
        <v>970</v>
      </c>
      <c r="H318" s="28" t="s">
        <v>384</v>
      </c>
      <c r="I318" s="28">
        <v>5</v>
      </c>
      <c r="J318" s="30">
        <v>4.9000000000000002E-2</v>
      </c>
      <c r="K318" s="28" t="s">
        <v>397</v>
      </c>
      <c r="L318" s="31">
        <v>43739</v>
      </c>
      <c r="M318" s="28">
        <v>10</v>
      </c>
      <c r="N318" s="32" t="s">
        <v>191</v>
      </c>
      <c r="O318" s="28" t="s">
        <v>177</v>
      </c>
      <c r="P318" s="28" t="s">
        <v>1108</v>
      </c>
      <c r="Q318" s="28" t="s">
        <v>1084</v>
      </c>
      <c r="R318" s="28" t="s">
        <v>1085</v>
      </c>
    </row>
    <row r="319" spans="1:18" hidden="1">
      <c r="A319" s="28">
        <v>1</v>
      </c>
      <c r="B319" s="29" t="s">
        <v>379</v>
      </c>
      <c r="C319" s="29" t="s">
        <v>395</v>
      </c>
      <c r="D319" s="29" t="s">
        <v>1081</v>
      </c>
      <c r="E319" s="29" t="s">
        <v>172</v>
      </c>
      <c r="F319" s="28" t="s">
        <v>969</v>
      </c>
      <c r="G319" s="28" t="s">
        <v>975</v>
      </c>
      <c r="H319" s="28" t="s">
        <v>384</v>
      </c>
      <c r="I319" s="28">
        <v>12</v>
      </c>
      <c r="J319" s="30">
        <v>2.3E-2</v>
      </c>
      <c r="K319" s="28" t="s">
        <v>397</v>
      </c>
      <c r="L319" s="31">
        <v>43739</v>
      </c>
      <c r="M319" s="28">
        <v>10</v>
      </c>
      <c r="N319" s="32" t="s">
        <v>191</v>
      </c>
      <c r="O319" s="28" t="s">
        <v>185</v>
      </c>
      <c r="P319" s="28" t="s">
        <v>1109</v>
      </c>
      <c r="Q319" s="28" t="s">
        <v>1110</v>
      </c>
      <c r="R319" s="28" t="s">
        <v>1111</v>
      </c>
    </row>
    <row r="320" spans="1:18" hidden="1">
      <c r="A320" s="28">
        <v>1</v>
      </c>
      <c r="B320" s="29" t="s">
        <v>379</v>
      </c>
      <c r="C320" s="29" t="s">
        <v>395</v>
      </c>
      <c r="D320" s="29" t="s">
        <v>1081</v>
      </c>
      <c r="E320" s="29" t="s">
        <v>172</v>
      </c>
      <c r="F320" s="28" t="s">
        <v>969</v>
      </c>
      <c r="G320" s="28" t="s">
        <v>975</v>
      </c>
      <c r="H320" s="28" t="s">
        <v>384</v>
      </c>
      <c r="I320" s="28">
        <v>12</v>
      </c>
      <c r="J320" s="30">
        <v>2.3E-2</v>
      </c>
      <c r="K320" s="28" t="s">
        <v>1112</v>
      </c>
      <c r="L320" s="31">
        <v>44044</v>
      </c>
      <c r="M320" s="28">
        <v>8</v>
      </c>
      <c r="N320" s="32" t="s">
        <v>184</v>
      </c>
      <c r="O320" s="28" t="s">
        <v>177</v>
      </c>
      <c r="P320" s="28" t="s">
        <v>1113</v>
      </c>
      <c r="Q320" s="28" t="s">
        <v>1114</v>
      </c>
      <c r="R320" s="28" t="s">
        <v>1085</v>
      </c>
    </row>
    <row r="321" spans="1:18" hidden="1">
      <c r="A321" s="28">
        <v>1</v>
      </c>
      <c r="B321" s="29" t="s">
        <v>379</v>
      </c>
      <c r="C321" s="29" t="s">
        <v>395</v>
      </c>
      <c r="D321" s="29" t="s">
        <v>1081</v>
      </c>
      <c r="E321" s="29" t="s">
        <v>172</v>
      </c>
      <c r="F321" s="28" t="s">
        <v>969</v>
      </c>
      <c r="G321" s="28" t="s">
        <v>1064</v>
      </c>
      <c r="H321" s="28" t="s">
        <v>174</v>
      </c>
      <c r="I321" s="28" t="s">
        <v>174</v>
      </c>
      <c r="J321" s="30" t="s">
        <v>174</v>
      </c>
      <c r="K321" s="28" t="s">
        <v>430</v>
      </c>
      <c r="L321" s="31">
        <v>44105</v>
      </c>
      <c r="M321" s="28">
        <v>10</v>
      </c>
      <c r="N321" s="32" t="s">
        <v>191</v>
      </c>
      <c r="O321" s="28" t="s">
        <v>185</v>
      </c>
      <c r="P321" s="28" t="s">
        <v>1115</v>
      </c>
      <c r="Q321" s="28" t="s">
        <v>1116</v>
      </c>
      <c r="R321" s="28" t="s">
        <v>1117</v>
      </c>
    </row>
    <row r="322" spans="1:18" hidden="1">
      <c r="A322" s="28">
        <v>1</v>
      </c>
      <c r="B322" s="29" t="s">
        <v>379</v>
      </c>
      <c r="C322" s="29" t="s">
        <v>395</v>
      </c>
      <c r="D322" s="29" t="s">
        <v>1081</v>
      </c>
      <c r="E322" s="29" t="s">
        <v>172</v>
      </c>
      <c r="F322" s="28" t="s">
        <v>969</v>
      </c>
      <c r="G322" s="28" t="s">
        <v>1064</v>
      </c>
      <c r="H322" s="28" t="s">
        <v>174</v>
      </c>
      <c r="I322" s="28" t="s">
        <v>174</v>
      </c>
      <c r="J322" s="30" t="s">
        <v>174</v>
      </c>
      <c r="K322" s="28" t="s">
        <v>341</v>
      </c>
      <c r="L322" s="31">
        <v>44228</v>
      </c>
      <c r="M322" s="28">
        <v>2</v>
      </c>
      <c r="N322" s="32" t="s">
        <v>176</v>
      </c>
      <c r="O322" s="28" t="s">
        <v>794</v>
      </c>
      <c r="P322" s="28" t="s">
        <v>1118</v>
      </c>
      <c r="Q322" s="28" t="s">
        <v>1119</v>
      </c>
      <c r="R322" s="28" t="s">
        <v>1120</v>
      </c>
    </row>
    <row r="323" spans="1:18" hidden="1">
      <c r="A323" s="28">
        <v>1</v>
      </c>
      <c r="B323" s="29" t="s">
        <v>379</v>
      </c>
      <c r="C323" s="29" t="s">
        <v>395</v>
      </c>
      <c r="D323" s="29" t="s">
        <v>1081</v>
      </c>
      <c r="E323" s="29" t="s">
        <v>172</v>
      </c>
      <c r="F323" s="28" t="s">
        <v>969</v>
      </c>
      <c r="G323" s="28" t="s">
        <v>1064</v>
      </c>
      <c r="H323" s="28" t="s">
        <v>174</v>
      </c>
      <c r="I323" s="28" t="s">
        <v>174</v>
      </c>
      <c r="J323" s="30" t="s">
        <v>174</v>
      </c>
      <c r="K323" s="28" t="s">
        <v>522</v>
      </c>
      <c r="L323" s="31">
        <v>44256</v>
      </c>
      <c r="M323" s="28">
        <v>3</v>
      </c>
      <c r="N323" s="32" t="s">
        <v>191</v>
      </c>
      <c r="O323" s="28" t="s">
        <v>185</v>
      </c>
      <c r="P323" s="28" t="s">
        <v>1121</v>
      </c>
      <c r="Q323" s="28" t="s">
        <v>1122</v>
      </c>
      <c r="R323" s="28" t="s">
        <v>1123</v>
      </c>
    </row>
    <row r="324" spans="1:18" hidden="1">
      <c r="A324" s="28">
        <v>1</v>
      </c>
      <c r="B324" s="29" t="s">
        <v>379</v>
      </c>
      <c r="C324" s="29" t="s">
        <v>395</v>
      </c>
      <c r="D324" s="29" t="s">
        <v>1081</v>
      </c>
      <c r="E324" s="29" t="s">
        <v>172</v>
      </c>
      <c r="F324" s="28" t="s">
        <v>969</v>
      </c>
      <c r="G324" s="28" t="s">
        <v>970</v>
      </c>
      <c r="H324" s="28" t="s">
        <v>384</v>
      </c>
      <c r="I324" s="28">
        <v>5</v>
      </c>
      <c r="J324" s="30">
        <v>4.9000000000000002E-2</v>
      </c>
      <c r="K324" s="28" t="s">
        <v>712</v>
      </c>
      <c r="L324" s="31">
        <v>44470</v>
      </c>
      <c r="M324" s="28">
        <v>10</v>
      </c>
      <c r="N324" s="32" t="s">
        <v>191</v>
      </c>
      <c r="O324" s="28" t="s">
        <v>204</v>
      </c>
      <c r="P324" s="28" t="s">
        <v>1124</v>
      </c>
      <c r="Q324" s="28" t="s">
        <v>1125</v>
      </c>
      <c r="R324" s="28" t="s">
        <v>1126</v>
      </c>
    </row>
    <row r="325" spans="1:18" hidden="1">
      <c r="A325" s="28">
        <v>1</v>
      </c>
      <c r="B325" s="29" t="s">
        <v>379</v>
      </c>
      <c r="C325" s="29" t="s">
        <v>395</v>
      </c>
      <c r="D325" s="29" t="s">
        <v>396</v>
      </c>
      <c r="E325" s="29" t="s">
        <v>172</v>
      </c>
      <c r="F325" s="28" t="s">
        <v>969</v>
      </c>
      <c r="G325" s="28" t="s">
        <v>1064</v>
      </c>
      <c r="H325" s="28" t="s">
        <v>174</v>
      </c>
      <c r="I325" s="28" t="s">
        <v>174</v>
      </c>
      <c r="J325" s="30" t="s">
        <v>174</v>
      </c>
      <c r="K325" s="28" t="s">
        <v>485</v>
      </c>
      <c r="L325" s="31">
        <v>42401</v>
      </c>
      <c r="M325" s="28">
        <v>2</v>
      </c>
      <c r="N325" s="32" t="s">
        <v>176</v>
      </c>
      <c r="O325" s="28" t="s">
        <v>177</v>
      </c>
      <c r="P325" s="28" t="s">
        <v>1127</v>
      </c>
      <c r="Q325" s="28" t="s">
        <v>1128</v>
      </c>
      <c r="R325" s="28" t="s">
        <v>1129</v>
      </c>
    </row>
    <row r="326" spans="1:18" hidden="1">
      <c r="A326" s="28">
        <v>1</v>
      </c>
      <c r="B326" s="29" t="s">
        <v>379</v>
      </c>
      <c r="C326" s="29" t="s">
        <v>395</v>
      </c>
      <c r="D326" s="29" t="s">
        <v>396</v>
      </c>
      <c r="E326" s="29" t="s">
        <v>172</v>
      </c>
      <c r="F326" s="28" t="s">
        <v>969</v>
      </c>
      <c r="G326" s="28" t="s">
        <v>975</v>
      </c>
      <c r="H326" s="28" t="s">
        <v>384</v>
      </c>
      <c r="I326" s="28">
        <v>12</v>
      </c>
      <c r="J326" s="30">
        <v>2.3E-2</v>
      </c>
      <c r="K326" s="28" t="s">
        <v>198</v>
      </c>
      <c r="L326" s="31">
        <v>42767</v>
      </c>
      <c r="M326" s="28">
        <v>2</v>
      </c>
      <c r="N326" s="32" t="s">
        <v>176</v>
      </c>
      <c r="O326" s="28" t="s">
        <v>794</v>
      </c>
      <c r="P326" s="28" t="s">
        <v>1130</v>
      </c>
      <c r="Q326" s="28" t="s">
        <v>1131</v>
      </c>
      <c r="R326" s="28" t="s">
        <v>1132</v>
      </c>
    </row>
    <row r="327" spans="1:18" hidden="1">
      <c r="A327" s="28">
        <v>1</v>
      </c>
      <c r="B327" s="29" t="s">
        <v>379</v>
      </c>
      <c r="C327" s="29" t="s">
        <v>395</v>
      </c>
      <c r="D327" s="29" t="s">
        <v>396</v>
      </c>
      <c r="E327" s="29" t="s">
        <v>172</v>
      </c>
      <c r="F327" s="28" t="s">
        <v>969</v>
      </c>
      <c r="G327" s="28" t="s">
        <v>970</v>
      </c>
      <c r="H327" s="28" t="s">
        <v>384</v>
      </c>
      <c r="I327" s="28">
        <v>5</v>
      </c>
      <c r="J327" s="30">
        <v>4.9000000000000002E-2</v>
      </c>
      <c r="K327" s="28" t="s">
        <v>971</v>
      </c>
      <c r="L327" s="31">
        <v>42979</v>
      </c>
      <c r="M327" s="28">
        <v>9</v>
      </c>
      <c r="N327" s="32" t="s">
        <v>191</v>
      </c>
      <c r="O327" s="28" t="s">
        <v>185</v>
      </c>
      <c r="P327" s="28" t="s">
        <v>1133</v>
      </c>
      <c r="Q327" s="28" t="s">
        <v>1134</v>
      </c>
      <c r="R327" s="28" t="s">
        <v>1135</v>
      </c>
    </row>
    <row r="328" spans="1:18" hidden="1">
      <c r="A328" s="28">
        <v>1</v>
      </c>
      <c r="B328" s="29" t="s">
        <v>379</v>
      </c>
      <c r="C328" s="29" t="s">
        <v>395</v>
      </c>
      <c r="D328" s="29" t="s">
        <v>396</v>
      </c>
      <c r="E328" s="29" t="s">
        <v>172</v>
      </c>
      <c r="F328" s="28" t="s">
        <v>969</v>
      </c>
      <c r="G328" s="28" t="s">
        <v>1064</v>
      </c>
      <c r="H328" s="28" t="s">
        <v>174</v>
      </c>
      <c r="I328" s="28" t="s">
        <v>174</v>
      </c>
      <c r="J328" s="30" t="s">
        <v>174</v>
      </c>
      <c r="K328" s="28" t="s">
        <v>1136</v>
      </c>
      <c r="L328" s="31">
        <v>43497</v>
      </c>
      <c r="M328" s="28">
        <v>2</v>
      </c>
      <c r="N328" s="32" t="s">
        <v>176</v>
      </c>
      <c r="O328" s="28" t="s">
        <v>177</v>
      </c>
      <c r="P328" s="28" t="s">
        <v>1137</v>
      </c>
      <c r="Q328" s="28" t="s">
        <v>1138</v>
      </c>
      <c r="R328" s="28" t="s">
        <v>1139</v>
      </c>
    </row>
    <row r="329" spans="1:18" hidden="1">
      <c r="A329" s="28">
        <v>1</v>
      </c>
      <c r="B329" s="29" t="s">
        <v>379</v>
      </c>
      <c r="C329" s="29" t="s">
        <v>395</v>
      </c>
      <c r="D329" s="29" t="s">
        <v>396</v>
      </c>
      <c r="E329" s="29" t="s">
        <v>172</v>
      </c>
      <c r="F329" s="28" t="s">
        <v>969</v>
      </c>
      <c r="G329" s="28" t="s">
        <v>1064</v>
      </c>
      <c r="H329" s="28" t="s">
        <v>174</v>
      </c>
      <c r="I329" s="28" t="s">
        <v>174</v>
      </c>
      <c r="J329" s="30" t="s">
        <v>174</v>
      </c>
      <c r="K329" s="28" t="s">
        <v>314</v>
      </c>
      <c r="L329" s="31">
        <v>43678</v>
      </c>
      <c r="M329" s="28">
        <v>8</v>
      </c>
      <c r="N329" s="32" t="s">
        <v>184</v>
      </c>
      <c r="O329" s="28" t="s">
        <v>177</v>
      </c>
      <c r="P329" s="28" t="s">
        <v>1140</v>
      </c>
      <c r="Q329" s="28" t="s">
        <v>1141</v>
      </c>
      <c r="R329" s="28" t="s">
        <v>1142</v>
      </c>
    </row>
    <row r="330" spans="1:18" hidden="1">
      <c r="A330" s="28">
        <v>1</v>
      </c>
      <c r="B330" s="29" t="s">
        <v>379</v>
      </c>
      <c r="C330" s="29" t="s">
        <v>395</v>
      </c>
      <c r="D330" s="29" t="s">
        <v>396</v>
      </c>
      <c r="E330" s="29" t="s">
        <v>172</v>
      </c>
      <c r="F330" s="28" t="s">
        <v>969</v>
      </c>
      <c r="G330" s="28" t="s">
        <v>1064</v>
      </c>
      <c r="H330" s="28" t="s">
        <v>174</v>
      </c>
      <c r="I330" s="28" t="s">
        <v>174</v>
      </c>
      <c r="J330" s="30" t="s">
        <v>174</v>
      </c>
      <c r="K330" s="28" t="s">
        <v>397</v>
      </c>
      <c r="L330" s="31">
        <v>43739</v>
      </c>
      <c r="M330" s="28">
        <v>10</v>
      </c>
      <c r="N330" s="32" t="s">
        <v>191</v>
      </c>
      <c r="O330" s="28" t="s">
        <v>177</v>
      </c>
      <c r="P330" s="28" t="s">
        <v>1143</v>
      </c>
      <c r="Q330" s="28" t="s">
        <v>1128</v>
      </c>
      <c r="R330" s="28" t="s">
        <v>1129</v>
      </c>
    </row>
    <row r="331" spans="1:18" hidden="1">
      <c r="A331" s="28">
        <v>1</v>
      </c>
      <c r="B331" s="29" t="s">
        <v>379</v>
      </c>
      <c r="C331" s="29" t="s">
        <v>395</v>
      </c>
      <c r="D331" s="29" t="s">
        <v>396</v>
      </c>
      <c r="E331" s="29" t="s">
        <v>172</v>
      </c>
      <c r="F331" s="28" t="s">
        <v>969</v>
      </c>
      <c r="G331" s="28" t="s">
        <v>1064</v>
      </c>
      <c r="H331" s="28" t="s">
        <v>174</v>
      </c>
      <c r="I331" s="28" t="s">
        <v>174</v>
      </c>
      <c r="J331" s="30" t="s">
        <v>174</v>
      </c>
      <c r="K331" s="28" t="s">
        <v>183</v>
      </c>
      <c r="L331" s="31">
        <v>43983</v>
      </c>
      <c r="M331" s="28">
        <v>6</v>
      </c>
      <c r="N331" s="32" t="s">
        <v>184</v>
      </c>
      <c r="O331" s="28" t="s">
        <v>177</v>
      </c>
      <c r="P331" s="28" t="s">
        <v>1144</v>
      </c>
      <c r="Q331" s="28" t="s">
        <v>1138</v>
      </c>
      <c r="R331" s="28" t="s">
        <v>1139</v>
      </c>
    </row>
    <row r="332" spans="1:18" hidden="1">
      <c r="A332" s="28">
        <v>1</v>
      </c>
      <c r="B332" s="29" t="s">
        <v>379</v>
      </c>
      <c r="C332" s="29" t="s">
        <v>395</v>
      </c>
      <c r="D332" s="29" t="s">
        <v>1145</v>
      </c>
      <c r="E332" s="29" t="s">
        <v>172</v>
      </c>
      <c r="F332" s="28" t="s">
        <v>969</v>
      </c>
      <c r="G332" s="28" t="s">
        <v>1064</v>
      </c>
      <c r="H332" s="28" t="s">
        <v>174</v>
      </c>
      <c r="I332" s="28" t="s">
        <v>174</v>
      </c>
      <c r="J332" s="30" t="s">
        <v>174</v>
      </c>
      <c r="K332" s="28" t="s">
        <v>485</v>
      </c>
      <c r="L332" s="31">
        <v>42401</v>
      </c>
      <c r="M332" s="28">
        <v>2</v>
      </c>
      <c r="N332" s="32" t="s">
        <v>176</v>
      </c>
      <c r="O332" s="28" t="s">
        <v>794</v>
      </c>
      <c r="P332" s="28" t="s">
        <v>1146</v>
      </c>
      <c r="Q332" s="28" t="s">
        <v>1147</v>
      </c>
      <c r="R332" s="28" t="s">
        <v>1148</v>
      </c>
    </row>
    <row r="333" spans="1:18" hidden="1">
      <c r="A333" s="28">
        <v>1</v>
      </c>
      <c r="B333" s="29" t="s">
        <v>379</v>
      </c>
      <c r="C333" s="29" t="s">
        <v>395</v>
      </c>
      <c r="D333" s="29" t="s">
        <v>1145</v>
      </c>
      <c r="E333" s="29" t="s">
        <v>172</v>
      </c>
      <c r="F333" s="28" t="s">
        <v>969</v>
      </c>
      <c r="G333" s="28" t="s">
        <v>1064</v>
      </c>
      <c r="H333" s="28" t="s">
        <v>174</v>
      </c>
      <c r="I333" s="28" t="s">
        <v>174</v>
      </c>
      <c r="J333" s="30" t="s">
        <v>174</v>
      </c>
      <c r="K333" s="28" t="s">
        <v>263</v>
      </c>
      <c r="L333" s="31">
        <v>42430</v>
      </c>
      <c r="M333" s="28">
        <v>3</v>
      </c>
      <c r="N333" s="32" t="s">
        <v>191</v>
      </c>
      <c r="O333" s="28" t="s">
        <v>794</v>
      </c>
      <c r="P333" s="28" t="s">
        <v>1149</v>
      </c>
      <c r="Q333" s="28" t="s">
        <v>1150</v>
      </c>
      <c r="R333" s="28" t="s">
        <v>1151</v>
      </c>
    </row>
    <row r="334" spans="1:18" hidden="1">
      <c r="A334" s="28">
        <v>1</v>
      </c>
      <c r="B334" s="29" t="s">
        <v>379</v>
      </c>
      <c r="C334" s="29" t="s">
        <v>395</v>
      </c>
      <c r="D334" s="29" t="s">
        <v>1145</v>
      </c>
      <c r="E334" s="29" t="s">
        <v>172</v>
      </c>
      <c r="F334" s="28" t="s">
        <v>969</v>
      </c>
      <c r="G334" s="28" t="s">
        <v>1064</v>
      </c>
      <c r="H334" s="28" t="s">
        <v>174</v>
      </c>
      <c r="I334" s="28" t="s">
        <v>174</v>
      </c>
      <c r="J334" s="30" t="s">
        <v>174</v>
      </c>
      <c r="K334" s="28" t="s">
        <v>232</v>
      </c>
      <c r="L334" s="31">
        <v>42522</v>
      </c>
      <c r="M334" s="28">
        <v>6</v>
      </c>
      <c r="N334" s="32" t="s">
        <v>184</v>
      </c>
      <c r="O334" s="28" t="s">
        <v>177</v>
      </c>
      <c r="P334" s="28" t="s">
        <v>1152</v>
      </c>
      <c r="Q334" s="28" t="s">
        <v>1153</v>
      </c>
      <c r="R334" s="28" t="s">
        <v>1154</v>
      </c>
    </row>
    <row r="335" spans="1:18" hidden="1">
      <c r="A335" s="28">
        <v>1</v>
      </c>
      <c r="B335" s="29" t="s">
        <v>379</v>
      </c>
      <c r="C335" s="29" t="s">
        <v>395</v>
      </c>
      <c r="D335" s="29" t="s">
        <v>1145</v>
      </c>
      <c r="E335" s="29" t="s">
        <v>172</v>
      </c>
      <c r="F335" s="28" t="s">
        <v>969</v>
      </c>
      <c r="G335" s="28" t="s">
        <v>1064</v>
      </c>
      <c r="H335" s="28" t="s">
        <v>174</v>
      </c>
      <c r="I335" s="28" t="s">
        <v>174</v>
      </c>
      <c r="J335" s="30" t="s">
        <v>174</v>
      </c>
      <c r="K335" s="28" t="s">
        <v>460</v>
      </c>
      <c r="L335" s="31">
        <v>42675</v>
      </c>
      <c r="M335" s="28">
        <v>11</v>
      </c>
      <c r="N335" s="32" t="s">
        <v>191</v>
      </c>
      <c r="O335" s="28" t="s">
        <v>272</v>
      </c>
      <c r="P335" s="28" t="s">
        <v>1155</v>
      </c>
      <c r="Q335" s="28" t="s">
        <v>1156</v>
      </c>
      <c r="R335" s="28" t="s">
        <v>1157</v>
      </c>
    </row>
    <row r="336" spans="1:18" hidden="1">
      <c r="A336" s="28">
        <v>1</v>
      </c>
      <c r="B336" s="29" t="s">
        <v>379</v>
      </c>
      <c r="C336" s="29" t="s">
        <v>395</v>
      </c>
      <c r="D336" s="29" t="s">
        <v>1145</v>
      </c>
      <c r="E336" s="29" t="s">
        <v>172</v>
      </c>
      <c r="F336" s="28" t="s">
        <v>969</v>
      </c>
      <c r="G336" s="28" t="s">
        <v>1064</v>
      </c>
      <c r="H336" s="28" t="s">
        <v>174</v>
      </c>
      <c r="I336" s="28" t="s">
        <v>174</v>
      </c>
      <c r="J336" s="30" t="s">
        <v>174</v>
      </c>
      <c r="K336" s="28" t="s">
        <v>587</v>
      </c>
      <c r="L336" s="31">
        <v>42736</v>
      </c>
      <c r="M336" s="28">
        <v>1</v>
      </c>
      <c r="N336" s="32" t="s">
        <v>176</v>
      </c>
      <c r="O336" s="28" t="s">
        <v>177</v>
      </c>
      <c r="P336" s="28" t="s">
        <v>1158</v>
      </c>
      <c r="Q336" s="28" t="s">
        <v>1159</v>
      </c>
      <c r="R336" s="28" t="s">
        <v>1160</v>
      </c>
    </row>
    <row r="337" spans="1:18" hidden="1">
      <c r="A337" s="28">
        <v>1</v>
      </c>
      <c r="B337" s="29" t="s">
        <v>379</v>
      </c>
      <c r="C337" s="29" t="s">
        <v>395</v>
      </c>
      <c r="D337" s="29" t="s">
        <v>1145</v>
      </c>
      <c r="E337" s="29" t="s">
        <v>172</v>
      </c>
      <c r="F337" s="28" t="s">
        <v>969</v>
      </c>
      <c r="G337" s="28" t="s">
        <v>1064</v>
      </c>
      <c r="H337" s="28" t="s">
        <v>174</v>
      </c>
      <c r="I337" s="28" t="s">
        <v>174</v>
      </c>
      <c r="J337" s="30" t="s">
        <v>174</v>
      </c>
      <c r="K337" s="28" t="s">
        <v>289</v>
      </c>
      <c r="L337" s="31">
        <v>42795</v>
      </c>
      <c r="M337" s="28">
        <v>3</v>
      </c>
      <c r="N337" s="32" t="s">
        <v>191</v>
      </c>
      <c r="O337" s="28" t="s">
        <v>204</v>
      </c>
      <c r="P337" s="28" t="s">
        <v>1161</v>
      </c>
      <c r="Q337" s="28" t="s">
        <v>1162</v>
      </c>
      <c r="R337" s="28" t="s">
        <v>1163</v>
      </c>
    </row>
    <row r="338" spans="1:18" hidden="1">
      <c r="A338" s="28">
        <v>1</v>
      </c>
      <c r="B338" s="29" t="s">
        <v>379</v>
      </c>
      <c r="C338" s="29" t="s">
        <v>395</v>
      </c>
      <c r="D338" s="29" t="s">
        <v>1145</v>
      </c>
      <c r="E338" s="29" t="s">
        <v>172</v>
      </c>
      <c r="F338" s="28" t="s">
        <v>969</v>
      </c>
      <c r="G338" s="28" t="s">
        <v>1064</v>
      </c>
      <c r="H338" s="28" t="s">
        <v>174</v>
      </c>
      <c r="I338" s="28" t="s">
        <v>174</v>
      </c>
      <c r="J338" s="30" t="s">
        <v>174</v>
      </c>
      <c r="K338" s="28" t="s">
        <v>496</v>
      </c>
      <c r="L338" s="31">
        <v>42917</v>
      </c>
      <c r="M338" s="28">
        <v>7</v>
      </c>
      <c r="N338" s="32" t="s">
        <v>184</v>
      </c>
      <c r="O338" s="28" t="s">
        <v>177</v>
      </c>
      <c r="P338" s="28" t="s">
        <v>1164</v>
      </c>
      <c r="Q338" s="28" t="s">
        <v>1165</v>
      </c>
      <c r="R338" s="28" t="s">
        <v>1157</v>
      </c>
    </row>
    <row r="339" spans="1:18" hidden="1">
      <c r="A339" s="28">
        <v>1</v>
      </c>
      <c r="B339" s="29" t="s">
        <v>379</v>
      </c>
      <c r="C339" s="29" t="s">
        <v>395</v>
      </c>
      <c r="D339" s="29" t="s">
        <v>1145</v>
      </c>
      <c r="E339" s="29" t="s">
        <v>172</v>
      </c>
      <c r="F339" s="28" t="s">
        <v>969</v>
      </c>
      <c r="G339" s="28" t="s">
        <v>1064</v>
      </c>
      <c r="H339" s="28" t="s">
        <v>174</v>
      </c>
      <c r="I339" s="28" t="s">
        <v>174</v>
      </c>
      <c r="J339" s="30" t="s">
        <v>174</v>
      </c>
      <c r="K339" s="28" t="s">
        <v>971</v>
      </c>
      <c r="L339" s="31">
        <v>42979</v>
      </c>
      <c r="M339" s="28">
        <v>9</v>
      </c>
      <c r="N339" s="32" t="s">
        <v>191</v>
      </c>
      <c r="O339" s="28" t="s">
        <v>185</v>
      </c>
      <c r="P339" s="28" t="s">
        <v>1166</v>
      </c>
      <c r="Q339" s="28" t="s">
        <v>1167</v>
      </c>
      <c r="R339" s="28" t="s">
        <v>1168</v>
      </c>
    </row>
    <row r="340" spans="1:18" hidden="1">
      <c r="A340" s="28">
        <v>1</v>
      </c>
      <c r="B340" s="29" t="s">
        <v>379</v>
      </c>
      <c r="C340" s="29" t="s">
        <v>395</v>
      </c>
      <c r="D340" s="29" t="s">
        <v>1145</v>
      </c>
      <c r="E340" s="29" t="s">
        <v>172</v>
      </c>
      <c r="F340" s="28" t="s">
        <v>969</v>
      </c>
      <c r="G340" s="28" t="s">
        <v>1064</v>
      </c>
      <c r="H340" s="28" t="s">
        <v>174</v>
      </c>
      <c r="I340" s="28" t="s">
        <v>174</v>
      </c>
      <c r="J340" s="30" t="s">
        <v>174</v>
      </c>
      <c r="K340" s="28" t="s">
        <v>208</v>
      </c>
      <c r="L340" s="31">
        <v>43101</v>
      </c>
      <c r="M340" s="28">
        <v>1</v>
      </c>
      <c r="N340" s="32" t="s">
        <v>176</v>
      </c>
      <c r="O340" s="28" t="s">
        <v>177</v>
      </c>
      <c r="P340" s="28" t="s">
        <v>1169</v>
      </c>
      <c r="Q340" s="28" t="s">
        <v>1170</v>
      </c>
      <c r="R340" s="28" t="s">
        <v>1171</v>
      </c>
    </row>
    <row r="341" spans="1:18" hidden="1">
      <c r="A341" s="28">
        <v>1</v>
      </c>
      <c r="B341" s="29" t="s">
        <v>379</v>
      </c>
      <c r="C341" s="29" t="s">
        <v>395</v>
      </c>
      <c r="D341" s="29" t="s">
        <v>1145</v>
      </c>
      <c r="E341" s="29" t="s">
        <v>172</v>
      </c>
      <c r="F341" s="28" t="s">
        <v>969</v>
      </c>
      <c r="G341" s="28" t="s">
        <v>1064</v>
      </c>
      <c r="H341" s="28" t="s">
        <v>174</v>
      </c>
      <c r="I341" s="28" t="s">
        <v>174</v>
      </c>
      <c r="J341" s="30" t="s">
        <v>174</v>
      </c>
      <c r="K341" s="28" t="s">
        <v>405</v>
      </c>
      <c r="L341" s="31">
        <v>43221</v>
      </c>
      <c r="M341" s="28">
        <v>5</v>
      </c>
      <c r="N341" s="32" t="s">
        <v>191</v>
      </c>
      <c r="O341" s="28" t="s">
        <v>794</v>
      </c>
      <c r="P341" s="28" t="s">
        <v>1172</v>
      </c>
      <c r="Q341" s="28" t="s">
        <v>1173</v>
      </c>
      <c r="R341" s="28" t="s">
        <v>1174</v>
      </c>
    </row>
    <row r="342" spans="1:18" hidden="1">
      <c r="A342" s="28">
        <v>1</v>
      </c>
      <c r="B342" s="29" t="s">
        <v>379</v>
      </c>
      <c r="C342" s="29" t="s">
        <v>395</v>
      </c>
      <c r="D342" s="29" t="s">
        <v>1145</v>
      </c>
      <c r="E342" s="29" t="s">
        <v>172</v>
      </c>
      <c r="F342" s="28" t="s">
        <v>969</v>
      </c>
      <c r="G342" s="28" t="s">
        <v>1064</v>
      </c>
      <c r="H342" s="28" t="s">
        <v>174</v>
      </c>
      <c r="I342" s="28" t="s">
        <v>174</v>
      </c>
      <c r="J342" s="30" t="s">
        <v>174</v>
      </c>
      <c r="K342" s="28" t="s">
        <v>212</v>
      </c>
      <c r="L342" s="31">
        <v>43313</v>
      </c>
      <c r="M342" s="28">
        <v>8</v>
      </c>
      <c r="N342" s="32" t="s">
        <v>184</v>
      </c>
      <c r="O342" s="28" t="s">
        <v>204</v>
      </c>
      <c r="P342" s="28" t="s">
        <v>1175</v>
      </c>
      <c r="Q342" s="28" t="s">
        <v>1176</v>
      </c>
      <c r="R342" s="28" t="s">
        <v>1177</v>
      </c>
    </row>
    <row r="343" spans="1:18" hidden="1">
      <c r="A343" s="28">
        <v>1</v>
      </c>
      <c r="B343" s="29" t="s">
        <v>379</v>
      </c>
      <c r="C343" s="29" t="s">
        <v>395</v>
      </c>
      <c r="D343" s="29" t="s">
        <v>1145</v>
      </c>
      <c r="E343" s="29" t="s">
        <v>172</v>
      </c>
      <c r="F343" s="28" t="s">
        <v>969</v>
      </c>
      <c r="G343" s="28" t="s">
        <v>1064</v>
      </c>
      <c r="H343" s="28" t="s">
        <v>174</v>
      </c>
      <c r="I343" s="28" t="s">
        <v>174</v>
      </c>
      <c r="J343" s="30" t="s">
        <v>174</v>
      </c>
      <c r="K343" s="28" t="s">
        <v>678</v>
      </c>
      <c r="L343" s="31">
        <v>43344</v>
      </c>
      <c r="M343" s="28">
        <v>9</v>
      </c>
      <c r="N343" s="32" t="s">
        <v>191</v>
      </c>
      <c r="O343" s="28" t="s">
        <v>185</v>
      </c>
      <c r="P343" s="28" t="s">
        <v>1178</v>
      </c>
      <c r="Q343" s="28" t="s">
        <v>1103</v>
      </c>
      <c r="R343" s="28" t="s">
        <v>1104</v>
      </c>
    </row>
    <row r="344" spans="1:18" hidden="1">
      <c r="A344" s="28">
        <v>1</v>
      </c>
      <c r="B344" s="29" t="s">
        <v>379</v>
      </c>
      <c r="C344" s="29" t="s">
        <v>395</v>
      </c>
      <c r="D344" s="29" t="s">
        <v>1145</v>
      </c>
      <c r="E344" s="29" t="s">
        <v>172</v>
      </c>
      <c r="F344" s="28" t="s">
        <v>969</v>
      </c>
      <c r="G344" s="28" t="s">
        <v>1064</v>
      </c>
      <c r="H344" s="28" t="s">
        <v>174</v>
      </c>
      <c r="I344" s="28" t="s">
        <v>174</v>
      </c>
      <c r="J344" s="30" t="s">
        <v>174</v>
      </c>
      <c r="K344" s="28" t="s">
        <v>501</v>
      </c>
      <c r="L344" s="31">
        <v>43405</v>
      </c>
      <c r="M344" s="28">
        <v>11</v>
      </c>
      <c r="N344" s="32" t="s">
        <v>191</v>
      </c>
      <c r="O344" s="28" t="s">
        <v>204</v>
      </c>
      <c r="P344" s="28" t="s">
        <v>1179</v>
      </c>
      <c r="Q344" s="28" t="s">
        <v>1176</v>
      </c>
      <c r="R344" s="28" t="s">
        <v>1177</v>
      </c>
    </row>
    <row r="345" spans="1:18" hidden="1">
      <c r="A345" s="28">
        <v>1</v>
      </c>
      <c r="B345" s="29" t="s">
        <v>379</v>
      </c>
      <c r="C345" s="29" t="s">
        <v>395</v>
      </c>
      <c r="D345" s="29" t="s">
        <v>1145</v>
      </c>
      <c r="E345" s="29" t="s">
        <v>172</v>
      </c>
      <c r="F345" s="28" t="s">
        <v>969</v>
      </c>
      <c r="G345" s="28" t="s">
        <v>975</v>
      </c>
      <c r="H345" s="28" t="s">
        <v>384</v>
      </c>
      <c r="I345" s="28">
        <v>12</v>
      </c>
      <c r="J345" s="30">
        <v>2.3E-2</v>
      </c>
      <c r="K345" s="28" t="s">
        <v>278</v>
      </c>
      <c r="L345" s="31">
        <v>43525</v>
      </c>
      <c r="M345" s="28">
        <v>3</v>
      </c>
      <c r="N345" s="32" t="s">
        <v>191</v>
      </c>
      <c r="O345" s="28" t="s">
        <v>177</v>
      </c>
      <c r="P345" s="28" t="s">
        <v>1180</v>
      </c>
      <c r="Q345" s="28" t="s">
        <v>1181</v>
      </c>
      <c r="R345" s="28" t="s">
        <v>1085</v>
      </c>
    </row>
    <row r="346" spans="1:18" hidden="1">
      <c r="A346" s="28">
        <v>1</v>
      </c>
      <c r="B346" s="29" t="s">
        <v>379</v>
      </c>
      <c r="C346" s="29" t="s">
        <v>395</v>
      </c>
      <c r="D346" s="29" t="s">
        <v>1145</v>
      </c>
      <c r="E346" s="29" t="s">
        <v>172</v>
      </c>
      <c r="F346" s="28" t="s">
        <v>969</v>
      </c>
      <c r="G346" s="28" t="s">
        <v>1064</v>
      </c>
      <c r="H346" s="28" t="s">
        <v>174</v>
      </c>
      <c r="I346" s="28" t="s">
        <v>174</v>
      </c>
      <c r="J346" s="30" t="s">
        <v>174</v>
      </c>
      <c r="K346" s="28" t="s">
        <v>278</v>
      </c>
      <c r="L346" s="31">
        <v>43525</v>
      </c>
      <c r="M346" s="28">
        <v>3</v>
      </c>
      <c r="N346" s="32" t="s">
        <v>191</v>
      </c>
      <c r="O346" s="28" t="s">
        <v>794</v>
      </c>
      <c r="P346" s="28" t="s">
        <v>1182</v>
      </c>
      <c r="Q346" s="28" t="s">
        <v>1119</v>
      </c>
      <c r="R346" s="28" t="s">
        <v>1120</v>
      </c>
    </row>
    <row r="347" spans="1:18" hidden="1">
      <c r="A347" s="28">
        <v>1</v>
      </c>
      <c r="B347" s="29" t="s">
        <v>379</v>
      </c>
      <c r="C347" s="29" t="s">
        <v>395</v>
      </c>
      <c r="D347" s="29" t="s">
        <v>1145</v>
      </c>
      <c r="E347" s="29" t="s">
        <v>172</v>
      </c>
      <c r="F347" s="28" t="s">
        <v>969</v>
      </c>
      <c r="G347" s="28" t="s">
        <v>975</v>
      </c>
      <c r="H347" s="28" t="s">
        <v>384</v>
      </c>
      <c r="I347" s="28">
        <v>12</v>
      </c>
      <c r="J347" s="30">
        <v>2.3E-2</v>
      </c>
      <c r="K347" s="28" t="s">
        <v>844</v>
      </c>
      <c r="L347" s="31">
        <v>43586</v>
      </c>
      <c r="M347" s="28">
        <v>5</v>
      </c>
      <c r="N347" s="32" t="s">
        <v>191</v>
      </c>
      <c r="O347" s="28" t="s">
        <v>244</v>
      </c>
      <c r="P347" s="28" t="s">
        <v>1183</v>
      </c>
      <c r="Q347" s="28" t="s">
        <v>1184</v>
      </c>
      <c r="R347" s="28" t="s">
        <v>1185</v>
      </c>
    </row>
    <row r="348" spans="1:18" hidden="1">
      <c r="A348" s="28">
        <v>1</v>
      </c>
      <c r="B348" s="29" t="s">
        <v>379</v>
      </c>
      <c r="C348" s="29" t="s">
        <v>395</v>
      </c>
      <c r="D348" s="29" t="s">
        <v>1145</v>
      </c>
      <c r="E348" s="29" t="s">
        <v>172</v>
      </c>
      <c r="F348" s="28" t="s">
        <v>969</v>
      </c>
      <c r="G348" s="28" t="s">
        <v>1064</v>
      </c>
      <c r="H348" s="28" t="s">
        <v>174</v>
      </c>
      <c r="I348" s="28" t="s">
        <v>174</v>
      </c>
      <c r="J348" s="30" t="s">
        <v>174</v>
      </c>
      <c r="K348" s="28" t="s">
        <v>430</v>
      </c>
      <c r="L348" s="31">
        <v>44105</v>
      </c>
      <c r="M348" s="28">
        <v>10</v>
      </c>
      <c r="N348" s="32" t="s">
        <v>191</v>
      </c>
      <c r="O348" s="28" t="s">
        <v>177</v>
      </c>
      <c r="P348" s="28" t="s">
        <v>1186</v>
      </c>
      <c r="Q348" s="28" t="s">
        <v>1187</v>
      </c>
      <c r="R348" s="28" t="s">
        <v>1188</v>
      </c>
    </row>
    <row r="349" spans="1:18" hidden="1">
      <c r="A349" s="28">
        <v>1</v>
      </c>
      <c r="B349" s="29" t="s">
        <v>379</v>
      </c>
      <c r="C349" s="29" t="s">
        <v>395</v>
      </c>
      <c r="D349" s="29" t="s">
        <v>1145</v>
      </c>
      <c r="E349" s="29" t="s">
        <v>172</v>
      </c>
      <c r="F349" s="28" t="s">
        <v>969</v>
      </c>
      <c r="G349" s="28" t="s">
        <v>1064</v>
      </c>
      <c r="H349" s="28" t="s">
        <v>174</v>
      </c>
      <c r="I349" s="28" t="s">
        <v>174</v>
      </c>
      <c r="J349" s="30" t="s">
        <v>174</v>
      </c>
      <c r="K349" s="28" t="s">
        <v>1189</v>
      </c>
      <c r="L349" s="31">
        <v>44228</v>
      </c>
      <c r="M349" s="28">
        <v>2</v>
      </c>
      <c r="N349" s="32" t="s">
        <v>176</v>
      </c>
      <c r="O349" s="28" t="s">
        <v>177</v>
      </c>
      <c r="P349" s="28" t="s">
        <v>1190</v>
      </c>
      <c r="Q349" s="28" t="s">
        <v>1191</v>
      </c>
      <c r="R349" s="28" t="s">
        <v>1192</v>
      </c>
    </row>
    <row r="350" spans="1:18" hidden="1">
      <c r="A350" s="28">
        <v>1</v>
      </c>
      <c r="B350" s="29" t="s">
        <v>379</v>
      </c>
      <c r="C350" s="29" t="s">
        <v>1193</v>
      </c>
      <c r="D350" s="29" t="s">
        <v>1194</v>
      </c>
      <c r="E350" s="29" t="s">
        <v>172</v>
      </c>
      <c r="F350" s="28" t="s">
        <v>969</v>
      </c>
      <c r="G350" s="28" t="s">
        <v>1000</v>
      </c>
      <c r="H350" s="28" t="s">
        <v>384</v>
      </c>
      <c r="I350" s="28">
        <v>9</v>
      </c>
      <c r="J350" s="30">
        <v>3.4000000000000002E-2</v>
      </c>
      <c r="K350" s="28" t="s">
        <v>335</v>
      </c>
      <c r="L350" s="31">
        <v>42614</v>
      </c>
      <c r="M350" s="28">
        <v>9</v>
      </c>
      <c r="N350" s="32" t="s">
        <v>191</v>
      </c>
      <c r="O350" s="28" t="s">
        <v>185</v>
      </c>
      <c r="P350" s="28" t="s">
        <v>1195</v>
      </c>
      <c r="Q350" s="28" t="s">
        <v>1196</v>
      </c>
      <c r="R350" s="28" t="s">
        <v>1197</v>
      </c>
    </row>
    <row r="351" spans="1:18" hidden="1">
      <c r="A351" s="28">
        <v>1</v>
      </c>
      <c r="B351" s="29" t="s">
        <v>379</v>
      </c>
      <c r="C351" s="29" t="s">
        <v>1193</v>
      </c>
      <c r="D351" s="29" t="s">
        <v>1194</v>
      </c>
      <c r="E351" s="29" t="s">
        <v>172</v>
      </c>
      <c r="F351" s="28" t="s">
        <v>969</v>
      </c>
      <c r="G351" s="28" t="s">
        <v>970</v>
      </c>
      <c r="H351" s="28" t="s">
        <v>384</v>
      </c>
      <c r="I351" s="28">
        <v>5</v>
      </c>
      <c r="J351" s="30">
        <v>4.9000000000000002E-2</v>
      </c>
      <c r="K351" s="28" t="s">
        <v>813</v>
      </c>
      <c r="L351" s="31">
        <v>43009</v>
      </c>
      <c r="M351" s="28">
        <v>10</v>
      </c>
      <c r="N351" s="32" t="s">
        <v>191</v>
      </c>
      <c r="O351" s="28" t="s">
        <v>1060</v>
      </c>
      <c r="P351" s="28" t="s">
        <v>1198</v>
      </c>
      <c r="Q351" s="28" t="s">
        <v>1199</v>
      </c>
      <c r="R351" s="28" t="s">
        <v>1200</v>
      </c>
    </row>
    <row r="352" spans="1:18" hidden="1">
      <c r="A352" s="28">
        <v>1</v>
      </c>
      <c r="B352" s="29" t="s">
        <v>379</v>
      </c>
      <c r="C352" s="29" t="s">
        <v>1193</v>
      </c>
      <c r="D352" s="29" t="s">
        <v>1194</v>
      </c>
      <c r="E352" s="29" t="s">
        <v>172</v>
      </c>
      <c r="F352" s="28" t="s">
        <v>969</v>
      </c>
      <c r="G352" s="28" t="s">
        <v>1000</v>
      </c>
      <c r="H352" s="28" t="s">
        <v>384</v>
      </c>
      <c r="I352" s="28">
        <v>9</v>
      </c>
      <c r="J352" s="30">
        <v>3.4000000000000002E-2</v>
      </c>
      <c r="K352" s="28" t="s">
        <v>248</v>
      </c>
      <c r="L352" s="31">
        <v>43070</v>
      </c>
      <c r="M352" s="28">
        <v>12</v>
      </c>
      <c r="N352" s="32" t="s">
        <v>176</v>
      </c>
      <c r="O352" s="28" t="s">
        <v>185</v>
      </c>
      <c r="P352" s="28" t="s">
        <v>1201</v>
      </c>
      <c r="Q352" s="28" t="s">
        <v>1051</v>
      </c>
      <c r="R352" s="28" t="s">
        <v>1200</v>
      </c>
    </row>
    <row r="353" spans="1:18" hidden="1">
      <c r="A353" s="28">
        <v>1</v>
      </c>
      <c r="B353" s="29" t="s">
        <v>379</v>
      </c>
      <c r="C353" s="29" t="s">
        <v>1193</v>
      </c>
      <c r="D353" s="29" t="s">
        <v>1194</v>
      </c>
      <c r="E353" s="29" t="s">
        <v>172</v>
      </c>
      <c r="F353" s="28" t="s">
        <v>969</v>
      </c>
      <c r="G353" s="28" t="s">
        <v>1000</v>
      </c>
      <c r="H353" s="28" t="s">
        <v>384</v>
      </c>
      <c r="I353" s="28">
        <v>9</v>
      </c>
      <c r="J353" s="30">
        <v>3.4000000000000002E-2</v>
      </c>
      <c r="K353" s="28" t="s">
        <v>522</v>
      </c>
      <c r="L353" s="31">
        <v>44256</v>
      </c>
      <c r="M353" s="28">
        <v>3</v>
      </c>
      <c r="N353" s="32" t="s">
        <v>191</v>
      </c>
      <c r="O353" s="28" t="s">
        <v>185</v>
      </c>
      <c r="P353" s="28" t="s">
        <v>1202</v>
      </c>
      <c r="Q353" s="28" t="s">
        <v>1196</v>
      </c>
      <c r="R353" s="28" t="s">
        <v>1197</v>
      </c>
    </row>
    <row r="354" spans="1:18" hidden="1">
      <c r="A354" s="28">
        <v>1</v>
      </c>
      <c r="B354" s="29" t="s">
        <v>379</v>
      </c>
      <c r="C354" s="29" t="s">
        <v>1193</v>
      </c>
      <c r="D354" s="29" t="s">
        <v>1203</v>
      </c>
      <c r="E354" s="29" t="s">
        <v>172</v>
      </c>
      <c r="F354" s="28" t="s">
        <v>969</v>
      </c>
      <c r="G354" s="28" t="s">
        <v>970</v>
      </c>
      <c r="H354" s="28" t="s">
        <v>384</v>
      </c>
      <c r="I354" s="28">
        <v>5</v>
      </c>
      <c r="J354" s="30">
        <v>4.9000000000000002E-2</v>
      </c>
      <c r="K354" s="28" t="s">
        <v>401</v>
      </c>
      <c r="L354" s="31">
        <v>42705</v>
      </c>
      <c r="M354" s="28">
        <v>12</v>
      </c>
      <c r="N354" s="32" t="s">
        <v>176</v>
      </c>
      <c r="O354" s="28" t="s">
        <v>185</v>
      </c>
      <c r="P354" s="28" t="s">
        <v>1204</v>
      </c>
      <c r="Q354" s="28" t="s">
        <v>1051</v>
      </c>
      <c r="R354" s="28" t="s">
        <v>1200</v>
      </c>
    </row>
    <row r="355" spans="1:18" hidden="1">
      <c r="A355" s="28">
        <v>1</v>
      </c>
      <c r="B355" s="29" t="s">
        <v>379</v>
      </c>
      <c r="C355" s="29" t="s">
        <v>1193</v>
      </c>
      <c r="D355" s="29" t="s">
        <v>1203</v>
      </c>
      <c r="E355" s="29" t="s">
        <v>172</v>
      </c>
      <c r="F355" s="28" t="s">
        <v>969</v>
      </c>
      <c r="G355" s="28" t="s">
        <v>1000</v>
      </c>
      <c r="H355" s="28" t="s">
        <v>384</v>
      </c>
      <c r="I355" s="28">
        <v>9</v>
      </c>
      <c r="J355" s="30">
        <v>3.4000000000000002E-2</v>
      </c>
      <c r="K355" s="28" t="s">
        <v>297</v>
      </c>
      <c r="L355" s="31">
        <v>44409</v>
      </c>
      <c r="M355" s="28">
        <v>8</v>
      </c>
      <c r="N355" s="32" t="s">
        <v>184</v>
      </c>
      <c r="O355" s="28" t="s">
        <v>185</v>
      </c>
      <c r="P355" s="28" t="s">
        <v>1205</v>
      </c>
      <c r="Q355" s="28" t="s">
        <v>1196</v>
      </c>
      <c r="R355" s="28" t="s">
        <v>1197</v>
      </c>
    </row>
    <row r="356" spans="1:18" hidden="1">
      <c r="A356" s="28">
        <v>1</v>
      </c>
      <c r="B356" s="29" t="s">
        <v>379</v>
      </c>
      <c r="C356" s="29" t="s">
        <v>1206</v>
      </c>
      <c r="D356" s="29" t="s">
        <v>1207</v>
      </c>
      <c r="E356" s="29" t="s">
        <v>172</v>
      </c>
      <c r="F356" s="28" t="s">
        <v>969</v>
      </c>
      <c r="G356" s="28" t="s">
        <v>1007</v>
      </c>
      <c r="H356" s="28" t="s">
        <v>174</v>
      </c>
      <c r="I356" s="28" t="s">
        <v>174</v>
      </c>
      <c r="J356" s="30" t="s">
        <v>174</v>
      </c>
      <c r="K356" s="28" t="s">
        <v>415</v>
      </c>
      <c r="L356" s="31">
        <v>43952</v>
      </c>
      <c r="M356" s="28">
        <v>5</v>
      </c>
      <c r="N356" s="32" t="s">
        <v>191</v>
      </c>
      <c r="O356" s="28" t="s">
        <v>244</v>
      </c>
      <c r="P356" s="28" t="s">
        <v>1208</v>
      </c>
      <c r="Q356" s="28" t="s">
        <v>1209</v>
      </c>
      <c r="R356" s="28" t="s">
        <v>1210</v>
      </c>
    </row>
    <row r="357" spans="1:18" hidden="1">
      <c r="A357" s="28">
        <v>1</v>
      </c>
      <c r="B357" s="29" t="s">
        <v>379</v>
      </c>
      <c r="C357" s="29" t="s">
        <v>1206</v>
      </c>
      <c r="D357" s="29" t="s">
        <v>1211</v>
      </c>
      <c r="E357" s="29" t="s">
        <v>172</v>
      </c>
      <c r="F357" s="28" t="s">
        <v>969</v>
      </c>
      <c r="G357" s="28" t="s">
        <v>1007</v>
      </c>
      <c r="H357" s="28" t="s">
        <v>174</v>
      </c>
      <c r="I357" s="28" t="s">
        <v>174</v>
      </c>
      <c r="J357" s="30" t="s">
        <v>174</v>
      </c>
      <c r="K357" s="28" t="s">
        <v>712</v>
      </c>
      <c r="L357" s="31">
        <v>44470</v>
      </c>
      <c r="M357" s="28">
        <v>10</v>
      </c>
      <c r="N357" s="32" t="s">
        <v>191</v>
      </c>
      <c r="O357" s="28" t="s">
        <v>204</v>
      </c>
      <c r="P357" s="28" t="s">
        <v>1212</v>
      </c>
      <c r="Q357" s="28" t="s">
        <v>1213</v>
      </c>
      <c r="R357" s="28" t="s">
        <v>1214</v>
      </c>
    </row>
    <row r="358" spans="1:18" hidden="1">
      <c r="A358" s="28">
        <v>10</v>
      </c>
      <c r="B358" s="29" t="s">
        <v>1215</v>
      </c>
      <c r="C358" s="29" t="s">
        <v>1216</v>
      </c>
      <c r="D358" s="29" t="s">
        <v>1217</v>
      </c>
      <c r="E358" s="29" t="s">
        <v>374</v>
      </c>
      <c r="F358" s="28" t="s">
        <v>969</v>
      </c>
      <c r="G358" s="28" t="s">
        <v>1000</v>
      </c>
      <c r="H358" s="28" t="s">
        <v>384</v>
      </c>
      <c r="I358" s="28">
        <v>9</v>
      </c>
      <c r="J358" s="30">
        <v>3.4000000000000002E-2</v>
      </c>
      <c r="K358" s="28" t="s">
        <v>424</v>
      </c>
      <c r="L358" s="31">
        <v>43678</v>
      </c>
      <c r="M358" s="28">
        <v>8</v>
      </c>
      <c r="N358" s="32" t="s">
        <v>184</v>
      </c>
      <c r="O358" s="28" t="s">
        <v>794</v>
      </c>
      <c r="P358" s="28" t="s">
        <v>1218</v>
      </c>
      <c r="Q358" s="28" t="s">
        <v>1219</v>
      </c>
      <c r="R358" s="28" t="s">
        <v>1220</v>
      </c>
    </row>
    <row r="359" spans="1:18" hidden="1">
      <c r="A359" s="28">
        <v>10</v>
      </c>
      <c r="B359" s="29" t="s">
        <v>1215</v>
      </c>
      <c r="C359" s="29" t="s">
        <v>1221</v>
      </c>
      <c r="D359" s="29" t="s">
        <v>1222</v>
      </c>
      <c r="E359" s="29" t="s">
        <v>374</v>
      </c>
      <c r="F359" s="28" t="s">
        <v>969</v>
      </c>
      <c r="G359" s="28" t="s">
        <v>970</v>
      </c>
      <c r="H359" s="28" t="s">
        <v>384</v>
      </c>
      <c r="I359" s="28">
        <v>5</v>
      </c>
      <c r="J359" s="30">
        <v>4.9000000000000002E-2</v>
      </c>
      <c r="K359" s="28" t="s">
        <v>504</v>
      </c>
      <c r="L359" s="31">
        <v>43922</v>
      </c>
      <c r="M359" s="28">
        <v>4</v>
      </c>
      <c r="N359" s="32" t="s">
        <v>191</v>
      </c>
      <c r="O359" s="28" t="s">
        <v>185</v>
      </c>
      <c r="P359" s="28" t="s">
        <v>1223</v>
      </c>
      <c r="Q359" s="28" t="s">
        <v>1224</v>
      </c>
      <c r="R359" s="28" t="s">
        <v>1225</v>
      </c>
    </row>
    <row r="360" spans="1:18" hidden="1">
      <c r="A360" s="28">
        <v>10</v>
      </c>
      <c r="B360" s="29" t="s">
        <v>1215</v>
      </c>
      <c r="C360" s="29" t="s">
        <v>1221</v>
      </c>
      <c r="D360" s="29" t="s">
        <v>1222</v>
      </c>
      <c r="E360" s="29" t="s">
        <v>374</v>
      </c>
      <c r="F360" s="28" t="s">
        <v>969</v>
      </c>
      <c r="G360" s="28" t="s">
        <v>975</v>
      </c>
      <c r="H360" s="28" t="s">
        <v>384</v>
      </c>
      <c r="I360" s="28">
        <v>12</v>
      </c>
      <c r="J360" s="30">
        <v>2.3E-2</v>
      </c>
      <c r="K360" s="28" t="s">
        <v>646</v>
      </c>
      <c r="L360" s="31">
        <v>44075</v>
      </c>
      <c r="M360" s="28">
        <v>9</v>
      </c>
      <c r="N360" s="32" t="s">
        <v>191</v>
      </c>
      <c r="O360" s="28" t="s">
        <v>177</v>
      </c>
      <c r="P360" s="28" t="s">
        <v>1226</v>
      </c>
      <c r="Q360" s="28" t="s">
        <v>1227</v>
      </c>
      <c r="R360" s="28" t="s">
        <v>1228</v>
      </c>
    </row>
    <row r="361" spans="1:18" hidden="1">
      <c r="A361" s="28">
        <v>10</v>
      </c>
      <c r="B361" s="29" t="s">
        <v>1215</v>
      </c>
      <c r="C361" s="29" t="s">
        <v>1221</v>
      </c>
      <c r="D361" s="29" t="s">
        <v>1222</v>
      </c>
      <c r="E361" s="29" t="s">
        <v>374</v>
      </c>
      <c r="F361" s="28" t="s">
        <v>969</v>
      </c>
      <c r="G361" s="28" t="s">
        <v>1007</v>
      </c>
      <c r="H361" s="28" t="s">
        <v>174</v>
      </c>
      <c r="I361" s="28" t="s">
        <v>174</v>
      </c>
      <c r="J361" s="30" t="s">
        <v>174</v>
      </c>
      <c r="K361" s="28" t="s">
        <v>730</v>
      </c>
      <c r="L361" s="31">
        <v>44166</v>
      </c>
      <c r="M361" s="28">
        <v>12</v>
      </c>
      <c r="N361" s="32" t="s">
        <v>176</v>
      </c>
      <c r="O361" s="28" t="s">
        <v>204</v>
      </c>
      <c r="P361" s="28" t="s">
        <v>1229</v>
      </c>
      <c r="Q361" s="28" t="s">
        <v>1230</v>
      </c>
      <c r="R361" s="28" t="s">
        <v>1231</v>
      </c>
    </row>
    <row r="362" spans="1:18" hidden="1">
      <c r="A362" s="28">
        <v>11</v>
      </c>
      <c r="B362" s="29" t="s">
        <v>169</v>
      </c>
      <c r="C362" s="29" t="s">
        <v>170</v>
      </c>
      <c r="D362" s="29" t="s">
        <v>171</v>
      </c>
      <c r="E362" s="29" t="s">
        <v>172</v>
      </c>
      <c r="F362" s="28" t="s">
        <v>969</v>
      </c>
      <c r="G362" s="28" t="s">
        <v>970</v>
      </c>
      <c r="H362" s="28" t="s">
        <v>384</v>
      </c>
      <c r="I362" s="28">
        <v>5</v>
      </c>
      <c r="J362" s="30">
        <v>4.9000000000000002E-2</v>
      </c>
      <c r="K362" s="28" t="s">
        <v>232</v>
      </c>
      <c r="L362" s="31">
        <v>42522</v>
      </c>
      <c r="M362" s="28">
        <v>6</v>
      </c>
      <c r="N362" s="32" t="s">
        <v>184</v>
      </c>
      <c r="O362" s="28" t="s">
        <v>1060</v>
      </c>
      <c r="P362" s="28" t="s">
        <v>1232</v>
      </c>
      <c r="Q362" s="28" t="s">
        <v>1233</v>
      </c>
      <c r="R362" s="28" t="s">
        <v>1234</v>
      </c>
    </row>
    <row r="363" spans="1:18" hidden="1">
      <c r="A363" s="28">
        <v>11</v>
      </c>
      <c r="B363" s="29" t="s">
        <v>169</v>
      </c>
      <c r="C363" s="29" t="s">
        <v>170</v>
      </c>
      <c r="D363" s="29" t="s">
        <v>171</v>
      </c>
      <c r="E363" s="29" t="s">
        <v>172</v>
      </c>
      <c r="F363" s="28" t="s">
        <v>969</v>
      </c>
      <c r="G363" s="28" t="s">
        <v>1235</v>
      </c>
      <c r="H363" s="28" t="s">
        <v>174</v>
      </c>
      <c r="I363" s="28" t="s">
        <v>174</v>
      </c>
      <c r="J363" s="30" t="s">
        <v>174</v>
      </c>
      <c r="K363" s="28" t="s">
        <v>435</v>
      </c>
      <c r="L363" s="31">
        <v>43040</v>
      </c>
      <c r="M363" s="28">
        <v>11</v>
      </c>
      <c r="N363" s="32" t="s">
        <v>191</v>
      </c>
      <c r="O363" s="28" t="s">
        <v>177</v>
      </c>
      <c r="P363" s="28" t="s">
        <v>1236</v>
      </c>
      <c r="Q363" s="28" t="s">
        <v>1237</v>
      </c>
      <c r="R363" s="28" t="s">
        <v>1238</v>
      </c>
    </row>
    <row r="364" spans="1:18" hidden="1">
      <c r="A364" s="28">
        <v>11</v>
      </c>
      <c r="B364" s="29" t="s">
        <v>169</v>
      </c>
      <c r="C364" s="29" t="s">
        <v>170</v>
      </c>
      <c r="D364" s="29" t="s">
        <v>171</v>
      </c>
      <c r="E364" s="29" t="s">
        <v>172</v>
      </c>
      <c r="F364" s="28" t="s">
        <v>969</v>
      </c>
      <c r="G364" s="28" t="s">
        <v>975</v>
      </c>
      <c r="H364" s="28" t="s">
        <v>384</v>
      </c>
      <c r="I364" s="28">
        <v>12</v>
      </c>
      <c r="J364" s="30">
        <v>2.3E-2</v>
      </c>
      <c r="K364" s="28" t="s">
        <v>361</v>
      </c>
      <c r="L364" s="31">
        <v>43435</v>
      </c>
      <c r="M364" s="28">
        <v>12</v>
      </c>
      <c r="N364" s="32" t="s">
        <v>176</v>
      </c>
      <c r="O364" s="28" t="s">
        <v>204</v>
      </c>
      <c r="P364" s="28" t="s">
        <v>1239</v>
      </c>
      <c r="Q364" s="28" t="s">
        <v>1240</v>
      </c>
      <c r="R364" s="28" t="s">
        <v>1241</v>
      </c>
    </row>
    <row r="365" spans="1:18" hidden="1">
      <c r="A365" s="28">
        <v>11</v>
      </c>
      <c r="B365" s="29" t="s">
        <v>169</v>
      </c>
      <c r="C365" s="29" t="s">
        <v>170</v>
      </c>
      <c r="D365" s="29" t="s">
        <v>171</v>
      </c>
      <c r="E365" s="29" t="s">
        <v>172</v>
      </c>
      <c r="F365" s="28" t="s">
        <v>969</v>
      </c>
      <c r="G365" s="28" t="s">
        <v>970</v>
      </c>
      <c r="H365" s="28" t="s">
        <v>384</v>
      </c>
      <c r="I365" s="28">
        <v>5</v>
      </c>
      <c r="J365" s="30">
        <v>4.9000000000000002E-2</v>
      </c>
      <c r="K365" s="28" t="s">
        <v>1136</v>
      </c>
      <c r="L365" s="31">
        <v>43497</v>
      </c>
      <c r="M365" s="28">
        <v>2</v>
      </c>
      <c r="N365" s="32" t="s">
        <v>176</v>
      </c>
      <c r="O365" s="28" t="s">
        <v>177</v>
      </c>
      <c r="P365" s="28" t="s">
        <v>1242</v>
      </c>
      <c r="Q365" s="28" t="s">
        <v>1243</v>
      </c>
      <c r="R365" s="28" t="s">
        <v>1244</v>
      </c>
    </row>
    <row r="366" spans="1:18" hidden="1">
      <c r="A366" s="28">
        <v>11</v>
      </c>
      <c r="B366" s="29" t="s">
        <v>169</v>
      </c>
      <c r="C366" s="29" t="s">
        <v>170</v>
      </c>
      <c r="D366" s="29" t="s">
        <v>171</v>
      </c>
      <c r="E366" s="29" t="s">
        <v>172</v>
      </c>
      <c r="F366" s="28" t="s">
        <v>1245</v>
      </c>
      <c r="G366" s="28" t="s">
        <v>1246</v>
      </c>
      <c r="H366" s="28" t="s">
        <v>174</v>
      </c>
      <c r="I366" s="28" t="s">
        <v>174</v>
      </c>
      <c r="J366" s="30" t="s">
        <v>174</v>
      </c>
      <c r="K366" s="28" t="s">
        <v>442</v>
      </c>
      <c r="L366" s="31">
        <v>43647</v>
      </c>
      <c r="M366" s="28">
        <v>7</v>
      </c>
      <c r="N366" s="32" t="s">
        <v>184</v>
      </c>
      <c r="O366" s="28" t="s">
        <v>204</v>
      </c>
      <c r="P366" s="28" t="s">
        <v>1247</v>
      </c>
      <c r="Q366" s="28" t="s">
        <v>1248</v>
      </c>
      <c r="R366" s="28" t="s">
        <v>1249</v>
      </c>
    </row>
    <row r="367" spans="1:18" hidden="1">
      <c r="A367" s="28">
        <v>11</v>
      </c>
      <c r="B367" s="29" t="s">
        <v>169</v>
      </c>
      <c r="C367" s="29" t="s">
        <v>170</v>
      </c>
      <c r="D367" s="29" t="s">
        <v>171</v>
      </c>
      <c r="E367" s="29" t="s">
        <v>172</v>
      </c>
      <c r="F367" s="28" t="s">
        <v>969</v>
      </c>
      <c r="G367" s="28" t="s">
        <v>970</v>
      </c>
      <c r="H367" s="28" t="s">
        <v>384</v>
      </c>
      <c r="I367" s="28">
        <v>5</v>
      </c>
      <c r="J367" s="30">
        <v>4.9000000000000002E-2</v>
      </c>
      <c r="K367" s="28" t="s">
        <v>442</v>
      </c>
      <c r="L367" s="31">
        <v>43647</v>
      </c>
      <c r="M367" s="28">
        <v>7</v>
      </c>
      <c r="N367" s="32" t="s">
        <v>184</v>
      </c>
      <c r="O367" s="28" t="s">
        <v>1060</v>
      </c>
      <c r="P367" s="28" t="s">
        <v>1250</v>
      </c>
      <c r="Q367" s="28" t="s">
        <v>1079</v>
      </c>
      <c r="R367" s="28" t="s">
        <v>1251</v>
      </c>
    </row>
    <row r="368" spans="1:18" hidden="1">
      <c r="A368" s="28">
        <v>11</v>
      </c>
      <c r="B368" s="29" t="s">
        <v>169</v>
      </c>
      <c r="C368" s="29" t="s">
        <v>170</v>
      </c>
      <c r="D368" s="29" t="s">
        <v>171</v>
      </c>
      <c r="E368" s="29" t="s">
        <v>172</v>
      </c>
      <c r="F368" s="28" t="s">
        <v>969</v>
      </c>
      <c r="G368" s="28" t="s">
        <v>970</v>
      </c>
      <c r="H368" s="28" t="s">
        <v>384</v>
      </c>
      <c r="I368" s="28">
        <v>5</v>
      </c>
      <c r="J368" s="30">
        <v>4.9000000000000002E-2</v>
      </c>
      <c r="K368" s="28" t="s">
        <v>424</v>
      </c>
      <c r="L368" s="31">
        <v>43678</v>
      </c>
      <c r="M368" s="28">
        <v>8</v>
      </c>
      <c r="N368" s="32" t="s">
        <v>184</v>
      </c>
      <c r="O368" s="28" t="s">
        <v>244</v>
      </c>
      <c r="P368" s="28" t="s">
        <v>1252</v>
      </c>
      <c r="Q368" s="28" t="s">
        <v>1253</v>
      </c>
      <c r="R368" s="28" t="s">
        <v>1244</v>
      </c>
    </row>
    <row r="369" spans="1:18" hidden="1">
      <c r="A369" s="28">
        <v>11</v>
      </c>
      <c r="B369" s="29" t="s">
        <v>169</v>
      </c>
      <c r="C369" s="29" t="s">
        <v>170</v>
      </c>
      <c r="D369" s="29" t="s">
        <v>171</v>
      </c>
      <c r="E369" s="29" t="s">
        <v>172</v>
      </c>
      <c r="F369" s="28" t="s">
        <v>969</v>
      </c>
      <c r="G369" s="28" t="s">
        <v>970</v>
      </c>
      <c r="H369" s="28" t="s">
        <v>384</v>
      </c>
      <c r="I369" s="28">
        <v>5</v>
      </c>
      <c r="J369" s="30">
        <v>4.9000000000000002E-2</v>
      </c>
      <c r="K369" s="28" t="s">
        <v>430</v>
      </c>
      <c r="L369" s="31">
        <v>44105</v>
      </c>
      <c r="M369" s="28">
        <v>10</v>
      </c>
      <c r="N369" s="32" t="s">
        <v>191</v>
      </c>
      <c r="O369" s="28" t="s">
        <v>177</v>
      </c>
      <c r="P369" s="28" t="s">
        <v>1254</v>
      </c>
      <c r="Q369" s="28" t="s">
        <v>1243</v>
      </c>
      <c r="R369" s="28" t="s">
        <v>1244</v>
      </c>
    </row>
    <row r="370" spans="1:18" hidden="1">
      <c r="A370" s="28">
        <v>11</v>
      </c>
      <c r="B370" s="29" t="s">
        <v>169</v>
      </c>
      <c r="C370" s="29" t="s">
        <v>170</v>
      </c>
      <c r="D370" s="29" t="s">
        <v>171</v>
      </c>
      <c r="E370" s="29" t="s">
        <v>172</v>
      </c>
      <c r="F370" s="28" t="s">
        <v>969</v>
      </c>
      <c r="G370" s="28" t="s">
        <v>1000</v>
      </c>
      <c r="H370" s="28" t="s">
        <v>384</v>
      </c>
      <c r="I370" s="28">
        <v>9</v>
      </c>
      <c r="J370" s="30">
        <v>3.4000000000000002E-2</v>
      </c>
      <c r="K370" s="28" t="s">
        <v>522</v>
      </c>
      <c r="L370" s="31">
        <v>44256</v>
      </c>
      <c r="M370" s="28">
        <v>3</v>
      </c>
      <c r="N370" s="32" t="s">
        <v>191</v>
      </c>
      <c r="O370" s="28" t="s">
        <v>204</v>
      </c>
      <c r="P370" s="28" t="s">
        <v>1255</v>
      </c>
      <c r="Q370" s="28" t="s">
        <v>1256</v>
      </c>
      <c r="R370" s="28" t="s">
        <v>1257</v>
      </c>
    </row>
    <row r="371" spans="1:18" hidden="1">
      <c r="A371" s="28">
        <v>11</v>
      </c>
      <c r="B371" s="29" t="s">
        <v>169</v>
      </c>
      <c r="C371" s="29" t="s">
        <v>170</v>
      </c>
      <c r="D371" s="29" t="s">
        <v>171</v>
      </c>
      <c r="E371" s="29" t="s">
        <v>172</v>
      </c>
      <c r="F371" s="28" t="s">
        <v>969</v>
      </c>
      <c r="G371" s="28" t="s">
        <v>970</v>
      </c>
      <c r="H371" s="28" t="s">
        <v>384</v>
      </c>
      <c r="I371" s="28">
        <v>5</v>
      </c>
      <c r="J371" s="30">
        <v>4.9000000000000002E-2</v>
      </c>
      <c r="K371" s="28" t="s">
        <v>554</v>
      </c>
      <c r="L371" s="31">
        <v>44317</v>
      </c>
      <c r="M371" s="28">
        <v>5</v>
      </c>
      <c r="N371" s="32" t="s">
        <v>191</v>
      </c>
      <c r="O371" s="28" t="s">
        <v>1060</v>
      </c>
      <c r="P371" s="28" t="s">
        <v>1258</v>
      </c>
      <c r="Q371" s="28" t="s">
        <v>1233</v>
      </c>
      <c r="R371" s="28" t="s">
        <v>1234</v>
      </c>
    </row>
    <row r="372" spans="1:18" hidden="1">
      <c r="A372" s="28">
        <v>11</v>
      </c>
      <c r="B372" s="29" t="s">
        <v>169</v>
      </c>
      <c r="C372" s="29" t="s">
        <v>170</v>
      </c>
      <c r="D372" s="29" t="s">
        <v>1259</v>
      </c>
      <c r="E372" s="29" t="s">
        <v>172</v>
      </c>
      <c r="F372" s="28" t="s">
        <v>969</v>
      </c>
      <c r="G372" s="28" t="s">
        <v>970</v>
      </c>
      <c r="H372" s="28" t="s">
        <v>384</v>
      </c>
      <c r="I372" s="28">
        <v>5</v>
      </c>
      <c r="J372" s="30">
        <v>4.9000000000000002E-2</v>
      </c>
      <c r="K372" s="28" t="s">
        <v>401</v>
      </c>
      <c r="L372" s="31">
        <v>42705</v>
      </c>
      <c r="M372" s="28">
        <v>12</v>
      </c>
      <c r="N372" s="32" t="s">
        <v>176</v>
      </c>
      <c r="O372" s="28" t="s">
        <v>185</v>
      </c>
      <c r="P372" s="28" t="s">
        <v>1260</v>
      </c>
      <c r="Q372" s="28" t="s">
        <v>1261</v>
      </c>
      <c r="R372" s="28" t="s">
        <v>1262</v>
      </c>
    </row>
    <row r="373" spans="1:18" hidden="1">
      <c r="A373" s="28">
        <v>11</v>
      </c>
      <c r="B373" s="29" t="s">
        <v>169</v>
      </c>
      <c r="C373" s="29" t="s">
        <v>170</v>
      </c>
      <c r="D373" s="29" t="s">
        <v>1259</v>
      </c>
      <c r="E373" s="29" t="s">
        <v>172</v>
      </c>
      <c r="F373" s="28" t="s">
        <v>969</v>
      </c>
      <c r="G373" s="28" t="s">
        <v>1000</v>
      </c>
      <c r="H373" s="28" t="s">
        <v>384</v>
      </c>
      <c r="I373" s="28">
        <v>9</v>
      </c>
      <c r="J373" s="30">
        <v>3.4000000000000002E-2</v>
      </c>
      <c r="K373" s="28" t="s">
        <v>208</v>
      </c>
      <c r="L373" s="31">
        <v>43101</v>
      </c>
      <c r="M373" s="28">
        <v>1</v>
      </c>
      <c r="N373" s="32" t="s">
        <v>176</v>
      </c>
      <c r="O373" s="28" t="s">
        <v>185</v>
      </c>
      <c r="P373" s="28" t="s">
        <v>1263</v>
      </c>
      <c r="Q373" s="28" t="s">
        <v>1264</v>
      </c>
      <c r="R373" s="28" t="s">
        <v>1265</v>
      </c>
    </row>
    <row r="374" spans="1:18" hidden="1">
      <c r="A374" s="28">
        <v>11</v>
      </c>
      <c r="B374" s="29" t="s">
        <v>169</v>
      </c>
      <c r="C374" s="29" t="s">
        <v>170</v>
      </c>
      <c r="D374" s="29" t="s">
        <v>1259</v>
      </c>
      <c r="E374" s="29" t="s">
        <v>172</v>
      </c>
      <c r="F374" s="28" t="s">
        <v>969</v>
      </c>
      <c r="G374" s="28" t="s">
        <v>1007</v>
      </c>
      <c r="H374" s="28" t="s">
        <v>174</v>
      </c>
      <c r="I374" s="28" t="s">
        <v>174</v>
      </c>
      <c r="J374" s="30" t="s">
        <v>174</v>
      </c>
      <c r="K374" s="28" t="s">
        <v>678</v>
      </c>
      <c r="L374" s="31">
        <v>43344</v>
      </c>
      <c r="M374" s="28">
        <v>9</v>
      </c>
      <c r="N374" s="32" t="s">
        <v>191</v>
      </c>
      <c r="O374" s="28" t="s">
        <v>185</v>
      </c>
      <c r="P374" s="28" t="s">
        <v>1266</v>
      </c>
      <c r="Q374" s="28" t="s">
        <v>1267</v>
      </c>
      <c r="R374" s="28" t="s">
        <v>1265</v>
      </c>
    </row>
    <row r="375" spans="1:18" hidden="1">
      <c r="A375" s="28">
        <v>11</v>
      </c>
      <c r="B375" s="29" t="s">
        <v>169</v>
      </c>
      <c r="C375" s="29" t="s">
        <v>170</v>
      </c>
      <c r="D375" s="29" t="s">
        <v>1259</v>
      </c>
      <c r="E375" s="29" t="s">
        <v>172</v>
      </c>
      <c r="F375" s="28" t="s">
        <v>969</v>
      </c>
      <c r="G375" s="28" t="s">
        <v>970</v>
      </c>
      <c r="H375" s="28" t="s">
        <v>384</v>
      </c>
      <c r="I375" s="28">
        <v>5</v>
      </c>
      <c r="J375" s="30">
        <v>4.9000000000000002E-2</v>
      </c>
      <c r="K375" s="28" t="s">
        <v>522</v>
      </c>
      <c r="L375" s="31">
        <v>44256</v>
      </c>
      <c r="M375" s="28">
        <v>3</v>
      </c>
      <c r="N375" s="32" t="s">
        <v>191</v>
      </c>
      <c r="O375" s="28" t="s">
        <v>185</v>
      </c>
      <c r="P375" s="28" t="s">
        <v>1268</v>
      </c>
      <c r="Q375" s="28" t="s">
        <v>1267</v>
      </c>
      <c r="R375" s="28" t="s">
        <v>1265</v>
      </c>
    </row>
    <row r="376" spans="1:18" hidden="1">
      <c r="A376" s="28">
        <v>11</v>
      </c>
      <c r="B376" s="29" t="s">
        <v>169</v>
      </c>
      <c r="C376" s="29" t="s">
        <v>170</v>
      </c>
      <c r="D376" s="29" t="s">
        <v>1259</v>
      </c>
      <c r="E376" s="29" t="s">
        <v>172</v>
      </c>
      <c r="F376" s="28" t="s">
        <v>969</v>
      </c>
      <c r="G376" s="28" t="s">
        <v>970</v>
      </c>
      <c r="H376" s="28" t="s">
        <v>384</v>
      </c>
      <c r="I376" s="28">
        <v>5</v>
      </c>
      <c r="J376" s="30">
        <v>4.9000000000000002E-2</v>
      </c>
      <c r="K376" s="28" t="s">
        <v>345</v>
      </c>
      <c r="L376" s="31">
        <v>44440</v>
      </c>
      <c r="M376" s="28">
        <v>9</v>
      </c>
      <c r="N376" s="32" t="s">
        <v>191</v>
      </c>
      <c r="O376" s="28" t="s">
        <v>794</v>
      </c>
      <c r="P376" s="28" t="s">
        <v>1269</v>
      </c>
      <c r="Q376" s="28" t="s">
        <v>1270</v>
      </c>
      <c r="R376" s="28" t="s">
        <v>1265</v>
      </c>
    </row>
    <row r="377" spans="1:18" hidden="1">
      <c r="A377" s="28">
        <v>11</v>
      </c>
      <c r="B377" s="29" t="s">
        <v>169</v>
      </c>
      <c r="C377" s="29" t="s">
        <v>1271</v>
      </c>
      <c r="D377" s="29" t="s">
        <v>1272</v>
      </c>
      <c r="E377" s="29" t="s">
        <v>172</v>
      </c>
      <c r="F377" s="28" t="s">
        <v>969</v>
      </c>
      <c r="G377" s="28" t="s">
        <v>1000</v>
      </c>
      <c r="H377" s="28" t="s">
        <v>384</v>
      </c>
      <c r="I377" s="28">
        <v>9</v>
      </c>
      <c r="J377" s="30">
        <v>3.4000000000000002E-2</v>
      </c>
      <c r="K377" s="28" t="s">
        <v>424</v>
      </c>
      <c r="L377" s="31">
        <v>43678</v>
      </c>
      <c r="M377" s="28">
        <v>8</v>
      </c>
      <c r="N377" s="32" t="s">
        <v>184</v>
      </c>
      <c r="O377" s="28" t="s">
        <v>1060</v>
      </c>
      <c r="P377" s="28" t="s">
        <v>1273</v>
      </c>
      <c r="Q377" s="28" t="s">
        <v>1274</v>
      </c>
      <c r="R377" s="28" t="s">
        <v>1275</v>
      </c>
    </row>
    <row r="378" spans="1:18" hidden="1">
      <c r="A378" s="28">
        <v>11</v>
      </c>
      <c r="B378" s="29" t="s">
        <v>169</v>
      </c>
      <c r="C378" s="29" t="s">
        <v>1271</v>
      </c>
      <c r="D378" s="29" t="s">
        <v>1276</v>
      </c>
      <c r="E378" s="29" t="s">
        <v>172</v>
      </c>
      <c r="F378" s="28" t="s">
        <v>1245</v>
      </c>
      <c r="G378" s="28" t="s">
        <v>1246</v>
      </c>
      <c r="H378" s="28" t="s">
        <v>174</v>
      </c>
      <c r="I378" s="28" t="s">
        <v>174</v>
      </c>
      <c r="J378" s="30" t="s">
        <v>174</v>
      </c>
      <c r="K378" s="28" t="s">
        <v>496</v>
      </c>
      <c r="L378" s="31">
        <v>42917</v>
      </c>
      <c r="M378" s="28">
        <v>7</v>
      </c>
      <c r="N378" s="32" t="s">
        <v>184</v>
      </c>
      <c r="O378" s="28" t="s">
        <v>204</v>
      </c>
      <c r="P378" s="28" t="s">
        <v>1277</v>
      </c>
      <c r="Q378" s="28" t="s">
        <v>1278</v>
      </c>
      <c r="R378" s="28" t="s">
        <v>1279</v>
      </c>
    </row>
    <row r="379" spans="1:18" hidden="1">
      <c r="A379" s="28">
        <v>11</v>
      </c>
      <c r="B379" s="29" t="s">
        <v>169</v>
      </c>
      <c r="C379" s="29" t="s">
        <v>1280</v>
      </c>
      <c r="D379" s="29" t="s">
        <v>1281</v>
      </c>
      <c r="E379" s="29" t="s">
        <v>172</v>
      </c>
      <c r="F379" s="28" t="s">
        <v>969</v>
      </c>
      <c r="G379" s="28" t="s">
        <v>970</v>
      </c>
      <c r="H379" s="28" t="s">
        <v>384</v>
      </c>
      <c r="I379" s="28">
        <v>5</v>
      </c>
      <c r="J379" s="30">
        <v>4.9000000000000002E-2</v>
      </c>
      <c r="K379" s="28" t="s">
        <v>1282</v>
      </c>
      <c r="L379" s="31" t="s">
        <v>221</v>
      </c>
      <c r="M379" s="28" t="e">
        <v>#VALUE!</v>
      </c>
      <c r="N379" s="32" t="e">
        <v>#VALUE!</v>
      </c>
      <c r="O379" s="28" t="s">
        <v>177</v>
      </c>
      <c r="P379" s="28" t="s">
        <v>1283</v>
      </c>
      <c r="Q379" s="28" t="s">
        <v>1284</v>
      </c>
      <c r="R379" s="28" t="s">
        <v>1285</v>
      </c>
    </row>
    <row r="380" spans="1:18" hidden="1">
      <c r="A380" s="28">
        <v>11</v>
      </c>
      <c r="B380" s="29" t="s">
        <v>169</v>
      </c>
      <c r="C380" s="29" t="s">
        <v>1280</v>
      </c>
      <c r="D380" s="29" t="s">
        <v>1286</v>
      </c>
      <c r="E380" s="29" t="s">
        <v>172</v>
      </c>
      <c r="F380" s="28" t="s">
        <v>969</v>
      </c>
      <c r="G380" s="28" t="s">
        <v>970</v>
      </c>
      <c r="H380" s="28" t="s">
        <v>384</v>
      </c>
      <c r="I380" s="28">
        <v>5</v>
      </c>
      <c r="J380" s="30">
        <v>4.9000000000000002E-2</v>
      </c>
      <c r="K380" s="28" t="s">
        <v>464</v>
      </c>
      <c r="L380" s="31">
        <v>42887</v>
      </c>
      <c r="M380" s="28">
        <v>6</v>
      </c>
      <c r="N380" s="32" t="s">
        <v>184</v>
      </c>
      <c r="O380" s="28" t="s">
        <v>794</v>
      </c>
      <c r="P380" s="28" t="s">
        <v>1287</v>
      </c>
      <c r="Q380" s="28" t="s">
        <v>1288</v>
      </c>
      <c r="R380" s="28" t="s">
        <v>1289</v>
      </c>
    </row>
    <row r="381" spans="1:18" hidden="1">
      <c r="A381" s="28">
        <v>11</v>
      </c>
      <c r="B381" s="29" t="s">
        <v>169</v>
      </c>
      <c r="C381" s="29" t="s">
        <v>1280</v>
      </c>
      <c r="D381" s="29" t="s">
        <v>1286</v>
      </c>
      <c r="E381" s="29" t="s">
        <v>172</v>
      </c>
      <c r="F381" s="28" t="s">
        <v>969</v>
      </c>
      <c r="G381" s="28" t="s">
        <v>970</v>
      </c>
      <c r="H381" s="28" t="s">
        <v>384</v>
      </c>
      <c r="I381" s="28">
        <v>5</v>
      </c>
      <c r="J381" s="30">
        <v>4.9000000000000002E-2</v>
      </c>
      <c r="K381" s="28" t="s">
        <v>293</v>
      </c>
      <c r="L381" s="31">
        <v>43374</v>
      </c>
      <c r="M381" s="28">
        <v>10</v>
      </c>
      <c r="N381" s="32" t="s">
        <v>191</v>
      </c>
      <c r="O381" s="28" t="s">
        <v>1060</v>
      </c>
      <c r="P381" s="28" t="s">
        <v>1290</v>
      </c>
      <c r="Q381" s="28" t="s">
        <v>1291</v>
      </c>
      <c r="R381" s="28" t="s">
        <v>1265</v>
      </c>
    </row>
    <row r="382" spans="1:18" hidden="1">
      <c r="A382" s="28">
        <v>11</v>
      </c>
      <c r="B382" s="29" t="s">
        <v>169</v>
      </c>
      <c r="C382" s="29" t="s">
        <v>181</v>
      </c>
      <c r="D382" s="29" t="s">
        <v>182</v>
      </c>
      <c r="E382" s="29" t="s">
        <v>172</v>
      </c>
      <c r="F382" s="28" t="s">
        <v>969</v>
      </c>
      <c r="G382" s="28" t="s">
        <v>1000</v>
      </c>
      <c r="H382" s="28" t="s">
        <v>384</v>
      </c>
      <c r="I382" s="28">
        <v>9</v>
      </c>
      <c r="J382" s="30">
        <v>3.4000000000000002E-2</v>
      </c>
      <c r="K382" s="28" t="s">
        <v>683</v>
      </c>
      <c r="L382" s="31">
        <v>43831</v>
      </c>
      <c r="M382" s="28">
        <v>1</v>
      </c>
      <c r="N382" s="32" t="s">
        <v>176</v>
      </c>
      <c r="O382" s="28" t="s">
        <v>794</v>
      </c>
      <c r="P382" s="28" t="s">
        <v>1292</v>
      </c>
      <c r="Q382" s="28" t="s">
        <v>1293</v>
      </c>
      <c r="R382" s="28" t="s">
        <v>1294</v>
      </c>
    </row>
    <row r="383" spans="1:18" hidden="1">
      <c r="A383" s="28">
        <v>11</v>
      </c>
      <c r="B383" s="29" t="s">
        <v>169</v>
      </c>
      <c r="C383" s="29" t="s">
        <v>181</v>
      </c>
      <c r="D383" s="29" t="s">
        <v>182</v>
      </c>
      <c r="E383" s="29" t="s">
        <v>172</v>
      </c>
      <c r="F383" s="28" t="s">
        <v>969</v>
      </c>
      <c r="G383" s="28" t="s">
        <v>970</v>
      </c>
      <c r="H383" s="28" t="s">
        <v>384</v>
      </c>
      <c r="I383" s="28">
        <v>5</v>
      </c>
      <c r="J383" s="30">
        <v>4.9000000000000002E-2</v>
      </c>
      <c r="K383" s="28" t="s">
        <v>328</v>
      </c>
      <c r="L383" s="31">
        <v>43891</v>
      </c>
      <c r="M383" s="28">
        <v>3</v>
      </c>
      <c r="N383" s="32" t="s">
        <v>191</v>
      </c>
      <c r="O383" s="28" t="s">
        <v>1060</v>
      </c>
      <c r="P383" s="28" t="s">
        <v>1295</v>
      </c>
      <c r="Q383" s="28" t="s">
        <v>1296</v>
      </c>
      <c r="R383" s="28" t="s">
        <v>1297</v>
      </c>
    </row>
    <row r="384" spans="1:18" hidden="1">
      <c r="A384" s="28">
        <v>11</v>
      </c>
      <c r="B384" s="29" t="s">
        <v>169</v>
      </c>
      <c r="C384" s="29" t="s">
        <v>181</v>
      </c>
      <c r="D384" s="29" t="s">
        <v>182</v>
      </c>
      <c r="E384" s="29" t="s">
        <v>172</v>
      </c>
      <c r="F384" s="28" t="s">
        <v>969</v>
      </c>
      <c r="G384" s="28" t="s">
        <v>970</v>
      </c>
      <c r="H384" s="28" t="s">
        <v>384</v>
      </c>
      <c r="I384" s="28">
        <v>5</v>
      </c>
      <c r="J384" s="30">
        <v>4.9000000000000002E-2</v>
      </c>
      <c r="K384" s="28" t="s">
        <v>646</v>
      </c>
      <c r="L384" s="31">
        <v>44075</v>
      </c>
      <c r="M384" s="28">
        <v>9</v>
      </c>
      <c r="N384" s="32" t="s">
        <v>191</v>
      </c>
      <c r="O384" s="28" t="s">
        <v>185</v>
      </c>
      <c r="P384" s="28" t="s">
        <v>1298</v>
      </c>
      <c r="Q384" s="28" t="s">
        <v>1299</v>
      </c>
      <c r="R384" s="28" t="s">
        <v>1300</v>
      </c>
    </row>
    <row r="385" spans="1:18" hidden="1">
      <c r="A385" s="28">
        <v>11</v>
      </c>
      <c r="B385" s="29" t="s">
        <v>169</v>
      </c>
      <c r="C385" s="29" t="s">
        <v>181</v>
      </c>
      <c r="D385" s="29" t="s">
        <v>182</v>
      </c>
      <c r="E385" s="29" t="s">
        <v>172</v>
      </c>
      <c r="F385" s="28" t="s">
        <v>969</v>
      </c>
      <c r="G385" s="28" t="s">
        <v>1000</v>
      </c>
      <c r="H385" s="28" t="s">
        <v>384</v>
      </c>
      <c r="I385" s="28">
        <v>9</v>
      </c>
      <c r="J385" s="30">
        <v>3.4000000000000002E-2</v>
      </c>
      <c r="K385" s="28" t="s">
        <v>1301</v>
      </c>
      <c r="L385" s="31" t="s">
        <v>221</v>
      </c>
      <c r="M385" s="28" t="e">
        <v>#VALUE!</v>
      </c>
      <c r="N385" s="32" t="e">
        <v>#VALUE!</v>
      </c>
      <c r="O385" s="28" t="s">
        <v>794</v>
      </c>
      <c r="P385" s="28" t="s">
        <v>1302</v>
      </c>
      <c r="Q385" s="28" t="s">
        <v>1293</v>
      </c>
      <c r="R385" s="28" t="s">
        <v>1294</v>
      </c>
    </row>
    <row r="386" spans="1:18" hidden="1">
      <c r="A386" s="28">
        <v>11</v>
      </c>
      <c r="B386" s="29" t="s">
        <v>169</v>
      </c>
      <c r="C386" s="29" t="s">
        <v>181</v>
      </c>
      <c r="D386" s="29" t="s">
        <v>189</v>
      </c>
      <c r="E386" s="29" t="s">
        <v>172</v>
      </c>
      <c r="F386" s="28" t="s">
        <v>969</v>
      </c>
      <c r="G386" s="28" t="s">
        <v>970</v>
      </c>
      <c r="H386" s="28" t="s">
        <v>384</v>
      </c>
      <c r="I386" s="28">
        <v>5</v>
      </c>
      <c r="J386" s="30">
        <v>4.9000000000000002E-2</v>
      </c>
      <c r="K386" s="28" t="s">
        <v>485</v>
      </c>
      <c r="L386" s="31">
        <v>42401</v>
      </c>
      <c r="M386" s="28">
        <v>2</v>
      </c>
      <c r="N386" s="32" t="s">
        <v>176</v>
      </c>
      <c r="O386" s="28" t="s">
        <v>1060</v>
      </c>
      <c r="P386" s="28" t="s">
        <v>1303</v>
      </c>
      <c r="Q386" s="28" t="s">
        <v>1304</v>
      </c>
      <c r="R386" s="28" t="s">
        <v>1305</v>
      </c>
    </row>
    <row r="387" spans="1:18" hidden="1">
      <c r="A387" s="28">
        <v>11</v>
      </c>
      <c r="B387" s="29" t="s">
        <v>169</v>
      </c>
      <c r="C387" s="29" t="s">
        <v>181</v>
      </c>
      <c r="D387" s="29" t="s">
        <v>189</v>
      </c>
      <c r="E387" s="29" t="s">
        <v>172</v>
      </c>
      <c r="F387" s="28" t="s">
        <v>969</v>
      </c>
      <c r="G387" s="28" t="s">
        <v>970</v>
      </c>
      <c r="H387" s="28" t="s">
        <v>384</v>
      </c>
      <c r="I387" s="28">
        <v>5</v>
      </c>
      <c r="J387" s="30">
        <v>4.9000000000000002E-2</v>
      </c>
      <c r="K387" s="28" t="s">
        <v>489</v>
      </c>
      <c r="L387" s="31">
        <v>42491</v>
      </c>
      <c r="M387" s="28">
        <v>5</v>
      </c>
      <c r="N387" s="32" t="s">
        <v>191</v>
      </c>
      <c r="O387" s="28" t="s">
        <v>1060</v>
      </c>
      <c r="P387" s="28" t="s">
        <v>1306</v>
      </c>
      <c r="Q387" s="28" t="s">
        <v>1304</v>
      </c>
      <c r="R387" s="28" t="s">
        <v>1305</v>
      </c>
    </row>
    <row r="388" spans="1:18" hidden="1">
      <c r="A388" s="28">
        <v>11</v>
      </c>
      <c r="B388" s="29" t="s">
        <v>169</v>
      </c>
      <c r="C388" s="29" t="s">
        <v>181</v>
      </c>
      <c r="D388" s="29" t="s">
        <v>189</v>
      </c>
      <c r="E388" s="29" t="s">
        <v>172</v>
      </c>
      <c r="F388" s="28" t="s">
        <v>969</v>
      </c>
      <c r="G388" s="28" t="s">
        <v>970</v>
      </c>
      <c r="H388" s="28" t="s">
        <v>384</v>
      </c>
      <c r="I388" s="28">
        <v>5</v>
      </c>
      <c r="J388" s="30">
        <v>4.9000000000000002E-2</v>
      </c>
      <c r="K388" s="28" t="s">
        <v>257</v>
      </c>
      <c r="L388" s="31">
        <v>42552</v>
      </c>
      <c r="M388" s="28">
        <v>7</v>
      </c>
      <c r="N388" s="32" t="s">
        <v>184</v>
      </c>
      <c r="O388" s="28" t="s">
        <v>794</v>
      </c>
      <c r="P388" s="28" t="s">
        <v>1307</v>
      </c>
      <c r="Q388" s="28" t="s">
        <v>1308</v>
      </c>
      <c r="R388" s="28" t="s">
        <v>1309</v>
      </c>
    </row>
    <row r="389" spans="1:18" hidden="1">
      <c r="A389" s="28">
        <v>11</v>
      </c>
      <c r="B389" s="29" t="s">
        <v>169</v>
      </c>
      <c r="C389" s="29" t="s">
        <v>181</v>
      </c>
      <c r="D389" s="29" t="s">
        <v>189</v>
      </c>
      <c r="E389" s="29" t="s">
        <v>172</v>
      </c>
      <c r="F389" s="28" t="s">
        <v>969</v>
      </c>
      <c r="G389" s="28" t="s">
        <v>1000</v>
      </c>
      <c r="H389" s="28" t="s">
        <v>384</v>
      </c>
      <c r="I389" s="28">
        <v>9</v>
      </c>
      <c r="J389" s="30">
        <v>3.4000000000000002E-2</v>
      </c>
      <c r="K389" s="28" t="s">
        <v>401</v>
      </c>
      <c r="L389" s="31">
        <v>42705</v>
      </c>
      <c r="M389" s="28">
        <v>12</v>
      </c>
      <c r="N389" s="32" t="s">
        <v>176</v>
      </c>
      <c r="O389" s="28" t="s">
        <v>185</v>
      </c>
      <c r="P389" s="28" t="s">
        <v>1310</v>
      </c>
      <c r="Q389" s="28" t="s">
        <v>1311</v>
      </c>
      <c r="R389" s="28" t="s">
        <v>1294</v>
      </c>
    </row>
    <row r="390" spans="1:18" hidden="1">
      <c r="A390" s="28">
        <v>11</v>
      </c>
      <c r="B390" s="29" t="s">
        <v>169</v>
      </c>
      <c r="C390" s="29" t="s">
        <v>181</v>
      </c>
      <c r="D390" s="29" t="s">
        <v>189</v>
      </c>
      <c r="E390" s="29" t="s">
        <v>172</v>
      </c>
      <c r="F390" s="28" t="s">
        <v>969</v>
      </c>
      <c r="G390" s="28" t="s">
        <v>970</v>
      </c>
      <c r="H390" s="28" t="s">
        <v>384</v>
      </c>
      <c r="I390" s="28">
        <v>5</v>
      </c>
      <c r="J390" s="30">
        <v>4.9000000000000002E-2</v>
      </c>
      <c r="K390" s="28" t="s">
        <v>271</v>
      </c>
      <c r="L390" s="31">
        <v>42856</v>
      </c>
      <c r="M390" s="28">
        <v>5</v>
      </c>
      <c r="N390" s="32" t="s">
        <v>191</v>
      </c>
      <c r="O390" s="28" t="s">
        <v>244</v>
      </c>
      <c r="P390" s="28" t="s">
        <v>1312</v>
      </c>
      <c r="Q390" s="28" t="s">
        <v>1313</v>
      </c>
      <c r="R390" s="28" t="s">
        <v>1309</v>
      </c>
    </row>
    <row r="391" spans="1:18" hidden="1">
      <c r="A391" s="28">
        <v>11</v>
      </c>
      <c r="B391" s="29" t="s">
        <v>169</v>
      </c>
      <c r="C391" s="29" t="s">
        <v>181</v>
      </c>
      <c r="D391" s="29" t="s">
        <v>189</v>
      </c>
      <c r="E391" s="29" t="s">
        <v>172</v>
      </c>
      <c r="F391" s="28" t="s">
        <v>969</v>
      </c>
      <c r="G391" s="28" t="s">
        <v>970</v>
      </c>
      <c r="H391" s="28" t="s">
        <v>384</v>
      </c>
      <c r="I391" s="28">
        <v>5</v>
      </c>
      <c r="J391" s="30">
        <v>4.9000000000000002E-2</v>
      </c>
      <c r="K391" s="28" t="s">
        <v>496</v>
      </c>
      <c r="L391" s="31">
        <v>42917</v>
      </c>
      <c r="M391" s="28">
        <v>7</v>
      </c>
      <c r="N391" s="32" t="s">
        <v>184</v>
      </c>
      <c r="O391" s="28" t="s">
        <v>1060</v>
      </c>
      <c r="P391" s="28" t="s">
        <v>1314</v>
      </c>
      <c r="Q391" s="28" t="s">
        <v>1304</v>
      </c>
      <c r="R391" s="28" t="s">
        <v>1305</v>
      </c>
    </row>
    <row r="392" spans="1:18" hidden="1">
      <c r="A392" s="28">
        <v>11</v>
      </c>
      <c r="B392" s="29" t="s">
        <v>169</v>
      </c>
      <c r="C392" s="29" t="s">
        <v>181</v>
      </c>
      <c r="D392" s="29" t="s">
        <v>189</v>
      </c>
      <c r="E392" s="29" t="s">
        <v>172</v>
      </c>
      <c r="F392" s="28" t="s">
        <v>969</v>
      </c>
      <c r="G392" s="28" t="s">
        <v>970</v>
      </c>
      <c r="H392" s="28" t="s">
        <v>384</v>
      </c>
      <c r="I392" s="28">
        <v>5</v>
      </c>
      <c r="J392" s="30">
        <v>4.9000000000000002E-2</v>
      </c>
      <c r="K392" s="28" t="s">
        <v>208</v>
      </c>
      <c r="L392" s="31">
        <v>43101</v>
      </c>
      <c r="M392" s="28">
        <v>1</v>
      </c>
      <c r="N392" s="32" t="s">
        <v>176</v>
      </c>
      <c r="O392" s="28" t="s">
        <v>1060</v>
      </c>
      <c r="P392" s="28" t="s">
        <v>1315</v>
      </c>
      <c r="Q392" s="28" t="s">
        <v>1304</v>
      </c>
      <c r="R392" s="28" t="s">
        <v>1305</v>
      </c>
    </row>
    <row r="393" spans="1:18" hidden="1">
      <c r="A393" s="28">
        <v>11</v>
      </c>
      <c r="B393" s="29" t="s">
        <v>169</v>
      </c>
      <c r="C393" s="29" t="s">
        <v>181</v>
      </c>
      <c r="D393" s="29" t="s">
        <v>189</v>
      </c>
      <c r="E393" s="29" t="s">
        <v>172</v>
      </c>
      <c r="F393" s="28" t="s">
        <v>969</v>
      </c>
      <c r="G393" s="28" t="s">
        <v>970</v>
      </c>
      <c r="H393" s="28" t="s">
        <v>384</v>
      </c>
      <c r="I393" s="28">
        <v>5</v>
      </c>
      <c r="J393" s="30">
        <v>4.9000000000000002E-2</v>
      </c>
      <c r="K393" s="28" t="s">
        <v>559</v>
      </c>
      <c r="L393" s="31">
        <v>43252</v>
      </c>
      <c r="M393" s="28">
        <v>6</v>
      </c>
      <c r="N393" s="32" t="s">
        <v>184</v>
      </c>
      <c r="O393" s="28" t="s">
        <v>1060</v>
      </c>
      <c r="P393" s="28" t="s">
        <v>1316</v>
      </c>
      <c r="Q393" s="28" t="s">
        <v>1304</v>
      </c>
      <c r="R393" s="28" t="s">
        <v>1305</v>
      </c>
    </row>
    <row r="394" spans="1:18" hidden="1">
      <c r="A394" s="28">
        <v>11</v>
      </c>
      <c r="B394" s="29" t="s">
        <v>169</v>
      </c>
      <c r="C394" s="29" t="s">
        <v>181</v>
      </c>
      <c r="D394" s="29" t="s">
        <v>189</v>
      </c>
      <c r="E394" s="29" t="s">
        <v>172</v>
      </c>
      <c r="F394" s="28" t="s">
        <v>969</v>
      </c>
      <c r="G394" s="28" t="s">
        <v>1000</v>
      </c>
      <c r="H394" s="28" t="s">
        <v>384</v>
      </c>
      <c r="I394" s="28">
        <v>9</v>
      </c>
      <c r="J394" s="30">
        <v>3.4000000000000002E-2</v>
      </c>
      <c r="K394" s="28" t="s">
        <v>678</v>
      </c>
      <c r="L394" s="31">
        <v>43344</v>
      </c>
      <c r="M394" s="28">
        <v>9</v>
      </c>
      <c r="N394" s="32" t="s">
        <v>191</v>
      </c>
      <c r="O394" s="28" t="s">
        <v>185</v>
      </c>
      <c r="P394" s="28" t="s">
        <v>1317</v>
      </c>
      <c r="Q394" s="28" t="s">
        <v>1318</v>
      </c>
      <c r="R394" s="28" t="s">
        <v>1319</v>
      </c>
    </row>
    <row r="395" spans="1:18" hidden="1">
      <c r="A395" s="28">
        <v>11</v>
      </c>
      <c r="B395" s="29" t="s">
        <v>169</v>
      </c>
      <c r="C395" s="29" t="s">
        <v>181</v>
      </c>
      <c r="D395" s="29" t="s">
        <v>189</v>
      </c>
      <c r="E395" s="29" t="s">
        <v>172</v>
      </c>
      <c r="F395" s="28" t="s">
        <v>969</v>
      </c>
      <c r="G395" s="28" t="s">
        <v>970</v>
      </c>
      <c r="H395" s="28" t="s">
        <v>384</v>
      </c>
      <c r="I395" s="28">
        <v>5</v>
      </c>
      <c r="J395" s="30">
        <v>4.9000000000000002E-2</v>
      </c>
      <c r="K395" s="28" t="s">
        <v>678</v>
      </c>
      <c r="L395" s="31">
        <v>43344</v>
      </c>
      <c r="M395" s="28">
        <v>9</v>
      </c>
      <c r="N395" s="32" t="s">
        <v>191</v>
      </c>
      <c r="O395" s="28" t="s">
        <v>1060</v>
      </c>
      <c r="P395" s="28" t="s">
        <v>1320</v>
      </c>
      <c r="Q395" s="28" t="s">
        <v>1304</v>
      </c>
      <c r="R395" s="28" t="s">
        <v>1305</v>
      </c>
    </row>
    <row r="396" spans="1:18" hidden="1">
      <c r="A396" s="28">
        <v>11</v>
      </c>
      <c r="B396" s="29" t="s">
        <v>169</v>
      </c>
      <c r="C396" s="29" t="s">
        <v>181</v>
      </c>
      <c r="D396" s="29" t="s">
        <v>189</v>
      </c>
      <c r="E396" s="29" t="s">
        <v>172</v>
      </c>
      <c r="F396" s="28" t="s">
        <v>969</v>
      </c>
      <c r="G396" s="28" t="s">
        <v>1000</v>
      </c>
      <c r="H396" s="28" t="s">
        <v>384</v>
      </c>
      <c r="I396" s="28">
        <v>9</v>
      </c>
      <c r="J396" s="30">
        <v>3.4000000000000002E-2</v>
      </c>
      <c r="K396" s="28" t="s">
        <v>411</v>
      </c>
      <c r="L396" s="31">
        <v>43556</v>
      </c>
      <c r="M396" s="28">
        <v>4</v>
      </c>
      <c r="N396" s="32" t="s">
        <v>191</v>
      </c>
      <c r="O396" s="28" t="s">
        <v>185</v>
      </c>
      <c r="P396" s="28" t="s">
        <v>1321</v>
      </c>
      <c r="Q396" s="28" t="s">
        <v>1318</v>
      </c>
      <c r="R396" s="28" t="s">
        <v>1319</v>
      </c>
    </row>
    <row r="397" spans="1:18" hidden="1">
      <c r="A397" s="28">
        <v>11</v>
      </c>
      <c r="B397" s="29" t="s">
        <v>169</v>
      </c>
      <c r="C397" s="29" t="s">
        <v>181</v>
      </c>
      <c r="D397" s="29" t="s">
        <v>189</v>
      </c>
      <c r="E397" s="29" t="s">
        <v>172</v>
      </c>
      <c r="F397" s="28" t="s">
        <v>969</v>
      </c>
      <c r="G397" s="28" t="s">
        <v>1000</v>
      </c>
      <c r="H397" s="28" t="s">
        <v>384</v>
      </c>
      <c r="I397" s="28">
        <v>9</v>
      </c>
      <c r="J397" s="30">
        <v>3.4000000000000002E-2</v>
      </c>
      <c r="K397" s="28" t="s">
        <v>411</v>
      </c>
      <c r="L397" s="31">
        <v>43556</v>
      </c>
      <c r="M397" s="28">
        <v>4</v>
      </c>
      <c r="N397" s="32" t="s">
        <v>191</v>
      </c>
      <c r="O397" s="28" t="s">
        <v>185</v>
      </c>
      <c r="P397" s="28" t="s">
        <v>1322</v>
      </c>
      <c r="Q397" s="28" t="s">
        <v>1318</v>
      </c>
      <c r="R397" s="28" t="s">
        <v>1319</v>
      </c>
    </row>
    <row r="398" spans="1:18" hidden="1">
      <c r="A398" s="28">
        <v>11</v>
      </c>
      <c r="B398" s="29" t="s">
        <v>169</v>
      </c>
      <c r="C398" s="29" t="s">
        <v>181</v>
      </c>
      <c r="D398" s="29" t="s">
        <v>189</v>
      </c>
      <c r="E398" s="29" t="s">
        <v>172</v>
      </c>
      <c r="F398" s="28" t="s">
        <v>969</v>
      </c>
      <c r="G398" s="28" t="s">
        <v>970</v>
      </c>
      <c r="H398" s="28" t="s">
        <v>384</v>
      </c>
      <c r="I398" s="28">
        <v>5</v>
      </c>
      <c r="J398" s="30">
        <v>4.9000000000000002E-2</v>
      </c>
      <c r="K398" s="28" t="s">
        <v>844</v>
      </c>
      <c r="L398" s="31">
        <v>43586</v>
      </c>
      <c r="M398" s="28">
        <v>5</v>
      </c>
      <c r="N398" s="32" t="s">
        <v>191</v>
      </c>
      <c r="O398" s="28" t="s">
        <v>244</v>
      </c>
      <c r="P398" s="28" t="s">
        <v>1323</v>
      </c>
      <c r="Q398" s="28" t="s">
        <v>1313</v>
      </c>
      <c r="R398" s="28" t="s">
        <v>1309</v>
      </c>
    </row>
    <row r="399" spans="1:18" hidden="1">
      <c r="A399" s="28">
        <v>11</v>
      </c>
      <c r="B399" s="29" t="s">
        <v>169</v>
      </c>
      <c r="C399" s="29" t="s">
        <v>181</v>
      </c>
      <c r="D399" s="29" t="s">
        <v>189</v>
      </c>
      <c r="E399" s="29" t="s">
        <v>172</v>
      </c>
      <c r="F399" s="28" t="s">
        <v>969</v>
      </c>
      <c r="G399" s="28" t="s">
        <v>970</v>
      </c>
      <c r="H399" s="28" t="s">
        <v>384</v>
      </c>
      <c r="I399" s="28">
        <v>5</v>
      </c>
      <c r="J399" s="30">
        <v>4.9000000000000002E-2</v>
      </c>
      <c r="K399" s="28" t="s">
        <v>520</v>
      </c>
      <c r="L399" s="31">
        <v>43800</v>
      </c>
      <c r="M399" s="28">
        <v>12</v>
      </c>
      <c r="N399" s="32" t="s">
        <v>176</v>
      </c>
      <c r="O399" s="28" t="s">
        <v>185</v>
      </c>
      <c r="P399" s="28" t="s">
        <v>1324</v>
      </c>
      <c r="Q399" s="28" t="s">
        <v>1325</v>
      </c>
      <c r="R399" s="28" t="s">
        <v>1326</v>
      </c>
    </row>
    <row r="400" spans="1:18" hidden="1">
      <c r="A400" s="28">
        <v>11</v>
      </c>
      <c r="B400" s="29" t="s">
        <v>169</v>
      </c>
      <c r="C400" s="29" t="s">
        <v>181</v>
      </c>
      <c r="D400" s="29" t="s">
        <v>189</v>
      </c>
      <c r="E400" s="29" t="s">
        <v>172</v>
      </c>
      <c r="F400" s="28" t="s">
        <v>969</v>
      </c>
      <c r="G400" s="28" t="s">
        <v>970</v>
      </c>
      <c r="H400" s="28" t="s">
        <v>384</v>
      </c>
      <c r="I400" s="28">
        <v>5</v>
      </c>
      <c r="J400" s="30">
        <v>4.9000000000000002E-2</v>
      </c>
      <c r="K400" s="28" t="s">
        <v>683</v>
      </c>
      <c r="L400" s="31">
        <v>43831</v>
      </c>
      <c r="M400" s="28">
        <v>1</v>
      </c>
      <c r="N400" s="32" t="s">
        <v>176</v>
      </c>
      <c r="O400" s="28" t="s">
        <v>185</v>
      </c>
      <c r="P400" s="28" t="s">
        <v>1327</v>
      </c>
      <c r="Q400" s="28" t="s">
        <v>1328</v>
      </c>
      <c r="R400" s="28" t="s">
        <v>1326</v>
      </c>
    </row>
    <row r="401" spans="1:18" hidden="1">
      <c r="A401" s="28">
        <v>11</v>
      </c>
      <c r="B401" s="29" t="s">
        <v>169</v>
      </c>
      <c r="C401" s="29" t="s">
        <v>181</v>
      </c>
      <c r="D401" s="29" t="s">
        <v>189</v>
      </c>
      <c r="E401" s="29" t="s">
        <v>172</v>
      </c>
      <c r="F401" s="28" t="s">
        <v>969</v>
      </c>
      <c r="G401" s="28" t="s">
        <v>970</v>
      </c>
      <c r="H401" s="28" t="s">
        <v>384</v>
      </c>
      <c r="I401" s="28">
        <v>5</v>
      </c>
      <c r="J401" s="30">
        <v>4.9000000000000002E-2</v>
      </c>
      <c r="K401" s="28" t="s">
        <v>328</v>
      </c>
      <c r="L401" s="31">
        <v>43891</v>
      </c>
      <c r="M401" s="28">
        <v>3</v>
      </c>
      <c r="N401" s="32" t="s">
        <v>191</v>
      </c>
      <c r="O401" s="28" t="s">
        <v>244</v>
      </c>
      <c r="P401" s="28" t="s">
        <v>1329</v>
      </c>
      <c r="Q401" s="28" t="s">
        <v>1313</v>
      </c>
      <c r="R401" s="28" t="s">
        <v>1309</v>
      </c>
    </row>
    <row r="402" spans="1:18" hidden="1">
      <c r="A402" s="28">
        <v>11</v>
      </c>
      <c r="B402" s="29" t="s">
        <v>169</v>
      </c>
      <c r="C402" s="29" t="s">
        <v>181</v>
      </c>
      <c r="D402" s="29" t="s">
        <v>189</v>
      </c>
      <c r="E402" s="29" t="s">
        <v>172</v>
      </c>
      <c r="F402" s="28" t="s">
        <v>969</v>
      </c>
      <c r="G402" s="28" t="s">
        <v>970</v>
      </c>
      <c r="H402" s="28" t="s">
        <v>384</v>
      </c>
      <c r="I402" s="28">
        <v>5</v>
      </c>
      <c r="J402" s="30">
        <v>4.9000000000000002E-2</v>
      </c>
      <c r="K402" s="28" t="s">
        <v>504</v>
      </c>
      <c r="L402" s="31">
        <v>43922</v>
      </c>
      <c r="M402" s="28">
        <v>4</v>
      </c>
      <c r="N402" s="32" t="s">
        <v>191</v>
      </c>
      <c r="O402" s="28" t="s">
        <v>1060</v>
      </c>
      <c r="P402" s="28" t="s">
        <v>1330</v>
      </c>
      <c r="Q402" s="28" t="s">
        <v>1304</v>
      </c>
      <c r="R402" s="28" t="s">
        <v>1305</v>
      </c>
    </row>
    <row r="403" spans="1:18" hidden="1">
      <c r="A403" s="28">
        <v>11</v>
      </c>
      <c r="B403" s="29" t="s">
        <v>169</v>
      </c>
      <c r="C403" s="29" t="s">
        <v>181</v>
      </c>
      <c r="D403" s="29" t="s">
        <v>189</v>
      </c>
      <c r="E403" s="29" t="s">
        <v>172</v>
      </c>
      <c r="F403" s="28" t="s">
        <v>969</v>
      </c>
      <c r="G403" s="28" t="s">
        <v>970</v>
      </c>
      <c r="H403" s="28" t="s">
        <v>384</v>
      </c>
      <c r="I403" s="28">
        <v>5</v>
      </c>
      <c r="J403" s="30">
        <v>4.9000000000000002E-2</v>
      </c>
      <c r="K403" s="28" t="s">
        <v>643</v>
      </c>
      <c r="L403" s="31">
        <v>44013</v>
      </c>
      <c r="M403" s="28">
        <v>7</v>
      </c>
      <c r="N403" s="32" t="s">
        <v>184</v>
      </c>
      <c r="O403" s="28" t="s">
        <v>1060</v>
      </c>
      <c r="P403" s="28" t="s">
        <v>1331</v>
      </c>
      <c r="Q403" s="28" t="s">
        <v>1304</v>
      </c>
      <c r="R403" s="28" t="s">
        <v>1305</v>
      </c>
    </row>
    <row r="404" spans="1:18" hidden="1">
      <c r="A404" s="28">
        <v>11</v>
      </c>
      <c r="B404" s="29" t="s">
        <v>169</v>
      </c>
      <c r="C404" s="29" t="s">
        <v>181</v>
      </c>
      <c r="D404" s="29" t="s">
        <v>189</v>
      </c>
      <c r="E404" s="29" t="s">
        <v>172</v>
      </c>
      <c r="F404" s="28" t="s">
        <v>969</v>
      </c>
      <c r="G404" s="28" t="s">
        <v>1000</v>
      </c>
      <c r="H404" s="28" t="s">
        <v>384</v>
      </c>
      <c r="I404" s="28">
        <v>9</v>
      </c>
      <c r="J404" s="30">
        <v>3.4000000000000002E-2</v>
      </c>
      <c r="K404" s="28" t="s">
        <v>430</v>
      </c>
      <c r="L404" s="31">
        <v>44105</v>
      </c>
      <c r="M404" s="28">
        <v>10</v>
      </c>
      <c r="N404" s="32" t="s">
        <v>191</v>
      </c>
      <c r="O404" s="28" t="s">
        <v>204</v>
      </c>
      <c r="P404" s="28" t="s">
        <v>1332</v>
      </c>
      <c r="Q404" s="28" t="s">
        <v>1333</v>
      </c>
      <c r="R404" s="28" t="s">
        <v>1334</v>
      </c>
    </row>
    <row r="405" spans="1:18" hidden="1">
      <c r="A405" s="28">
        <v>11</v>
      </c>
      <c r="B405" s="29" t="s">
        <v>169</v>
      </c>
      <c r="C405" s="29" t="s">
        <v>181</v>
      </c>
      <c r="D405" s="29" t="s">
        <v>189</v>
      </c>
      <c r="E405" s="29" t="s">
        <v>172</v>
      </c>
      <c r="F405" s="28" t="s">
        <v>969</v>
      </c>
      <c r="G405" s="28" t="s">
        <v>1335</v>
      </c>
      <c r="H405" s="28" t="s">
        <v>174</v>
      </c>
      <c r="I405" s="28" t="s">
        <v>174</v>
      </c>
      <c r="J405" s="30" t="s">
        <v>174</v>
      </c>
      <c r="K405" s="28" t="s">
        <v>730</v>
      </c>
      <c r="L405" s="31">
        <v>44166</v>
      </c>
      <c r="M405" s="28">
        <v>12</v>
      </c>
      <c r="N405" s="32" t="s">
        <v>176</v>
      </c>
      <c r="O405" s="28" t="s">
        <v>1060</v>
      </c>
      <c r="P405" s="28" t="s">
        <v>1336</v>
      </c>
      <c r="Q405" s="28" t="s">
        <v>1337</v>
      </c>
      <c r="R405" s="28" t="s">
        <v>1338</v>
      </c>
    </row>
    <row r="406" spans="1:18" hidden="1">
      <c r="A406" s="28">
        <v>11</v>
      </c>
      <c r="B406" s="29" t="s">
        <v>169</v>
      </c>
      <c r="C406" s="29" t="s">
        <v>181</v>
      </c>
      <c r="D406" s="29" t="s">
        <v>189</v>
      </c>
      <c r="E406" s="29" t="s">
        <v>172</v>
      </c>
      <c r="F406" s="28" t="s">
        <v>969</v>
      </c>
      <c r="G406" s="28" t="s">
        <v>1000</v>
      </c>
      <c r="H406" s="28" t="s">
        <v>384</v>
      </c>
      <c r="I406" s="28">
        <v>9</v>
      </c>
      <c r="J406" s="30">
        <v>3.4000000000000002E-2</v>
      </c>
      <c r="K406" s="28" t="s">
        <v>730</v>
      </c>
      <c r="L406" s="31">
        <v>44166</v>
      </c>
      <c r="M406" s="28">
        <v>12</v>
      </c>
      <c r="N406" s="32" t="s">
        <v>176</v>
      </c>
      <c r="O406" s="28" t="s">
        <v>185</v>
      </c>
      <c r="P406" s="28" t="s">
        <v>1339</v>
      </c>
      <c r="Q406" s="28" t="s">
        <v>1340</v>
      </c>
      <c r="R406" s="28" t="s">
        <v>1265</v>
      </c>
    </row>
    <row r="407" spans="1:18" hidden="1">
      <c r="A407" s="28">
        <v>11</v>
      </c>
      <c r="B407" s="29" t="s">
        <v>169</v>
      </c>
      <c r="C407" s="29" t="s">
        <v>181</v>
      </c>
      <c r="D407" s="29" t="s">
        <v>189</v>
      </c>
      <c r="E407" s="29" t="s">
        <v>172</v>
      </c>
      <c r="F407" s="28" t="s">
        <v>969</v>
      </c>
      <c r="G407" s="28" t="s">
        <v>970</v>
      </c>
      <c r="H407" s="28" t="s">
        <v>384</v>
      </c>
      <c r="I407" s="28">
        <v>5</v>
      </c>
      <c r="J407" s="30">
        <v>4.9000000000000002E-2</v>
      </c>
      <c r="K407" s="28" t="s">
        <v>341</v>
      </c>
      <c r="L407" s="31">
        <v>44228</v>
      </c>
      <c r="M407" s="28">
        <v>2</v>
      </c>
      <c r="N407" s="32" t="s">
        <v>176</v>
      </c>
      <c r="O407" s="28" t="s">
        <v>1060</v>
      </c>
      <c r="P407" s="28" t="s">
        <v>1341</v>
      </c>
      <c r="Q407" s="28" t="s">
        <v>1304</v>
      </c>
      <c r="R407" s="28" t="s">
        <v>1305</v>
      </c>
    </row>
    <row r="408" spans="1:18" hidden="1">
      <c r="A408" s="28">
        <v>11</v>
      </c>
      <c r="B408" s="29" t="s">
        <v>169</v>
      </c>
      <c r="C408" s="29" t="s">
        <v>181</v>
      </c>
      <c r="D408" s="29" t="s">
        <v>189</v>
      </c>
      <c r="E408" s="29" t="s">
        <v>172</v>
      </c>
      <c r="F408" s="28" t="s">
        <v>969</v>
      </c>
      <c r="G408" s="28" t="s">
        <v>970</v>
      </c>
      <c r="H408" s="28" t="s">
        <v>384</v>
      </c>
      <c r="I408" s="28">
        <v>5</v>
      </c>
      <c r="J408" s="30">
        <v>4.9000000000000002E-2</v>
      </c>
      <c r="K408" s="28" t="s">
        <v>297</v>
      </c>
      <c r="L408" s="31">
        <v>44409</v>
      </c>
      <c r="M408" s="28">
        <v>8</v>
      </c>
      <c r="N408" s="32" t="s">
        <v>184</v>
      </c>
      <c r="O408" s="28" t="s">
        <v>1060</v>
      </c>
      <c r="P408" s="28" t="s">
        <v>1342</v>
      </c>
      <c r="Q408" s="28" t="s">
        <v>1304</v>
      </c>
      <c r="R408" s="28" t="s">
        <v>1305</v>
      </c>
    </row>
    <row r="409" spans="1:18" hidden="1">
      <c r="A409" s="28">
        <v>11</v>
      </c>
      <c r="B409" s="29" t="s">
        <v>169</v>
      </c>
      <c r="C409" s="29" t="s">
        <v>181</v>
      </c>
      <c r="D409" s="29" t="s">
        <v>189</v>
      </c>
      <c r="E409" s="29" t="s">
        <v>172</v>
      </c>
      <c r="F409" s="28" t="s">
        <v>969</v>
      </c>
      <c r="G409" s="28" t="s">
        <v>970</v>
      </c>
      <c r="H409" s="28" t="s">
        <v>384</v>
      </c>
      <c r="I409" s="28">
        <v>5</v>
      </c>
      <c r="J409" s="30">
        <v>4.9000000000000002E-2</v>
      </c>
      <c r="K409" s="28" t="s">
        <v>670</v>
      </c>
      <c r="L409" s="31">
        <v>44501</v>
      </c>
      <c r="M409" s="28">
        <v>11</v>
      </c>
      <c r="N409" s="32" t="s">
        <v>191</v>
      </c>
      <c r="O409" s="28" t="s">
        <v>1060</v>
      </c>
      <c r="P409" s="28" t="s">
        <v>1343</v>
      </c>
      <c r="Q409" s="28" t="s">
        <v>1304</v>
      </c>
      <c r="R409" s="28" t="s">
        <v>1305</v>
      </c>
    </row>
    <row r="410" spans="1:18" hidden="1">
      <c r="A410" s="28">
        <v>12</v>
      </c>
      <c r="B410" s="29" t="s">
        <v>195</v>
      </c>
      <c r="C410" s="29" t="s">
        <v>196</v>
      </c>
      <c r="D410" s="29" t="s">
        <v>197</v>
      </c>
      <c r="E410" s="29" t="s">
        <v>172</v>
      </c>
      <c r="F410" s="28" t="s">
        <v>969</v>
      </c>
      <c r="G410" s="28" t="s">
        <v>970</v>
      </c>
      <c r="H410" s="28" t="s">
        <v>384</v>
      </c>
      <c r="I410" s="28">
        <v>5</v>
      </c>
      <c r="J410" s="30">
        <v>4.9000000000000002E-2</v>
      </c>
      <c r="K410" s="28" t="s">
        <v>263</v>
      </c>
      <c r="L410" s="31">
        <v>42430</v>
      </c>
      <c r="M410" s="28">
        <v>3</v>
      </c>
      <c r="N410" s="32" t="s">
        <v>191</v>
      </c>
      <c r="O410" s="28" t="s">
        <v>794</v>
      </c>
      <c r="P410" s="28" t="s">
        <v>1344</v>
      </c>
      <c r="Q410" s="28" t="s">
        <v>1345</v>
      </c>
      <c r="R410" s="28" t="s">
        <v>1346</v>
      </c>
    </row>
    <row r="411" spans="1:18" hidden="1">
      <c r="A411" s="28">
        <v>12</v>
      </c>
      <c r="B411" s="29" t="s">
        <v>195</v>
      </c>
      <c r="C411" s="29" t="s">
        <v>196</v>
      </c>
      <c r="D411" s="29" t="s">
        <v>197</v>
      </c>
      <c r="E411" s="29" t="s">
        <v>172</v>
      </c>
      <c r="F411" s="28" t="s">
        <v>969</v>
      </c>
      <c r="G411" s="28" t="s">
        <v>970</v>
      </c>
      <c r="H411" s="28" t="s">
        <v>384</v>
      </c>
      <c r="I411" s="28">
        <v>5</v>
      </c>
      <c r="J411" s="30">
        <v>4.9000000000000002E-2</v>
      </c>
      <c r="K411" s="28" t="s">
        <v>489</v>
      </c>
      <c r="L411" s="31">
        <v>42491</v>
      </c>
      <c r="M411" s="28">
        <v>5</v>
      </c>
      <c r="N411" s="32" t="s">
        <v>191</v>
      </c>
      <c r="O411" s="28" t="s">
        <v>185</v>
      </c>
      <c r="P411" s="28" t="s">
        <v>1347</v>
      </c>
      <c r="Q411" s="28" t="s">
        <v>1348</v>
      </c>
      <c r="R411" s="28" t="s">
        <v>1349</v>
      </c>
    </row>
    <row r="412" spans="1:18" hidden="1">
      <c r="A412" s="28">
        <v>12</v>
      </c>
      <c r="B412" s="29" t="s">
        <v>195</v>
      </c>
      <c r="C412" s="29" t="s">
        <v>196</v>
      </c>
      <c r="D412" s="29" t="s">
        <v>197</v>
      </c>
      <c r="E412" s="29" t="s">
        <v>172</v>
      </c>
      <c r="F412" s="28" t="s">
        <v>969</v>
      </c>
      <c r="G412" s="28" t="s">
        <v>970</v>
      </c>
      <c r="H412" s="28" t="s">
        <v>384</v>
      </c>
      <c r="I412" s="28">
        <v>5</v>
      </c>
      <c r="J412" s="30">
        <v>4.9000000000000002E-2</v>
      </c>
      <c r="K412" s="28" t="s">
        <v>335</v>
      </c>
      <c r="L412" s="31">
        <v>42614</v>
      </c>
      <c r="M412" s="28">
        <v>9</v>
      </c>
      <c r="N412" s="32" t="s">
        <v>191</v>
      </c>
      <c r="O412" s="28" t="s">
        <v>204</v>
      </c>
      <c r="P412" s="28" t="s">
        <v>1350</v>
      </c>
      <c r="Q412" s="28" t="s">
        <v>1351</v>
      </c>
      <c r="R412" s="28" t="s">
        <v>1352</v>
      </c>
    </row>
    <row r="413" spans="1:18" hidden="1">
      <c r="A413" s="28">
        <v>12</v>
      </c>
      <c r="B413" s="29" t="s">
        <v>195</v>
      </c>
      <c r="C413" s="29" t="s">
        <v>196</v>
      </c>
      <c r="D413" s="29" t="s">
        <v>197</v>
      </c>
      <c r="E413" s="29" t="s">
        <v>172</v>
      </c>
      <c r="F413" s="28" t="s">
        <v>969</v>
      </c>
      <c r="G413" s="28" t="s">
        <v>970</v>
      </c>
      <c r="H413" s="28" t="s">
        <v>384</v>
      </c>
      <c r="I413" s="28">
        <v>5</v>
      </c>
      <c r="J413" s="30">
        <v>4.9000000000000002E-2</v>
      </c>
      <c r="K413" s="28" t="s">
        <v>651</v>
      </c>
      <c r="L413" s="31">
        <v>42644</v>
      </c>
      <c r="M413" s="28">
        <v>10</v>
      </c>
      <c r="N413" s="32" t="s">
        <v>191</v>
      </c>
      <c r="O413" s="28" t="s">
        <v>1060</v>
      </c>
      <c r="P413" s="28" t="s">
        <v>1353</v>
      </c>
      <c r="Q413" s="28" t="s">
        <v>1354</v>
      </c>
      <c r="R413" s="28" t="s">
        <v>1355</v>
      </c>
    </row>
    <row r="414" spans="1:18" hidden="1">
      <c r="A414" s="28">
        <v>12</v>
      </c>
      <c r="B414" s="29" t="s">
        <v>195</v>
      </c>
      <c r="C414" s="29" t="s">
        <v>196</v>
      </c>
      <c r="D414" s="29" t="s">
        <v>197</v>
      </c>
      <c r="E414" s="29" t="s">
        <v>172</v>
      </c>
      <c r="F414" s="28" t="s">
        <v>969</v>
      </c>
      <c r="G414" s="28" t="s">
        <v>970</v>
      </c>
      <c r="H414" s="28" t="s">
        <v>384</v>
      </c>
      <c r="I414" s="28">
        <v>5</v>
      </c>
      <c r="J414" s="30">
        <v>4.9000000000000002E-2</v>
      </c>
      <c r="K414" s="28" t="s">
        <v>464</v>
      </c>
      <c r="L414" s="31">
        <v>42887</v>
      </c>
      <c r="M414" s="28">
        <v>6</v>
      </c>
      <c r="N414" s="32" t="s">
        <v>184</v>
      </c>
      <c r="O414" s="28" t="s">
        <v>204</v>
      </c>
      <c r="P414" s="28" t="s">
        <v>1356</v>
      </c>
      <c r="Q414" s="28" t="s">
        <v>1351</v>
      </c>
      <c r="R414" s="28" t="s">
        <v>1352</v>
      </c>
    </row>
    <row r="415" spans="1:18" hidden="1">
      <c r="A415" s="28">
        <v>12</v>
      </c>
      <c r="B415" s="29" t="s">
        <v>195</v>
      </c>
      <c r="C415" s="29" t="s">
        <v>196</v>
      </c>
      <c r="D415" s="29" t="s">
        <v>197</v>
      </c>
      <c r="E415" s="29" t="s">
        <v>172</v>
      </c>
      <c r="F415" s="28" t="s">
        <v>969</v>
      </c>
      <c r="G415" s="28" t="s">
        <v>975</v>
      </c>
      <c r="H415" s="28" t="s">
        <v>384</v>
      </c>
      <c r="I415" s="28">
        <v>12</v>
      </c>
      <c r="J415" s="30">
        <v>2.3E-2</v>
      </c>
      <c r="K415" s="28" t="s">
        <v>435</v>
      </c>
      <c r="L415" s="31">
        <v>43040</v>
      </c>
      <c r="M415" s="28">
        <v>11</v>
      </c>
      <c r="N415" s="32" t="s">
        <v>191</v>
      </c>
      <c r="O415" s="28" t="s">
        <v>244</v>
      </c>
      <c r="P415" s="28" t="s">
        <v>1357</v>
      </c>
      <c r="Q415" s="28" t="s">
        <v>1358</v>
      </c>
      <c r="R415" s="28" t="s">
        <v>1359</v>
      </c>
    </row>
    <row r="416" spans="1:18" hidden="1">
      <c r="A416" s="28">
        <v>12</v>
      </c>
      <c r="B416" s="29" t="s">
        <v>195</v>
      </c>
      <c r="C416" s="29" t="s">
        <v>196</v>
      </c>
      <c r="D416" s="29" t="s">
        <v>197</v>
      </c>
      <c r="E416" s="29" t="s">
        <v>172</v>
      </c>
      <c r="F416" s="28" t="s">
        <v>969</v>
      </c>
      <c r="G416" s="28" t="s">
        <v>975</v>
      </c>
      <c r="H416" s="28" t="s">
        <v>384</v>
      </c>
      <c r="I416" s="28">
        <v>12</v>
      </c>
      <c r="J416" s="30">
        <v>2.3E-2</v>
      </c>
      <c r="K416" s="28" t="s">
        <v>559</v>
      </c>
      <c r="L416" s="31">
        <v>43252</v>
      </c>
      <c r="M416" s="28">
        <v>6</v>
      </c>
      <c r="N416" s="32" t="s">
        <v>184</v>
      </c>
      <c r="O416" s="28" t="s">
        <v>204</v>
      </c>
      <c r="P416" s="28" t="s">
        <v>1360</v>
      </c>
      <c r="Q416" s="28" t="s">
        <v>1361</v>
      </c>
      <c r="R416" s="28" t="s">
        <v>1362</v>
      </c>
    </row>
    <row r="417" spans="1:18" hidden="1">
      <c r="A417" s="28">
        <v>12</v>
      </c>
      <c r="B417" s="29" t="s">
        <v>195</v>
      </c>
      <c r="C417" s="29" t="s">
        <v>196</v>
      </c>
      <c r="D417" s="29" t="s">
        <v>197</v>
      </c>
      <c r="E417" s="29" t="s">
        <v>172</v>
      </c>
      <c r="F417" s="28" t="s">
        <v>969</v>
      </c>
      <c r="G417" s="28" t="s">
        <v>970</v>
      </c>
      <c r="H417" s="28" t="s">
        <v>384</v>
      </c>
      <c r="I417" s="28">
        <v>5</v>
      </c>
      <c r="J417" s="30">
        <v>4.9000000000000002E-2</v>
      </c>
      <c r="K417" s="28" t="s">
        <v>212</v>
      </c>
      <c r="L417" s="31">
        <v>43313</v>
      </c>
      <c r="M417" s="28">
        <v>8</v>
      </c>
      <c r="N417" s="32" t="s">
        <v>184</v>
      </c>
      <c r="O417" s="28" t="s">
        <v>794</v>
      </c>
      <c r="P417" s="28" t="s">
        <v>1363</v>
      </c>
      <c r="Q417" s="28" t="s">
        <v>1345</v>
      </c>
      <c r="R417" s="28" t="s">
        <v>1346</v>
      </c>
    </row>
    <row r="418" spans="1:18" hidden="1">
      <c r="A418" s="28">
        <v>12</v>
      </c>
      <c r="B418" s="29" t="s">
        <v>195</v>
      </c>
      <c r="C418" s="29" t="s">
        <v>196</v>
      </c>
      <c r="D418" s="29" t="s">
        <v>197</v>
      </c>
      <c r="E418" s="29" t="s">
        <v>172</v>
      </c>
      <c r="F418" s="28" t="s">
        <v>969</v>
      </c>
      <c r="G418" s="28" t="s">
        <v>1364</v>
      </c>
      <c r="H418" s="28" t="s">
        <v>174</v>
      </c>
      <c r="I418" s="28" t="s">
        <v>174</v>
      </c>
      <c r="J418" s="30" t="s">
        <v>174</v>
      </c>
      <c r="K418" s="28" t="s">
        <v>293</v>
      </c>
      <c r="L418" s="31">
        <v>43374</v>
      </c>
      <c r="M418" s="28">
        <v>10</v>
      </c>
      <c r="N418" s="32" t="s">
        <v>191</v>
      </c>
      <c r="O418" s="28" t="s">
        <v>204</v>
      </c>
      <c r="P418" s="28" t="s">
        <v>1365</v>
      </c>
      <c r="Q418" s="28" t="s">
        <v>1366</v>
      </c>
      <c r="R418" s="28" t="s">
        <v>1367</v>
      </c>
    </row>
    <row r="419" spans="1:18" hidden="1">
      <c r="A419" s="28">
        <v>12</v>
      </c>
      <c r="B419" s="29" t="s">
        <v>195</v>
      </c>
      <c r="C419" s="29" t="s">
        <v>196</v>
      </c>
      <c r="D419" s="29" t="s">
        <v>197</v>
      </c>
      <c r="E419" s="29" t="s">
        <v>172</v>
      </c>
      <c r="F419" s="28" t="s">
        <v>969</v>
      </c>
      <c r="G419" s="28" t="s">
        <v>970</v>
      </c>
      <c r="H419" s="28" t="s">
        <v>384</v>
      </c>
      <c r="I419" s="28">
        <v>5</v>
      </c>
      <c r="J419" s="30">
        <v>4.9000000000000002E-2</v>
      </c>
      <c r="K419" s="28" t="s">
        <v>430</v>
      </c>
      <c r="L419" s="31">
        <v>44105</v>
      </c>
      <c r="M419" s="28">
        <v>10</v>
      </c>
      <c r="N419" s="32" t="s">
        <v>191</v>
      </c>
      <c r="O419" s="28" t="s">
        <v>177</v>
      </c>
      <c r="P419" s="28" t="s">
        <v>1368</v>
      </c>
      <c r="Q419" s="28" t="s">
        <v>1369</v>
      </c>
      <c r="R419" s="28" t="s">
        <v>1370</v>
      </c>
    </row>
    <row r="420" spans="1:18" hidden="1">
      <c r="A420" s="28">
        <v>12</v>
      </c>
      <c r="B420" s="29" t="s">
        <v>195</v>
      </c>
      <c r="C420" s="29" t="s">
        <v>196</v>
      </c>
      <c r="D420" s="29" t="s">
        <v>197</v>
      </c>
      <c r="E420" s="29" t="s">
        <v>172</v>
      </c>
      <c r="F420" s="28" t="s">
        <v>969</v>
      </c>
      <c r="G420" s="28" t="s">
        <v>970</v>
      </c>
      <c r="H420" s="28" t="s">
        <v>384</v>
      </c>
      <c r="I420" s="28">
        <v>5</v>
      </c>
      <c r="J420" s="30">
        <v>4.9000000000000002E-2</v>
      </c>
      <c r="K420" s="28" t="s">
        <v>823</v>
      </c>
      <c r="L420" s="31">
        <v>44136</v>
      </c>
      <c r="M420" s="28">
        <v>11</v>
      </c>
      <c r="N420" s="32" t="s">
        <v>191</v>
      </c>
      <c r="O420" s="28" t="s">
        <v>204</v>
      </c>
      <c r="P420" s="28" t="s">
        <v>1371</v>
      </c>
      <c r="Q420" s="28" t="s">
        <v>1351</v>
      </c>
      <c r="R420" s="28" t="s">
        <v>1352</v>
      </c>
    </row>
    <row r="421" spans="1:18" hidden="1">
      <c r="A421" s="28">
        <v>12</v>
      </c>
      <c r="B421" s="29" t="s">
        <v>195</v>
      </c>
      <c r="C421" s="29" t="s">
        <v>196</v>
      </c>
      <c r="D421" s="29" t="s">
        <v>197</v>
      </c>
      <c r="E421" s="29" t="s">
        <v>172</v>
      </c>
      <c r="F421" s="28" t="s">
        <v>969</v>
      </c>
      <c r="G421" s="28" t="s">
        <v>970</v>
      </c>
      <c r="H421" s="28" t="s">
        <v>384</v>
      </c>
      <c r="I421" s="28">
        <v>5</v>
      </c>
      <c r="J421" s="30">
        <v>4.9000000000000002E-2</v>
      </c>
      <c r="K421" s="28" t="s">
        <v>297</v>
      </c>
      <c r="L421" s="31">
        <v>44409</v>
      </c>
      <c r="M421" s="28">
        <v>8</v>
      </c>
      <c r="N421" s="32" t="s">
        <v>184</v>
      </c>
      <c r="O421" s="28" t="s">
        <v>185</v>
      </c>
      <c r="P421" s="28" t="s">
        <v>1372</v>
      </c>
      <c r="Q421" s="28" t="s">
        <v>1373</v>
      </c>
      <c r="R421" s="28" t="s">
        <v>1374</v>
      </c>
    </row>
    <row r="422" spans="1:18" hidden="1">
      <c r="A422" s="28">
        <v>12</v>
      </c>
      <c r="B422" s="29" t="s">
        <v>195</v>
      </c>
      <c r="C422" s="29" t="s">
        <v>196</v>
      </c>
      <c r="D422" s="29" t="s">
        <v>197</v>
      </c>
      <c r="E422" s="29" t="s">
        <v>172</v>
      </c>
      <c r="F422" s="28" t="s">
        <v>969</v>
      </c>
      <c r="G422" s="28" t="s">
        <v>975</v>
      </c>
      <c r="H422" s="28" t="s">
        <v>384</v>
      </c>
      <c r="I422" s="28">
        <v>12</v>
      </c>
      <c r="J422" s="30">
        <v>2.3E-2</v>
      </c>
      <c r="K422" s="28" t="s">
        <v>1375</v>
      </c>
      <c r="L422" s="31" t="s">
        <v>221</v>
      </c>
      <c r="M422" s="28" t="e">
        <v>#VALUE!</v>
      </c>
      <c r="N422" s="32" t="e">
        <v>#VALUE!</v>
      </c>
      <c r="O422" s="28" t="s">
        <v>185</v>
      </c>
      <c r="P422" s="28" t="s">
        <v>1376</v>
      </c>
      <c r="Q422" s="28" t="s">
        <v>1377</v>
      </c>
      <c r="R422" s="28" t="s">
        <v>1378</v>
      </c>
    </row>
    <row r="423" spans="1:18" hidden="1">
      <c r="A423" s="28">
        <v>12</v>
      </c>
      <c r="B423" s="29" t="s">
        <v>195</v>
      </c>
      <c r="C423" s="29" t="s">
        <v>202</v>
      </c>
      <c r="D423" s="29" t="s">
        <v>203</v>
      </c>
      <c r="E423" s="29" t="s">
        <v>172</v>
      </c>
      <c r="F423" s="28" t="s">
        <v>969</v>
      </c>
      <c r="G423" s="28" t="s">
        <v>975</v>
      </c>
      <c r="H423" s="28" t="s">
        <v>384</v>
      </c>
      <c r="I423" s="28">
        <v>12</v>
      </c>
      <c r="J423" s="30">
        <v>2.3E-2</v>
      </c>
      <c r="K423" s="28" t="s">
        <v>391</v>
      </c>
      <c r="L423" s="31">
        <v>42370</v>
      </c>
      <c r="M423" s="28">
        <v>1</v>
      </c>
      <c r="N423" s="32" t="s">
        <v>176</v>
      </c>
      <c r="O423" s="28" t="s">
        <v>244</v>
      </c>
      <c r="P423" s="28" t="s">
        <v>1379</v>
      </c>
      <c r="Q423" s="28" t="s">
        <v>1358</v>
      </c>
      <c r="R423" s="28" t="s">
        <v>1359</v>
      </c>
    </row>
    <row r="424" spans="1:18" hidden="1">
      <c r="A424" s="28">
        <v>12</v>
      </c>
      <c r="B424" s="29" t="s">
        <v>195</v>
      </c>
      <c r="C424" s="29" t="s">
        <v>202</v>
      </c>
      <c r="D424" s="29" t="s">
        <v>203</v>
      </c>
      <c r="E424" s="29" t="s">
        <v>172</v>
      </c>
      <c r="F424" s="28" t="s">
        <v>969</v>
      </c>
      <c r="G424" s="28" t="s">
        <v>1380</v>
      </c>
      <c r="H424" s="28" t="s">
        <v>174</v>
      </c>
      <c r="I424" s="28" t="s">
        <v>174</v>
      </c>
      <c r="J424" s="30" t="s">
        <v>174</v>
      </c>
      <c r="K424" s="28" t="s">
        <v>267</v>
      </c>
      <c r="L424" s="31">
        <v>42583</v>
      </c>
      <c r="M424" s="28">
        <v>8</v>
      </c>
      <c r="N424" s="32" t="s">
        <v>184</v>
      </c>
      <c r="O424" s="28" t="s">
        <v>794</v>
      </c>
      <c r="P424" s="28" t="s">
        <v>1381</v>
      </c>
      <c r="Q424" s="28" t="s">
        <v>1382</v>
      </c>
      <c r="R424" s="28" t="s">
        <v>1383</v>
      </c>
    </row>
    <row r="425" spans="1:18" hidden="1">
      <c r="A425" s="28">
        <v>12</v>
      </c>
      <c r="B425" s="29" t="s">
        <v>195</v>
      </c>
      <c r="C425" s="29" t="s">
        <v>202</v>
      </c>
      <c r="D425" s="29" t="s">
        <v>203</v>
      </c>
      <c r="E425" s="29" t="s">
        <v>172</v>
      </c>
      <c r="F425" s="28" t="s">
        <v>969</v>
      </c>
      <c r="G425" s="28" t="s">
        <v>975</v>
      </c>
      <c r="H425" s="28" t="s">
        <v>384</v>
      </c>
      <c r="I425" s="28">
        <v>12</v>
      </c>
      <c r="J425" s="30">
        <v>2.3E-2</v>
      </c>
      <c r="K425" s="28" t="s">
        <v>248</v>
      </c>
      <c r="L425" s="31">
        <v>43070</v>
      </c>
      <c r="M425" s="28">
        <v>12</v>
      </c>
      <c r="N425" s="32" t="s">
        <v>176</v>
      </c>
      <c r="O425" s="28" t="s">
        <v>794</v>
      </c>
      <c r="P425" s="28" t="s">
        <v>1384</v>
      </c>
      <c r="Q425" s="28" t="s">
        <v>1385</v>
      </c>
      <c r="R425" s="28" t="s">
        <v>1386</v>
      </c>
    </row>
    <row r="426" spans="1:18" hidden="1">
      <c r="A426" s="28">
        <v>12</v>
      </c>
      <c r="B426" s="29" t="s">
        <v>195</v>
      </c>
      <c r="C426" s="29" t="s">
        <v>202</v>
      </c>
      <c r="D426" s="29" t="s">
        <v>203</v>
      </c>
      <c r="E426" s="29" t="s">
        <v>172</v>
      </c>
      <c r="F426" s="28" t="s">
        <v>969</v>
      </c>
      <c r="G426" s="28" t="s">
        <v>975</v>
      </c>
      <c r="H426" s="28" t="s">
        <v>384</v>
      </c>
      <c r="I426" s="28">
        <v>12</v>
      </c>
      <c r="J426" s="30">
        <v>2.3E-2</v>
      </c>
      <c r="K426" s="28" t="s">
        <v>501</v>
      </c>
      <c r="L426" s="31">
        <v>43405</v>
      </c>
      <c r="M426" s="28">
        <v>11</v>
      </c>
      <c r="N426" s="32" t="s">
        <v>191</v>
      </c>
      <c r="O426" s="28" t="s">
        <v>244</v>
      </c>
      <c r="P426" s="28" t="s">
        <v>1387</v>
      </c>
      <c r="Q426" s="28" t="s">
        <v>1358</v>
      </c>
      <c r="R426" s="28" t="s">
        <v>1359</v>
      </c>
    </row>
    <row r="427" spans="1:18" hidden="1">
      <c r="A427" s="28">
        <v>12</v>
      </c>
      <c r="B427" s="29" t="s">
        <v>195</v>
      </c>
      <c r="C427" s="29" t="s">
        <v>202</v>
      </c>
      <c r="D427" s="29" t="s">
        <v>203</v>
      </c>
      <c r="E427" s="29" t="s">
        <v>172</v>
      </c>
      <c r="F427" s="28" t="s">
        <v>969</v>
      </c>
      <c r="G427" s="28" t="s">
        <v>975</v>
      </c>
      <c r="H427" s="28" t="s">
        <v>384</v>
      </c>
      <c r="I427" s="28">
        <v>12</v>
      </c>
      <c r="J427" s="30">
        <v>2.3E-2</v>
      </c>
      <c r="K427" s="28" t="s">
        <v>823</v>
      </c>
      <c r="L427" s="31">
        <v>44136</v>
      </c>
      <c r="M427" s="28">
        <v>11</v>
      </c>
      <c r="N427" s="32" t="s">
        <v>191</v>
      </c>
      <c r="O427" s="28" t="s">
        <v>244</v>
      </c>
      <c r="P427" s="28" t="s">
        <v>1388</v>
      </c>
      <c r="Q427" s="28" t="s">
        <v>1358</v>
      </c>
      <c r="R427" s="28" t="s">
        <v>1359</v>
      </c>
    </row>
    <row r="428" spans="1:18" hidden="1">
      <c r="A428" s="28">
        <v>12</v>
      </c>
      <c r="B428" s="29" t="s">
        <v>195</v>
      </c>
      <c r="C428" s="29" t="s">
        <v>202</v>
      </c>
      <c r="D428" s="29" t="s">
        <v>1389</v>
      </c>
      <c r="E428" s="29" t="s">
        <v>172</v>
      </c>
      <c r="F428" s="28" t="s">
        <v>1245</v>
      </c>
      <c r="G428" s="28" t="s">
        <v>1246</v>
      </c>
      <c r="H428" s="28" t="s">
        <v>174</v>
      </c>
      <c r="I428" s="28" t="s">
        <v>174</v>
      </c>
      <c r="J428" s="30" t="s">
        <v>174</v>
      </c>
      <c r="K428" s="28" t="s">
        <v>267</v>
      </c>
      <c r="L428" s="31">
        <v>42583</v>
      </c>
      <c r="M428" s="28">
        <v>8</v>
      </c>
      <c r="N428" s="32" t="s">
        <v>184</v>
      </c>
      <c r="O428" s="28" t="s">
        <v>185</v>
      </c>
      <c r="P428" s="28" t="s">
        <v>1390</v>
      </c>
      <c r="Q428" s="28" t="s">
        <v>1051</v>
      </c>
      <c r="R428" s="28" t="s">
        <v>1294</v>
      </c>
    </row>
    <row r="429" spans="1:18" hidden="1">
      <c r="A429" s="28">
        <v>12</v>
      </c>
      <c r="B429" s="29" t="s">
        <v>195</v>
      </c>
      <c r="C429" s="29" t="s">
        <v>1391</v>
      </c>
      <c r="D429" s="29" t="s">
        <v>1392</v>
      </c>
      <c r="E429" s="29" t="s">
        <v>172</v>
      </c>
      <c r="F429" s="28" t="s">
        <v>969</v>
      </c>
      <c r="G429" s="28" t="s">
        <v>970</v>
      </c>
      <c r="H429" s="28" t="s">
        <v>384</v>
      </c>
      <c r="I429" s="28">
        <v>5</v>
      </c>
      <c r="J429" s="30">
        <v>4.9000000000000002E-2</v>
      </c>
      <c r="K429" s="28" t="s">
        <v>1393</v>
      </c>
      <c r="L429" s="31" t="s">
        <v>221</v>
      </c>
      <c r="M429" s="28" t="e">
        <v>#VALUE!</v>
      </c>
      <c r="N429" s="32" t="e">
        <v>#VALUE!</v>
      </c>
      <c r="O429" s="28" t="s">
        <v>185</v>
      </c>
      <c r="P429" s="28" t="s">
        <v>1394</v>
      </c>
      <c r="Q429" s="28" t="s">
        <v>1395</v>
      </c>
      <c r="R429" s="28" t="s">
        <v>1396</v>
      </c>
    </row>
    <row r="430" spans="1:18" hidden="1">
      <c r="A430" s="28">
        <v>12</v>
      </c>
      <c r="B430" s="29" t="s">
        <v>195</v>
      </c>
      <c r="C430" s="29" t="s">
        <v>1397</v>
      </c>
      <c r="D430" s="29" t="s">
        <v>1398</v>
      </c>
      <c r="E430" s="29" t="s">
        <v>172</v>
      </c>
      <c r="F430" s="28" t="s">
        <v>969</v>
      </c>
      <c r="G430" s="28" t="s">
        <v>1007</v>
      </c>
      <c r="H430" s="28" t="s">
        <v>174</v>
      </c>
      <c r="I430" s="28" t="s">
        <v>174</v>
      </c>
      <c r="J430" s="30" t="s">
        <v>174</v>
      </c>
      <c r="K430" s="28" t="s">
        <v>218</v>
      </c>
      <c r="L430" s="31">
        <v>44044</v>
      </c>
      <c r="M430" s="28">
        <v>8</v>
      </c>
      <c r="N430" s="32" t="s">
        <v>184</v>
      </c>
      <c r="O430" s="28" t="s">
        <v>794</v>
      </c>
      <c r="P430" s="28" t="s">
        <v>1399</v>
      </c>
      <c r="Q430" s="28" t="s">
        <v>1400</v>
      </c>
      <c r="R430" s="28" t="s">
        <v>1401</v>
      </c>
    </row>
    <row r="431" spans="1:18" hidden="1">
      <c r="A431" s="28">
        <v>12</v>
      </c>
      <c r="B431" s="29" t="s">
        <v>195</v>
      </c>
      <c r="C431" s="29" t="s">
        <v>225</v>
      </c>
      <c r="D431" s="29" t="s">
        <v>453</v>
      </c>
      <c r="E431" s="29" t="s">
        <v>172</v>
      </c>
      <c r="F431" s="28" t="s">
        <v>969</v>
      </c>
      <c r="G431" s="28" t="s">
        <v>1364</v>
      </c>
      <c r="H431" s="28" t="s">
        <v>174</v>
      </c>
      <c r="I431" s="28" t="s">
        <v>174</v>
      </c>
      <c r="J431" s="30" t="s">
        <v>174</v>
      </c>
      <c r="K431" s="28" t="s">
        <v>485</v>
      </c>
      <c r="L431" s="31">
        <v>42401</v>
      </c>
      <c r="M431" s="28">
        <v>2</v>
      </c>
      <c r="N431" s="32" t="s">
        <v>176</v>
      </c>
      <c r="O431" s="28" t="s">
        <v>244</v>
      </c>
      <c r="P431" s="28" t="s">
        <v>1402</v>
      </c>
      <c r="Q431" s="28" t="s">
        <v>246</v>
      </c>
      <c r="R431" s="28" t="s">
        <v>247</v>
      </c>
    </row>
    <row r="432" spans="1:18" hidden="1">
      <c r="A432" s="28">
        <v>12</v>
      </c>
      <c r="B432" s="29" t="s">
        <v>195</v>
      </c>
      <c r="C432" s="29" t="s">
        <v>225</v>
      </c>
      <c r="D432" s="29" t="s">
        <v>453</v>
      </c>
      <c r="E432" s="29" t="s">
        <v>172</v>
      </c>
      <c r="F432" s="28" t="s">
        <v>969</v>
      </c>
      <c r="G432" s="28" t="s">
        <v>1364</v>
      </c>
      <c r="H432" s="28" t="s">
        <v>174</v>
      </c>
      <c r="I432" s="28" t="s">
        <v>174</v>
      </c>
      <c r="J432" s="30" t="s">
        <v>174</v>
      </c>
      <c r="K432" s="28" t="s">
        <v>243</v>
      </c>
      <c r="L432" s="31">
        <v>42461</v>
      </c>
      <c r="M432" s="28">
        <v>4</v>
      </c>
      <c r="N432" s="32" t="s">
        <v>191</v>
      </c>
      <c r="O432" s="28" t="s">
        <v>204</v>
      </c>
      <c r="P432" s="28" t="s">
        <v>1403</v>
      </c>
      <c r="Q432" s="28" t="s">
        <v>1404</v>
      </c>
      <c r="R432" s="28" t="s">
        <v>1405</v>
      </c>
    </row>
    <row r="433" spans="1:18" hidden="1">
      <c r="A433" s="28">
        <v>12</v>
      </c>
      <c r="B433" s="29" t="s">
        <v>195</v>
      </c>
      <c r="C433" s="29" t="s">
        <v>225</v>
      </c>
      <c r="D433" s="29" t="s">
        <v>453</v>
      </c>
      <c r="E433" s="29" t="s">
        <v>172</v>
      </c>
      <c r="F433" s="28" t="s">
        <v>969</v>
      </c>
      <c r="G433" s="28" t="s">
        <v>1364</v>
      </c>
      <c r="H433" s="28" t="s">
        <v>174</v>
      </c>
      <c r="I433" s="28" t="s">
        <v>174</v>
      </c>
      <c r="J433" s="30" t="s">
        <v>174</v>
      </c>
      <c r="K433" s="28" t="s">
        <v>243</v>
      </c>
      <c r="L433" s="31">
        <v>42461</v>
      </c>
      <c r="M433" s="28">
        <v>4</v>
      </c>
      <c r="N433" s="32" t="s">
        <v>191</v>
      </c>
      <c r="O433" s="28" t="s">
        <v>204</v>
      </c>
      <c r="P433" s="28" t="s">
        <v>1406</v>
      </c>
      <c r="Q433" s="28" t="s">
        <v>1407</v>
      </c>
      <c r="R433" s="28" t="s">
        <v>1408</v>
      </c>
    </row>
    <row r="434" spans="1:18" hidden="1">
      <c r="A434" s="28">
        <v>12</v>
      </c>
      <c r="B434" s="29" t="s">
        <v>195</v>
      </c>
      <c r="C434" s="29" t="s">
        <v>225</v>
      </c>
      <c r="D434" s="29" t="s">
        <v>453</v>
      </c>
      <c r="E434" s="29" t="s">
        <v>172</v>
      </c>
      <c r="F434" s="28" t="s">
        <v>969</v>
      </c>
      <c r="G434" s="28" t="s">
        <v>1364</v>
      </c>
      <c r="H434" s="28" t="s">
        <v>174</v>
      </c>
      <c r="I434" s="28" t="s">
        <v>174</v>
      </c>
      <c r="J434" s="30" t="s">
        <v>174</v>
      </c>
      <c r="K434" s="28" t="s">
        <v>243</v>
      </c>
      <c r="L434" s="31">
        <v>42461</v>
      </c>
      <c r="M434" s="28">
        <v>4</v>
      </c>
      <c r="N434" s="32" t="s">
        <v>191</v>
      </c>
      <c r="O434" s="28" t="s">
        <v>204</v>
      </c>
      <c r="P434" s="28" t="s">
        <v>1409</v>
      </c>
      <c r="Q434" s="28" t="s">
        <v>1410</v>
      </c>
      <c r="R434" s="28" t="s">
        <v>1411</v>
      </c>
    </row>
    <row r="435" spans="1:18" hidden="1">
      <c r="A435" s="28">
        <v>12</v>
      </c>
      <c r="B435" s="29" t="s">
        <v>195</v>
      </c>
      <c r="C435" s="29" t="s">
        <v>225</v>
      </c>
      <c r="D435" s="29" t="s">
        <v>453</v>
      </c>
      <c r="E435" s="29" t="s">
        <v>172</v>
      </c>
      <c r="F435" s="28" t="s">
        <v>969</v>
      </c>
      <c r="G435" s="28" t="s">
        <v>1364</v>
      </c>
      <c r="H435" s="28" t="s">
        <v>174</v>
      </c>
      <c r="I435" s="28" t="s">
        <v>174</v>
      </c>
      <c r="J435" s="30" t="s">
        <v>174</v>
      </c>
      <c r="K435" s="28" t="s">
        <v>335</v>
      </c>
      <c r="L435" s="31">
        <v>42614</v>
      </c>
      <c r="M435" s="28">
        <v>9</v>
      </c>
      <c r="N435" s="32" t="s">
        <v>191</v>
      </c>
      <c r="O435" s="28" t="s">
        <v>204</v>
      </c>
      <c r="P435" s="28" t="s">
        <v>1412</v>
      </c>
      <c r="Q435" s="28" t="s">
        <v>1407</v>
      </c>
      <c r="R435" s="28" t="s">
        <v>1408</v>
      </c>
    </row>
    <row r="436" spans="1:18" hidden="1">
      <c r="A436" s="28">
        <v>12</v>
      </c>
      <c r="B436" s="29" t="s">
        <v>195</v>
      </c>
      <c r="C436" s="29" t="s">
        <v>225</v>
      </c>
      <c r="D436" s="29" t="s">
        <v>453</v>
      </c>
      <c r="E436" s="29" t="s">
        <v>172</v>
      </c>
      <c r="F436" s="28" t="s">
        <v>969</v>
      </c>
      <c r="G436" s="28" t="s">
        <v>1364</v>
      </c>
      <c r="H436" s="28" t="s">
        <v>174</v>
      </c>
      <c r="I436" s="28" t="s">
        <v>174</v>
      </c>
      <c r="J436" s="30" t="s">
        <v>174</v>
      </c>
      <c r="K436" s="28" t="s">
        <v>335</v>
      </c>
      <c r="L436" s="31">
        <v>42614</v>
      </c>
      <c r="M436" s="28">
        <v>9</v>
      </c>
      <c r="N436" s="32" t="s">
        <v>191</v>
      </c>
      <c r="O436" s="28" t="s">
        <v>794</v>
      </c>
      <c r="P436" s="28" t="s">
        <v>1413</v>
      </c>
      <c r="Q436" s="28" t="s">
        <v>1414</v>
      </c>
      <c r="R436" s="28" t="s">
        <v>1415</v>
      </c>
    </row>
    <row r="437" spans="1:18" hidden="1">
      <c r="A437" s="28">
        <v>12</v>
      </c>
      <c r="B437" s="29" t="s">
        <v>195</v>
      </c>
      <c r="C437" s="29" t="s">
        <v>225</v>
      </c>
      <c r="D437" s="29" t="s">
        <v>453</v>
      </c>
      <c r="E437" s="29" t="s">
        <v>172</v>
      </c>
      <c r="F437" s="28" t="s">
        <v>969</v>
      </c>
      <c r="G437" s="28" t="s">
        <v>1364</v>
      </c>
      <c r="H437" s="28" t="s">
        <v>174</v>
      </c>
      <c r="I437" s="28" t="s">
        <v>174</v>
      </c>
      <c r="J437" s="30" t="s">
        <v>174</v>
      </c>
      <c r="K437" s="28" t="s">
        <v>651</v>
      </c>
      <c r="L437" s="31">
        <v>42644</v>
      </c>
      <c r="M437" s="28">
        <v>10</v>
      </c>
      <c r="N437" s="32" t="s">
        <v>191</v>
      </c>
      <c r="O437" s="28" t="s">
        <v>185</v>
      </c>
      <c r="P437" s="28" t="s">
        <v>1416</v>
      </c>
      <c r="Q437" s="28" t="s">
        <v>1417</v>
      </c>
      <c r="R437" s="28" t="s">
        <v>1418</v>
      </c>
    </row>
    <row r="438" spans="1:18" hidden="1">
      <c r="A438" s="28">
        <v>12</v>
      </c>
      <c r="B438" s="29" t="s">
        <v>195</v>
      </c>
      <c r="C438" s="29" t="s">
        <v>225</v>
      </c>
      <c r="D438" s="29" t="s">
        <v>453</v>
      </c>
      <c r="E438" s="29" t="s">
        <v>172</v>
      </c>
      <c r="F438" s="28" t="s">
        <v>969</v>
      </c>
      <c r="G438" s="28" t="s">
        <v>1364</v>
      </c>
      <c r="H438" s="28" t="s">
        <v>174</v>
      </c>
      <c r="I438" s="28" t="s">
        <v>174</v>
      </c>
      <c r="J438" s="30" t="s">
        <v>174</v>
      </c>
      <c r="K438" s="28" t="s">
        <v>460</v>
      </c>
      <c r="L438" s="31">
        <v>42675</v>
      </c>
      <c r="M438" s="28">
        <v>11</v>
      </c>
      <c r="N438" s="32" t="s">
        <v>191</v>
      </c>
      <c r="O438" s="28" t="s">
        <v>204</v>
      </c>
      <c r="P438" s="28" t="s">
        <v>1419</v>
      </c>
      <c r="Q438" s="28" t="s">
        <v>1420</v>
      </c>
      <c r="R438" s="28" t="s">
        <v>1421</v>
      </c>
    </row>
    <row r="439" spans="1:18" hidden="1">
      <c r="A439" s="28">
        <v>12</v>
      </c>
      <c r="B439" s="29" t="s">
        <v>195</v>
      </c>
      <c r="C439" s="29" t="s">
        <v>225</v>
      </c>
      <c r="D439" s="29" t="s">
        <v>453</v>
      </c>
      <c r="E439" s="29" t="s">
        <v>172</v>
      </c>
      <c r="F439" s="28" t="s">
        <v>969</v>
      </c>
      <c r="G439" s="28" t="s">
        <v>1364</v>
      </c>
      <c r="H439" s="28" t="s">
        <v>174</v>
      </c>
      <c r="I439" s="28" t="s">
        <v>174</v>
      </c>
      <c r="J439" s="30" t="s">
        <v>174</v>
      </c>
      <c r="K439" s="28" t="s">
        <v>460</v>
      </c>
      <c r="L439" s="31">
        <v>42675</v>
      </c>
      <c r="M439" s="28">
        <v>11</v>
      </c>
      <c r="N439" s="32" t="s">
        <v>191</v>
      </c>
      <c r="O439" s="28" t="s">
        <v>204</v>
      </c>
      <c r="P439" s="28" t="s">
        <v>1422</v>
      </c>
      <c r="Q439" s="28" t="s">
        <v>1423</v>
      </c>
      <c r="R439" s="28" t="s">
        <v>1424</v>
      </c>
    </row>
    <row r="440" spans="1:18" hidden="1">
      <c r="A440" s="28">
        <v>12</v>
      </c>
      <c r="B440" s="29" t="s">
        <v>195</v>
      </c>
      <c r="C440" s="29" t="s">
        <v>225</v>
      </c>
      <c r="D440" s="29" t="s">
        <v>453</v>
      </c>
      <c r="E440" s="29" t="s">
        <v>172</v>
      </c>
      <c r="F440" s="28" t="s">
        <v>969</v>
      </c>
      <c r="G440" s="28" t="s">
        <v>975</v>
      </c>
      <c r="H440" s="28" t="s">
        <v>384</v>
      </c>
      <c r="I440" s="28">
        <v>12</v>
      </c>
      <c r="J440" s="30">
        <v>2.3E-2</v>
      </c>
      <c r="K440" s="28" t="s">
        <v>460</v>
      </c>
      <c r="L440" s="31">
        <v>42675</v>
      </c>
      <c r="M440" s="28">
        <v>11</v>
      </c>
      <c r="N440" s="32" t="s">
        <v>191</v>
      </c>
      <c r="O440" s="28" t="s">
        <v>794</v>
      </c>
      <c r="P440" s="28" t="s">
        <v>1425</v>
      </c>
      <c r="Q440" s="28" t="s">
        <v>1414</v>
      </c>
      <c r="R440" s="28" t="s">
        <v>1415</v>
      </c>
    </row>
    <row r="441" spans="1:18" hidden="1">
      <c r="A441" s="28">
        <v>12</v>
      </c>
      <c r="B441" s="29" t="s">
        <v>195</v>
      </c>
      <c r="C441" s="29" t="s">
        <v>225</v>
      </c>
      <c r="D441" s="29" t="s">
        <v>453</v>
      </c>
      <c r="E441" s="29" t="s">
        <v>172</v>
      </c>
      <c r="F441" s="28" t="s">
        <v>969</v>
      </c>
      <c r="G441" s="28" t="s">
        <v>1364</v>
      </c>
      <c r="H441" s="28" t="s">
        <v>174</v>
      </c>
      <c r="I441" s="28" t="s">
        <v>174</v>
      </c>
      <c r="J441" s="30" t="s">
        <v>174</v>
      </c>
      <c r="K441" s="28" t="s">
        <v>401</v>
      </c>
      <c r="L441" s="31">
        <v>42705</v>
      </c>
      <c r="M441" s="28">
        <v>12</v>
      </c>
      <c r="N441" s="32" t="s">
        <v>176</v>
      </c>
      <c r="O441" s="28" t="s">
        <v>204</v>
      </c>
      <c r="P441" s="28" t="s">
        <v>1426</v>
      </c>
      <c r="Q441" s="28" t="s">
        <v>1427</v>
      </c>
      <c r="R441" s="28" t="s">
        <v>1428</v>
      </c>
    </row>
    <row r="442" spans="1:18" hidden="1">
      <c r="A442" s="28">
        <v>12</v>
      </c>
      <c r="B442" s="29" t="s">
        <v>195</v>
      </c>
      <c r="C442" s="29" t="s">
        <v>225</v>
      </c>
      <c r="D442" s="29" t="s">
        <v>453</v>
      </c>
      <c r="E442" s="29" t="s">
        <v>172</v>
      </c>
      <c r="F442" s="28" t="s">
        <v>969</v>
      </c>
      <c r="G442" s="28" t="s">
        <v>1364</v>
      </c>
      <c r="H442" s="28" t="s">
        <v>174</v>
      </c>
      <c r="I442" s="28" t="s">
        <v>174</v>
      </c>
      <c r="J442" s="30" t="s">
        <v>174</v>
      </c>
      <c r="K442" s="28" t="s">
        <v>271</v>
      </c>
      <c r="L442" s="31">
        <v>42856</v>
      </c>
      <c r="M442" s="28">
        <v>5</v>
      </c>
      <c r="N442" s="32" t="s">
        <v>191</v>
      </c>
      <c r="O442" s="28" t="s">
        <v>204</v>
      </c>
      <c r="P442" s="28" t="s">
        <v>1429</v>
      </c>
      <c r="Q442" s="28" t="s">
        <v>1430</v>
      </c>
      <c r="R442" s="28" t="s">
        <v>1431</v>
      </c>
    </row>
    <row r="443" spans="1:18" hidden="1">
      <c r="A443" s="28">
        <v>12</v>
      </c>
      <c r="B443" s="29" t="s">
        <v>195</v>
      </c>
      <c r="C443" s="29" t="s">
        <v>225</v>
      </c>
      <c r="D443" s="29" t="s">
        <v>453</v>
      </c>
      <c r="E443" s="29" t="s">
        <v>172</v>
      </c>
      <c r="F443" s="28" t="s">
        <v>969</v>
      </c>
      <c r="G443" s="28" t="s">
        <v>1364</v>
      </c>
      <c r="H443" s="28" t="s">
        <v>174</v>
      </c>
      <c r="I443" s="28" t="s">
        <v>174</v>
      </c>
      <c r="J443" s="30" t="s">
        <v>174</v>
      </c>
      <c r="K443" s="28" t="s">
        <v>813</v>
      </c>
      <c r="L443" s="31">
        <v>43009</v>
      </c>
      <c r="M443" s="28">
        <v>10</v>
      </c>
      <c r="N443" s="32" t="s">
        <v>191</v>
      </c>
      <c r="O443" s="28" t="s">
        <v>953</v>
      </c>
      <c r="P443" s="28" t="s">
        <v>1432</v>
      </c>
      <c r="Q443" s="28" t="s">
        <v>1433</v>
      </c>
      <c r="R443" s="28" t="s">
        <v>1434</v>
      </c>
    </row>
    <row r="444" spans="1:18" hidden="1">
      <c r="A444" s="28">
        <v>12</v>
      </c>
      <c r="B444" s="29" t="s">
        <v>195</v>
      </c>
      <c r="C444" s="29" t="s">
        <v>225</v>
      </c>
      <c r="D444" s="29" t="s">
        <v>453</v>
      </c>
      <c r="E444" s="29" t="s">
        <v>172</v>
      </c>
      <c r="F444" s="28" t="s">
        <v>969</v>
      </c>
      <c r="G444" s="28" t="s">
        <v>1364</v>
      </c>
      <c r="H444" s="28" t="s">
        <v>174</v>
      </c>
      <c r="I444" s="28" t="s">
        <v>174</v>
      </c>
      <c r="J444" s="30" t="s">
        <v>174</v>
      </c>
      <c r="K444" s="28" t="s">
        <v>248</v>
      </c>
      <c r="L444" s="31">
        <v>43070</v>
      </c>
      <c r="M444" s="28">
        <v>12</v>
      </c>
      <c r="N444" s="32" t="s">
        <v>176</v>
      </c>
      <c r="O444" s="28" t="s">
        <v>204</v>
      </c>
      <c r="P444" s="28" t="s">
        <v>1435</v>
      </c>
      <c r="Q444" s="28" t="s">
        <v>1436</v>
      </c>
      <c r="R444" s="28" t="s">
        <v>1437</v>
      </c>
    </row>
    <row r="445" spans="1:18" hidden="1">
      <c r="A445" s="28">
        <v>12</v>
      </c>
      <c r="B445" s="29" t="s">
        <v>195</v>
      </c>
      <c r="C445" s="29" t="s">
        <v>225</v>
      </c>
      <c r="D445" s="29" t="s">
        <v>453</v>
      </c>
      <c r="E445" s="29" t="s">
        <v>172</v>
      </c>
      <c r="F445" s="28" t="s">
        <v>969</v>
      </c>
      <c r="G445" s="28" t="s">
        <v>1364</v>
      </c>
      <c r="H445" s="28" t="s">
        <v>174</v>
      </c>
      <c r="I445" s="28" t="s">
        <v>174</v>
      </c>
      <c r="J445" s="30" t="s">
        <v>174</v>
      </c>
      <c r="K445" s="28" t="s">
        <v>248</v>
      </c>
      <c r="L445" s="31">
        <v>43070</v>
      </c>
      <c r="M445" s="28">
        <v>12</v>
      </c>
      <c r="N445" s="32" t="s">
        <v>176</v>
      </c>
      <c r="O445" s="28" t="s">
        <v>204</v>
      </c>
      <c r="P445" s="28" t="s">
        <v>1438</v>
      </c>
      <c r="Q445" s="28" t="s">
        <v>1410</v>
      </c>
      <c r="R445" s="28" t="s">
        <v>1411</v>
      </c>
    </row>
    <row r="446" spans="1:18" hidden="1">
      <c r="A446" s="28">
        <v>12</v>
      </c>
      <c r="B446" s="29" t="s">
        <v>195</v>
      </c>
      <c r="C446" s="29" t="s">
        <v>225</v>
      </c>
      <c r="D446" s="29" t="s">
        <v>453</v>
      </c>
      <c r="E446" s="29" t="s">
        <v>172</v>
      </c>
      <c r="F446" s="28" t="s">
        <v>969</v>
      </c>
      <c r="G446" s="28" t="s">
        <v>1364</v>
      </c>
      <c r="H446" s="28" t="s">
        <v>174</v>
      </c>
      <c r="I446" s="28" t="s">
        <v>174</v>
      </c>
      <c r="J446" s="30" t="s">
        <v>174</v>
      </c>
      <c r="K446" s="28" t="s">
        <v>678</v>
      </c>
      <c r="L446" s="31">
        <v>43344</v>
      </c>
      <c r="M446" s="28">
        <v>9</v>
      </c>
      <c r="N446" s="32" t="s">
        <v>191</v>
      </c>
      <c r="O446" s="28" t="s">
        <v>204</v>
      </c>
      <c r="P446" s="28" t="s">
        <v>1439</v>
      </c>
      <c r="Q446" s="28" t="s">
        <v>1407</v>
      </c>
      <c r="R446" s="28" t="s">
        <v>1408</v>
      </c>
    </row>
    <row r="447" spans="1:18" hidden="1">
      <c r="A447" s="28">
        <v>12</v>
      </c>
      <c r="B447" s="29" t="s">
        <v>195</v>
      </c>
      <c r="C447" s="29" t="s">
        <v>225</v>
      </c>
      <c r="D447" s="29" t="s">
        <v>453</v>
      </c>
      <c r="E447" s="29" t="s">
        <v>172</v>
      </c>
      <c r="F447" s="28" t="s">
        <v>969</v>
      </c>
      <c r="G447" s="28" t="s">
        <v>1364</v>
      </c>
      <c r="H447" s="28" t="s">
        <v>174</v>
      </c>
      <c r="I447" s="28" t="s">
        <v>174</v>
      </c>
      <c r="J447" s="30" t="s">
        <v>174</v>
      </c>
      <c r="K447" s="28" t="s">
        <v>214</v>
      </c>
      <c r="L447" s="31">
        <v>43466</v>
      </c>
      <c r="M447" s="28">
        <v>1</v>
      </c>
      <c r="N447" s="32" t="s">
        <v>176</v>
      </c>
      <c r="O447" s="28" t="s">
        <v>177</v>
      </c>
      <c r="P447" s="28" t="s">
        <v>1440</v>
      </c>
      <c r="Q447" s="28" t="s">
        <v>1441</v>
      </c>
      <c r="R447" s="28" t="s">
        <v>1442</v>
      </c>
    </row>
    <row r="448" spans="1:18" hidden="1">
      <c r="A448" s="28">
        <v>12</v>
      </c>
      <c r="B448" s="29" t="s">
        <v>195</v>
      </c>
      <c r="C448" s="29" t="s">
        <v>225</v>
      </c>
      <c r="D448" s="29" t="s">
        <v>453</v>
      </c>
      <c r="E448" s="29" t="s">
        <v>172</v>
      </c>
      <c r="F448" s="28" t="s">
        <v>969</v>
      </c>
      <c r="G448" s="28" t="s">
        <v>1364</v>
      </c>
      <c r="H448" s="28" t="s">
        <v>174</v>
      </c>
      <c r="I448" s="28" t="s">
        <v>174</v>
      </c>
      <c r="J448" s="30" t="s">
        <v>174</v>
      </c>
      <c r="K448" s="28" t="s">
        <v>683</v>
      </c>
      <c r="L448" s="31">
        <v>43831</v>
      </c>
      <c r="M448" s="28">
        <v>1</v>
      </c>
      <c r="N448" s="32" t="s">
        <v>176</v>
      </c>
      <c r="O448" s="28" t="s">
        <v>204</v>
      </c>
      <c r="P448" s="28" t="s">
        <v>1443</v>
      </c>
      <c r="Q448" s="28" t="s">
        <v>1444</v>
      </c>
      <c r="R448" s="28" t="s">
        <v>1445</v>
      </c>
    </row>
    <row r="449" spans="1:18" hidden="1">
      <c r="A449" s="28">
        <v>12</v>
      </c>
      <c r="B449" s="29" t="s">
        <v>195</v>
      </c>
      <c r="C449" s="29" t="s">
        <v>225</v>
      </c>
      <c r="D449" s="29" t="s">
        <v>453</v>
      </c>
      <c r="E449" s="29" t="s">
        <v>172</v>
      </c>
      <c r="F449" s="28" t="s">
        <v>969</v>
      </c>
      <c r="G449" s="28" t="s">
        <v>1364</v>
      </c>
      <c r="H449" s="28" t="s">
        <v>174</v>
      </c>
      <c r="I449" s="28" t="s">
        <v>174</v>
      </c>
      <c r="J449" s="30" t="s">
        <v>174</v>
      </c>
      <c r="K449" s="28" t="s">
        <v>183</v>
      </c>
      <c r="L449" s="31">
        <v>43983</v>
      </c>
      <c r="M449" s="28">
        <v>6</v>
      </c>
      <c r="N449" s="32" t="s">
        <v>184</v>
      </c>
      <c r="O449" s="28" t="s">
        <v>185</v>
      </c>
      <c r="P449" s="28" t="s">
        <v>1446</v>
      </c>
      <c r="Q449" s="28" t="s">
        <v>1447</v>
      </c>
      <c r="R449" s="28" t="s">
        <v>1448</v>
      </c>
    </row>
    <row r="450" spans="1:18" hidden="1">
      <c r="A450" s="28">
        <v>12</v>
      </c>
      <c r="B450" s="29" t="s">
        <v>195</v>
      </c>
      <c r="C450" s="29" t="s">
        <v>225</v>
      </c>
      <c r="D450" s="29" t="s">
        <v>453</v>
      </c>
      <c r="E450" s="29" t="s">
        <v>172</v>
      </c>
      <c r="F450" s="28" t="s">
        <v>969</v>
      </c>
      <c r="G450" s="28" t="s">
        <v>1364</v>
      </c>
      <c r="H450" s="28" t="s">
        <v>174</v>
      </c>
      <c r="I450" s="28" t="s">
        <v>174</v>
      </c>
      <c r="J450" s="30" t="s">
        <v>174</v>
      </c>
      <c r="K450" s="28" t="s">
        <v>522</v>
      </c>
      <c r="L450" s="31">
        <v>44256</v>
      </c>
      <c r="M450" s="28">
        <v>3</v>
      </c>
      <c r="N450" s="32" t="s">
        <v>191</v>
      </c>
      <c r="O450" s="28" t="s">
        <v>204</v>
      </c>
      <c r="P450" s="28" t="s">
        <v>1449</v>
      </c>
      <c r="Q450" s="28" t="s">
        <v>1450</v>
      </c>
      <c r="R450" s="28" t="s">
        <v>1451</v>
      </c>
    </row>
    <row r="451" spans="1:18" hidden="1">
      <c r="A451" s="28">
        <v>12</v>
      </c>
      <c r="B451" s="29" t="s">
        <v>195</v>
      </c>
      <c r="C451" s="29" t="s">
        <v>225</v>
      </c>
      <c r="D451" s="29" t="s">
        <v>453</v>
      </c>
      <c r="E451" s="29" t="s">
        <v>172</v>
      </c>
      <c r="F451" s="28" t="s">
        <v>969</v>
      </c>
      <c r="G451" s="28" t="s">
        <v>1364</v>
      </c>
      <c r="H451" s="28" t="s">
        <v>174</v>
      </c>
      <c r="I451" s="28" t="s">
        <v>174</v>
      </c>
      <c r="J451" s="30" t="s">
        <v>174</v>
      </c>
      <c r="K451" s="28" t="s">
        <v>962</v>
      </c>
      <c r="L451" s="31">
        <v>44348</v>
      </c>
      <c r="M451" s="28">
        <v>6</v>
      </c>
      <c r="N451" s="32" t="s">
        <v>184</v>
      </c>
      <c r="O451" s="28" t="s">
        <v>185</v>
      </c>
      <c r="P451" s="28" t="s">
        <v>1452</v>
      </c>
      <c r="Q451" s="28" t="s">
        <v>1447</v>
      </c>
      <c r="R451" s="28" t="s">
        <v>1448</v>
      </c>
    </row>
    <row r="452" spans="1:18" hidden="1">
      <c r="A452" s="28">
        <v>12</v>
      </c>
      <c r="B452" s="29" t="s">
        <v>195</v>
      </c>
      <c r="C452" s="29" t="s">
        <v>225</v>
      </c>
      <c r="D452" s="29" t="s">
        <v>453</v>
      </c>
      <c r="E452" s="29" t="s">
        <v>172</v>
      </c>
      <c r="F452" s="28" t="s">
        <v>969</v>
      </c>
      <c r="G452" s="28" t="s">
        <v>1364</v>
      </c>
      <c r="H452" s="28" t="s">
        <v>174</v>
      </c>
      <c r="I452" s="28" t="s">
        <v>174</v>
      </c>
      <c r="J452" s="30" t="s">
        <v>174</v>
      </c>
      <c r="K452" s="28" t="s">
        <v>962</v>
      </c>
      <c r="L452" s="31">
        <v>44348</v>
      </c>
      <c r="M452" s="28">
        <v>6</v>
      </c>
      <c r="N452" s="32" t="s">
        <v>184</v>
      </c>
      <c r="O452" s="28" t="s">
        <v>204</v>
      </c>
      <c r="P452" s="28" t="s">
        <v>1453</v>
      </c>
      <c r="Q452" s="28" t="s">
        <v>1454</v>
      </c>
      <c r="R452" s="28" t="s">
        <v>1455</v>
      </c>
    </row>
    <row r="453" spans="1:18" hidden="1">
      <c r="A453" s="28">
        <v>12</v>
      </c>
      <c r="B453" s="29" t="s">
        <v>195</v>
      </c>
      <c r="C453" s="29" t="s">
        <v>225</v>
      </c>
      <c r="D453" s="29" t="s">
        <v>453</v>
      </c>
      <c r="E453" s="29" t="s">
        <v>172</v>
      </c>
      <c r="F453" s="28" t="s">
        <v>969</v>
      </c>
      <c r="G453" s="28" t="s">
        <v>1364</v>
      </c>
      <c r="H453" s="28" t="s">
        <v>174</v>
      </c>
      <c r="I453" s="28" t="s">
        <v>174</v>
      </c>
      <c r="J453" s="30" t="s">
        <v>174</v>
      </c>
      <c r="K453" s="28" t="s">
        <v>297</v>
      </c>
      <c r="L453" s="31">
        <v>44409</v>
      </c>
      <c r="M453" s="28">
        <v>8</v>
      </c>
      <c r="N453" s="32" t="s">
        <v>184</v>
      </c>
      <c r="O453" s="28" t="s">
        <v>204</v>
      </c>
      <c r="P453" s="28" t="s">
        <v>1456</v>
      </c>
      <c r="Q453" s="28" t="s">
        <v>1457</v>
      </c>
      <c r="R453" s="28" t="s">
        <v>1458</v>
      </c>
    </row>
    <row r="454" spans="1:18" hidden="1">
      <c r="A454" s="28">
        <v>12</v>
      </c>
      <c r="B454" s="29" t="s">
        <v>195</v>
      </c>
      <c r="C454" s="29" t="s">
        <v>225</v>
      </c>
      <c r="D454" s="29" t="s">
        <v>1459</v>
      </c>
      <c r="E454" s="29" t="s">
        <v>172</v>
      </c>
      <c r="F454" s="28" t="s">
        <v>969</v>
      </c>
      <c r="G454" s="28" t="s">
        <v>975</v>
      </c>
      <c r="H454" s="28" t="s">
        <v>384</v>
      </c>
      <c r="I454" s="28">
        <v>12</v>
      </c>
      <c r="J454" s="30">
        <v>2.3E-2</v>
      </c>
      <c r="K454" s="28" t="s">
        <v>391</v>
      </c>
      <c r="L454" s="31">
        <v>42370</v>
      </c>
      <c r="M454" s="28">
        <v>1</v>
      </c>
      <c r="N454" s="32" t="s">
        <v>176</v>
      </c>
      <c r="O454" s="28" t="s">
        <v>244</v>
      </c>
      <c r="P454" s="28" t="s">
        <v>1460</v>
      </c>
      <c r="Q454" s="28" t="s">
        <v>1461</v>
      </c>
      <c r="R454" s="28" t="s">
        <v>1462</v>
      </c>
    </row>
    <row r="455" spans="1:18" hidden="1">
      <c r="A455" s="28">
        <v>12</v>
      </c>
      <c r="B455" s="29" t="s">
        <v>195</v>
      </c>
      <c r="C455" s="29" t="s">
        <v>225</v>
      </c>
      <c r="D455" s="29" t="s">
        <v>1459</v>
      </c>
      <c r="E455" s="29" t="s">
        <v>172</v>
      </c>
      <c r="F455" s="28" t="s">
        <v>969</v>
      </c>
      <c r="G455" s="28" t="s">
        <v>975</v>
      </c>
      <c r="H455" s="28" t="s">
        <v>384</v>
      </c>
      <c r="I455" s="28">
        <v>12</v>
      </c>
      <c r="J455" s="30">
        <v>2.3E-2</v>
      </c>
      <c r="K455" s="28" t="s">
        <v>971</v>
      </c>
      <c r="L455" s="31">
        <v>42979</v>
      </c>
      <c r="M455" s="28">
        <v>9</v>
      </c>
      <c r="N455" s="32" t="s">
        <v>191</v>
      </c>
      <c r="O455" s="28" t="s">
        <v>1060</v>
      </c>
      <c r="P455" s="28" t="s">
        <v>1463</v>
      </c>
      <c r="Q455" s="28" t="s">
        <v>1464</v>
      </c>
      <c r="R455" s="28" t="s">
        <v>1465</v>
      </c>
    </row>
    <row r="456" spans="1:18" hidden="1">
      <c r="A456" s="28">
        <v>12</v>
      </c>
      <c r="B456" s="29" t="s">
        <v>195</v>
      </c>
      <c r="C456" s="29" t="s">
        <v>225</v>
      </c>
      <c r="D456" s="29" t="s">
        <v>1459</v>
      </c>
      <c r="E456" s="29" t="s">
        <v>172</v>
      </c>
      <c r="F456" s="28" t="s">
        <v>969</v>
      </c>
      <c r="G456" s="28" t="s">
        <v>975</v>
      </c>
      <c r="H456" s="28" t="s">
        <v>384</v>
      </c>
      <c r="I456" s="28">
        <v>12</v>
      </c>
      <c r="J456" s="30">
        <v>2.3E-2</v>
      </c>
      <c r="K456" s="28" t="s">
        <v>411</v>
      </c>
      <c r="L456" s="31">
        <v>43556</v>
      </c>
      <c r="M456" s="28">
        <v>4</v>
      </c>
      <c r="N456" s="32" t="s">
        <v>191</v>
      </c>
      <c r="O456" s="28" t="s">
        <v>204</v>
      </c>
      <c r="P456" s="28" t="s">
        <v>1466</v>
      </c>
      <c r="Q456" s="28" t="s">
        <v>1467</v>
      </c>
      <c r="R456" s="28" t="s">
        <v>1468</v>
      </c>
    </row>
    <row r="457" spans="1:18" hidden="1">
      <c r="A457" s="28">
        <v>12</v>
      </c>
      <c r="B457" s="29" t="s">
        <v>195</v>
      </c>
      <c r="C457" s="29" t="s">
        <v>225</v>
      </c>
      <c r="D457" s="29" t="s">
        <v>1459</v>
      </c>
      <c r="E457" s="29" t="s">
        <v>172</v>
      </c>
      <c r="F457" s="28" t="s">
        <v>969</v>
      </c>
      <c r="G457" s="28" t="s">
        <v>975</v>
      </c>
      <c r="H457" s="28" t="s">
        <v>384</v>
      </c>
      <c r="I457" s="28">
        <v>12</v>
      </c>
      <c r="J457" s="30">
        <v>2.3E-2</v>
      </c>
      <c r="K457" s="28" t="s">
        <v>752</v>
      </c>
      <c r="L457" s="31">
        <v>43709</v>
      </c>
      <c r="M457" s="28">
        <v>9</v>
      </c>
      <c r="N457" s="32" t="s">
        <v>191</v>
      </c>
      <c r="O457" s="28" t="s">
        <v>185</v>
      </c>
      <c r="P457" s="28" t="s">
        <v>1469</v>
      </c>
      <c r="Q457" s="28" t="s">
        <v>1470</v>
      </c>
      <c r="R457" s="28" t="s">
        <v>1471</v>
      </c>
    </row>
    <row r="458" spans="1:18" hidden="1">
      <c r="A458" s="28">
        <v>12</v>
      </c>
      <c r="B458" s="29" t="s">
        <v>195</v>
      </c>
      <c r="C458" s="29" t="s">
        <v>225</v>
      </c>
      <c r="D458" s="29" t="s">
        <v>1459</v>
      </c>
      <c r="E458" s="29" t="s">
        <v>172</v>
      </c>
      <c r="F458" s="28" t="s">
        <v>969</v>
      </c>
      <c r="G458" s="28" t="s">
        <v>975</v>
      </c>
      <c r="H458" s="28" t="s">
        <v>384</v>
      </c>
      <c r="I458" s="28">
        <v>12</v>
      </c>
      <c r="J458" s="30">
        <v>2.3E-2</v>
      </c>
      <c r="K458" s="28" t="s">
        <v>397</v>
      </c>
      <c r="L458" s="31">
        <v>43739</v>
      </c>
      <c r="M458" s="28">
        <v>10</v>
      </c>
      <c r="N458" s="32" t="s">
        <v>191</v>
      </c>
      <c r="O458" s="28" t="s">
        <v>177</v>
      </c>
      <c r="P458" s="28" t="s">
        <v>1472</v>
      </c>
      <c r="Q458" s="28" t="s">
        <v>1473</v>
      </c>
      <c r="R458" s="28" t="s">
        <v>1474</v>
      </c>
    </row>
    <row r="459" spans="1:18" hidden="1">
      <c r="A459" s="28">
        <v>12</v>
      </c>
      <c r="B459" s="29" t="s">
        <v>195</v>
      </c>
      <c r="C459" s="29" t="s">
        <v>225</v>
      </c>
      <c r="D459" s="29" t="s">
        <v>1459</v>
      </c>
      <c r="E459" s="29" t="s">
        <v>172</v>
      </c>
      <c r="F459" s="28" t="s">
        <v>969</v>
      </c>
      <c r="G459" s="28" t="s">
        <v>975</v>
      </c>
      <c r="H459" s="28" t="s">
        <v>384</v>
      </c>
      <c r="I459" s="28">
        <v>12</v>
      </c>
      <c r="J459" s="30">
        <v>2.3E-2</v>
      </c>
      <c r="K459" s="28" t="s">
        <v>520</v>
      </c>
      <c r="L459" s="31">
        <v>43800</v>
      </c>
      <c r="M459" s="28">
        <v>12</v>
      </c>
      <c r="N459" s="32" t="s">
        <v>176</v>
      </c>
      <c r="O459" s="28" t="s">
        <v>177</v>
      </c>
      <c r="P459" s="28" t="s">
        <v>1475</v>
      </c>
      <c r="Q459" s="28" t="s">
        <v>1476</v>
      </c>
      <c r="R459" s="28" t="s">
        <v>1477</v>
      </c>
    </row>
    <row r="460" spans="1:18" hidden="1">
      <c r="A460" s="28">
        <v>12</v>
      </c>
      <c r="B460" s="29" t="s">
        <v>195</v>
      </c>
      <c r="C460" s="29" t="s">
        <v>225</v>
      </c>
      <c r="D460" s="29" t="s">
        <v>1459</v>
      </c>
      <c r="E460" s="29" t="s">
        <v>172</v>
      </c>
      <c r="F460" s="28" t="s">
        <v>969</v>
      </c>
      <c r="G460" s="28" t="s">
        <v>975</v>
      </c>
      <c r="H460" s="28" t="s">
        <v>384</v>
      </c>
      <c r="I460" s="28">
        <v>12</v>
      </c>
      <c r="J460" s="30">
        <v>2.3E-2</v>
      </c>
      <c r="K460" s="28" t="s">
        <v>643</v>
      </c>
      <c r="L460" s="31">
        <v>44013</v>
      </c>
      <c r="M460" s="28">
        <v>7</v>
      </c>
      <c r="N460" s="32" t="s">
        <v>184</v>
      </c>
      <c r="O460" s="28" t="s">
        <v>794</v>
      </c>
      <c r="P460" s="28" t="s">
        <v>1478</v>
      </c>
      <c r="Q460" s="28" t="s">
        <v>1479</v>
      </c>
      <c r="R460" s="28" t="s">
        <v>1480</v>
      </c>
    </row>
    <row r="461" spans="1:18" hidden="1">
      <c r="A461" s="28">
        <v>12</v>
      </c>
      <c r="B461" s="29" t="s">
        <v>195</v>
      </c>
      <c r="C461" s="29" t="s">
        <v>225</v>
      </c>
      <c r="D461" s="29" t="s">
        <v>1459</v>
      </c>
      <c r="E461" s="29" t="s">
        <v>172</v>
      </c>
      <c r="F461" s="28" t="s">
        <v>969</v>
      </c>
      <c r="G461" s="28" t="s">
        <v>975</v>
      </c>
      <c r="H461" s="28" t="s">
        <v>384</v>
      </c>
      <c r="I461" s="28">
        <v>12</v>
      </c>
      <c r="J461" s="30">
        <v>2.3E-2</v>
      </c>
      <c r="K461" s="28" t="s">
        <v>643</v>
      </c>
      <c r="L461" s="31">
        <v>44013</v>
      </c>
      <c r="M461" s="28">
        <v>7</v>
      </c>
      <c r="N461" s="32" t="s">
        <v>184</v>
      </c>
      <c r="O461" s="28" t="s">
        <v>794</v>
      </c>
      <c r="P461" s="28" t="s">
        <v>1481</v>
      </c>
      <c r="Q461" s="28" t="s">
        <v>1482</v>
      </c>
      <c r="R461" s="28" t="s">
        <v>1483</v>
      </c>
    </row>
    <row r="462" spans="1:18" hidden="1">
      <c r="A462" s="28">
        <v>12</v>
      </c>
      <c r="B462" s="29" t="s">
        <v>195</v>
      </c>
      <c r="C462" s="29" t="s">
        <v>1484</v>
      </c>
      <c r="D462" s="29" t="s">
        <v>1485</v>
      </c>
      <c r="E462" s="29" t="s">
        <v>172</v>
      </c>
      <c r="F462" s="28" t="s">
        <v>969</v>
      </c>
      <c r="G462" s="28" t="s">
        <v>1380</v>
      </c>
      <c r="H462" s="28" t="s">
        <v>174</v>
      </c>
      <c r="I462" s="28" t="s">
        <v>174</v>
      </c>
      <c r="J462" s="30" t="s">
        <v>174</v>
      </c>
      <c r="K462" s="28" t="s">
        <v>232</v>
      </c>
      <c r="L462" s="31">
        <v>42522</v>
      </c>
      <c r="M462" s="28">
        <v>6</v>
      </c>
      <c r="N462" s="32" t="s">
        <v>184</v>
      </c>
      <c r="O462" s="28" t="s">
        <v>794</v>
      </c>
      <c r="P462" s="28" t="s">
        <v>1486</v>
      </c>
      <c r="Q462" s="28" t="s">
        <v>1487</v>
      </c>
      <c r="R462" s="28" t="s">
        <v>1488</v>
      </c>
    </row>
    <row r="463" spans="1:18" hidden="1">
      <c r="A463" s="28">
        <v>12</v>
      </c>
      <c r="B463" s="29" t="s">
        <v>195</v>
      </c>
      <c r="C463" s="29" t="s">
        <v>1484</v>
      </c>
      <c r="D463" s="29" t="s">
        <v>1485</v>
      </c>
      <c r="E463" s="29" t="s">
        <v>172</v>
      </c>
      <c r="F463" s="28" t="s">
        <v>969</v>
      </c>
      <c r="G463" s="28" t="s">
        <v>1380</v>
      </c>
      <c r="H463" s="28" t="s">
        <v>174</v>
      </c>
      <c r="I463" s="28" t="s">
        <v>174</v>
      </c>
      <c r="J463" s="30" t="s">
        <v>174</v>
      </c>
      <c r="K463" s="28" t="s">
        <v>257</v>
      </c>
      <c r="L463" s="31">
        <v>42552</v>
      </c>
      <c r="M463" s="28">
        <v>7</v>
      </c>
      <c r="N463" s="32" t="s">
        <v>184</v>
      </c>
      <c r="O463" s="28" t="s">
        <v>1060</v>
      </c>
      <c r="P463" s="28" t="s">
        <v>1489</v>
      </c>
      <c r="Q463" s="28" t="s">
        <v>1490</v>
      </c>
      <c r="R463" s="28" t="s">
        <v>1491</v>
      </c>
    </row>
    <row r="464" spans="1:18" hidden="1">
      <c r="A464" s="28">
        <v>12</v>
      </c>
      <c r="B464" s="29" t="s">
        <v>195</v>
      </c>
      <c r="C464" s="29" t="s">
        <v>1484</v>
      </c>
      <c r="D464" s="29" t="s">
        <v>1485</v>
      </c>
      <c r="E464" s="29" t="s">
        <v>172</v>
      </c>
      <c r="F464" s="28" t="s">
        <v>969</v>
      </c>
      <c r="G464" s="28" t="s">
        <v>1380</v>
      </c>
      <c r="H464" s="28" t="s">
        <v>174</v>
      </c>
      <c r="I464" s="28" t="s">
        <v>174</v>
      </c>
      <c r="J464" s="30" t="s">
        <v>174</v>
      </c>
      <c r="K464" s="28" t="s">
        <v>267</v>
      </c>
      <c r="L464" s="31">
        <v>42583</v>
      </c>
      <c r="M464" s="28">
        <v>8</v>
      </c>
      <c r="N464" s="32" t="s">
        <v>184</v>
      </c>
      <c r="O464" s="28" t="s">
        <v>1060</v>
      </c>
      <c r="P464" s="28" t="s">
        <v>1492</v>
      </c>
      <c r="Q464" s="28" t="s">
        <v>1493</v>
      </c>
      <c r="R464" s="28" t="s">
        <v>1494</v>
      </c>
    </row>
    <row r="465" spans="1:18" hidden="1">
      <c r="A465" s="28">
        <v>12</v>
      </c>
      <c r="B465" s="29" t="s">
        <v>195</v>
      </c>
      <c r="C465" s="29" t="s">
        <v>1484</v>
      </c>
      <c r="D465" s="29" t="s">
        <v>1485</v>
      </c>
      <c r="E465" s="29" t="s">
        <v>172</v>
      </c>
      <c r="F465" s="28" t="s">
        <v>969</v>
      </c>
      <c r="G465" s="28" t="s">
        <v>1000</v>
      </c>
      <c r="H465" s="28" t="s">
        <v>384</v>
      </c>
      <c r="I465" s="28">
        <v>9</v>
      </c>
      <c r="J465" s="30">
        <v>3.4000000000000002E-2</v>
      </c>
      <c r="K465" s="28" t="s">
        <v>651</v>
      </c>
      <c r="L465" s="31">
        <v>42644</v>
      </c>
      <c r="M465" s="28">
        <v>10</v>
      </c>
      <c r="N465" s="32" t="s">
        <v>191</v>
      </c>
      <c r="O465" s="28" t="s">
        <v>177</v>
      </c>
      <c r="P465" s="28" t="s">
        <v>1495</v>
      </c>
      <c r="Q465" s="28" t="s">
        <v>1496</v>
      </c>
      <c r="R465" s="28" t="s">
        <v>1497</v>
      </c>
    </row>
    <row r="466" spans="1:18" hidden="1">
      <c r="A466" s="28">
        <v>12</v>
      </c>
      <c r="B466" s="29" t="s">
        <v>195</v>
      </c>
      <c r="C466" s="29" t="s">
        <v>1484</v>
      </c>
      <c r="D466" s="29" t="s">
        <v>1485</v>
      </c>
      <c r="E466" s="29" t="s">
        <v>172</v>
      </c>
      <c r="F466" s="28" t="s">
        <v>969</v>
      </c>
      <c r="G466" s="28" t="s">
        <v>1380</v>
      </c>
      <c r="H466" s="28" t="s">
        <v>174</v>
      </c>
      <c r="I466" s="28" t="s">
        <v>174</v>
      </c>
      <c r="J466" s="30" t="s">
        <v>174</v>
      </c>
      <c r="K466" s="28" t="s">
        <v>271</v>
      </c>
      <c r="L466" s="31">
        <v>42856</v>
      </c>
      <c r="M466" s="28">
        <v>5</v>
      </c>
      <c r="N466" s="32" t="s">
        <v>191</v>
      </c>
      <c r="O466" s="28" t="s">
        <v>1060</v>
      </c>
      <c r="P466" s="28" t="s">
        <v>1498</v>
      </c>
      <c r="Q466" s="28" t="s">
        <v>1499</v>
      </c>
      <c r="R466" s="28" t="s">
        <v>1500</v>
      </c>
    </row>
    <row r="467" spans="1:18" hidden="1">
      <c r="A467" s="28">
        <v>12</v>
      </c>
      <c r="B467" s="29" t="s">
        <v>195</v>
      </c>
      <c r="C467" s="29" t="s">
        <v>1484</v>
      </c>
      <c r="D467" s="29" t="s">
        <v>1485</v>
      </c>
      <c r="E467" s="29" t="s">
        <v>172</v>
      </c>
      <c r="F467" s="28" t="s">
        <v>969</v>
      </c>
      <c r="G467" s="28" t="s">
        <v>1000</v>
      </c>
      <c r="H467" s="28" t="s">
        <v>384</v>
      </c>
      <c r="I467" s="28">
        <v>9</v>
      </c>
      <c r="J467" s="30">
        <v>3.4000000000000002E-2</v>
      </c>
      <c r="K467" s="28" t="s">
        <v>813</v>
      </c>
      <c r="L467" s="31">
        <v>43009</v>
      </c>
      <c r="M467" s="28">
        <v>10</v>
      </c>
      <c r="N467" s="32" t="s">
        <v>191</v>
      </c>
      <c r="O467" s="28" t="s">
        <v>1060</v>
      </c>
      <c r="P467" s="28" t="s">
        <v>1501</v>
      </c>
      <c r="Q467" s="28" t="s">
        <v>1502</v>
      </c>
      <c r="R467" s="28" t="s">
        <v>1503</v>
      </c>
    </row>
    <row r="468" spans="1:18" hidden="1">
      <c r="A468" s="28">
        <v>12</v>
      </c>
      <c r="B468" s="29" t="s">
        <v>195</v>
      </c>
      <c r="C468" s="29" t="s">
        <v>1484</v>
      </c>
      <c r="D468" s="29" t="s">
        <v>1485</v>
      </c>
      <c r="E468" s="29" t="s">
        <v>172</v>
      </c>
      <c r="F468" s="28" t="s">
        <v>969</v>
      </c>
      <c r="G468" s="28" t="s">
        <v>1000</v>
      </c>
      <c r="H468" s="28" t="s">
        <v>384</v>
      </c>
      <c r="I468" s="28">
        <v>9</v>
      </c>
      <c r="J468" s="30">
        <v>3.4000000000000002E-2</v>
      </c>
      <c r="K468" s="28" t="s">
        <v>813</v>
      </c>
      <c r="L468" s="31">
        <v>43009</v>
      </c>
      <c r="M468" s="28">
        <v>10</v>
      </c>
      <c r="N468" s="32" t="s">
        <v>191</v>
      </c>
      <c r="O468" s="28" t="s">
        <v>204</v>
      </c>
      <c r="P468" s="28" t="s">
        <v>1504</v>
      </c>
      <c r="Q468" s="28" t="s">
        <v>1505</v>
      </c>
      <c r="R468" s="28" t="s">
        <v>1506</v>
      </c>
    </row>
    <row r="469" spans="1:18" hidden="1">
      <c r="A469" s="28">
        <v>12</v>
      </c>
      <c r="B469" s="29" t="s">
        <v>195</v>
      </c>
      <c r="C469" s="29" t="s">
        <v>1484</v>
      </c>
      <c r="D469" s="29" t="s">
        <v>1485</v>
      </c>
      <c r="E469" s="29" t="s">
        <v>172</v>
      </c>
      <c r="F469" s="28" t="s">
        <v>969</v>
      </c>
      <c r="G469" s="28" t="s">
        <v>970</v>
      </c>
      <c r="H469" s="28" t="s">
        <v>384</v>
      </c>
      <c r="I469" s="28">
        <v>5</v>
      </c>
      <c r="J469" s="30">
        <v>4.9000000000000002E-2</v>
      </c>
      <c r="K469" s="28" t="s">
        <v>813</v>
      </c>
      <c r="L469" s="31">
        <v>43009</v>
      </c>
      <c r="M469" s="28">
        <v>10</v>
      </c>
      <c r="N469" s="32" t="s">
        <v>191</v>
      </c>
      <c r="O469" s="28" t="s">
        <v>185</v>
      </c>
      <c r="P469" s="28" t="s">
        <v>1507</v>
      </c>
      <c r="Q469" s="28" t="s">
        <v>1508</v>
      </c>
      <c r="R469" s="28" t="s">
        <v>1509</v>
      </c>
    </row>
    <row r="470" spans="1:18" hidden="1">
      <c r="A470" s="28">
        <v>12</v>
      </c>
      <c r="B470" s="29" t="s">
        <v>195</v>
      </c>
      <c r="C470" s="29" t="s">
        <v>1484</v>
      </c>
      <c r="D470" s="29" t="s">
        <v>1485</v>
      </c>
      <c r="E470" s="29" t="s">
        <v>172</v>
      </c>
      <c r="F470" s="28" t="s">
        <v>969</v>
      </c>
      <c r="G470" s="28" t="s">
        <v>975</v>
      </c>
      <c r="H470" s="28" t="s">
        <v>384</v>
      </c>
      <c r="I470" s="28">
        <v>12</v>
      </c>
      <c r="J470" s="30">
        <v>2.3E-2</v>
      </c>
      <c r="K470" s="28" t="s">
        <v>813</v>
      </c>
      <c r="L470" s="31">
        <v>43009</v>
      </c>
      <c r="M470" s="28">
        <v>10</v>
      </c>
      <c r="N470" s="32" t="s">
        <v>191</v>
      </c>
      <c r="O470" s="28" t="s">
        <v>794</v>
      </c>
      <c r="P470" s="28" t="s">
        <v>1510</v>
      </c>
      <c r="Q470" s="28" t="s">
        <v>1511</v>
      </c>
      <c r="R470" s="28" t="s">
        <v>1512</v>
      </c>
    </row>
    <row r="471" spans="1:18" hidden="1">
      <c r="A471" s="28">
        <v>12</v>
      </c>
      <c r="B471" s="29" t="s">
        <v>195</v>
      </c>
      <c r="C471" s="29" t="s">
        <v>1484</v>
      </c>
      <c r="D471" s="29" t="s">
        <v>1485</v>
      </c>
      <c r="E471" s="29" t="s">
        <v>172</v>
      </c>
      <c r="F471" s="28" t="s">
        <v>969</v>
      </c>
      <c r="G471" s="28" t="s">
        <v>970</v>
      </c>
      <c r="H471" s="28" t="s">
        <v>384</v>
      </c>
      <c r="I471" s="28">
        <v>5</v>
      </c>
      <c r="J471" s="30">
        <v>4.9000000000000002E-2</v>
      </c>
      <c r="K471" s="28" t="s">
        <v>248</v>
      </c>
      <c r="L471" s="31">
        <v>43070</v>
      </c>
      <c r="M471" s="28">
        <v>12</v>
      </c>
      <c r="N471" s="32" t="s">
        <v>176</v>
      </c>
      <c r="O471" s="28" t="s">
        <v>1060</v>
      </c>
      <c r="P471" s="28" t="s">
        <v>1513</v>
      </c>
      <c r="Q471" s="28" t="s">
        <v>1493</v>
      </c>
      <c r="R471" s="28" t="s">
        <v>1494</v>
      </c>
    </row>
    <row r="472" spans="1:18" hidden="1">
      <c r="A472" s="28">
        <v>12</v>
      </c>
      <c r="B472" s="29" t="s">
        <v>195</v>
      </c>
      <c r="C472" s="29" t="s">
        <v>1484</v>
      </c>
      <c r="D472" s="29" t="s">
        <v>1485</v>
      </c>
      <c r="E472" s="29" t="s">
        <v>172</v>
      </c>
      <c r="F472" s="28" t="s">
        <v>969</v>
      </c>
      <c r="G472" s="28" t="s">
        <v>975</v>
      </c>
      <c r="H472" s="28" t="s">
        <v>384</v>
      </c>
      <c r="I472" s="28">
        <v>12</v>
      </c>
      <c r="J472" s="30">
        <v>2.3E-2</v>
      </c>
      <c r="K472" s="28" t="s">
        <v>559</v>
      </c>
      <c r="L472" s="31">
        <v>43252</v>
      </c>
      <c r="M472" s="28">
        <v>6</v>
      </c>
      <c r="N472" s="32" t="s">
        <v>184</v>
      </c>
      <c r="O472" s="28" t="s">
        <v>794</v>
      </c>
      <c r="P472" s="28" t="s">
        <v>1514</v>
      </c>
      <c r="Q472" s="28" t="s">
        <v>1515</v>
      </c>
      <c r="R472" s="28" t="s">
        <v>1516</v>
      </c>
    </row>
    <row r="473" spans="1:18" hidden="1">
      <c r="A473" s="28">
        <v>12</v>
      </c>
      <c r="B473" s="29" t="s">
        <v>195</v>
      </c>
      <c r="C473" s="29" t="s">
        <v>1484</v>
      </c>
      <c r="D473" s="29" t="s">
        <v>1485</v>
      </c>
      <c r="E473" s="29" t="s">
        <v>172</v>
      </c>
      <c r="F473" s="28" t="s">
        <v>969</v>
      </c>
      <c r="G473" s="28" t="s">
        <v>1000</v>
      </c>
      <c r="H473" s="28" t="s">
        <v>384</v>
      </c>
      <c r="I473" s="28">
        <v>9</v>
      </c>
      <c r="J473" s="30">
        <v>3.4000000000000002E-2</v>
      </c>
      <c r="K473" s="28" t="s">
        <v>678</v>
      </c>
      <c r="L473" s="31">
        <v>43344</v>
      </c>
      <c r="M473" s="28">
        <v>9</v>
      </c>
      <c r="N473" s="32" t="s">
        <v>191</v>
      </c>
      <c r="O473" s="28" t="s">
        <v>794</v>
      </c>
      <c r="P473" s="28" t="s">
        <v>1517</v>
      </c>
      <c r="Q473" s="28" t="s">
        <v>1518</v>
      </c>
      <c r="R473" s="28" t="s">
        <v>1519</v>
      </c>
    </row>
    <row r="474" spans="1:18" hidden="1">
      <c r="A474" s="28">
        <v>12</v>
      </c>
      <c r="B474" s="29" t="s">
        <v>195</v>
      </c>
      <c r="C474" s="29" t="s">
        <v>1484</v>
      </c>
      <c r="D474" s="29" t="s">
        <v>1485</v>
      </c>
      <c r="E474" s="29" t="s">
        <v>172</v>
      </c>
      <c r="F474" s="28" t="s">
        <v>969</v>
      </c>
      <c r="G474" s="28" t="s">
        <v>970</v>
      </c>
      <c r="H474" s="28" t="s">
        <v>384</v>
      </c>
      <c r="I474" s="28">
        <v>5</v>
      </c>
      <c r="J474" s="30">
        <v>4.9000000000000002E-2</v>
      </c>
      <c r="K474" s="28" t="s">
        <v>442</v>
      </c>
      <c r="L474" s="31">
        <v>43647</v>
      </c>
      <c r="M474" s="28">
        <v>7</v>
      </c>
      <c r="N474" s="32" t="s">
        <v>184</v>
      </c>
      <c r="O474" s="28" t="s">
        <v>794</v>
      </c>
      <c r="P474" s="28" t="s">
        <v>1520</v>
      </c>
      <c r="Q474" s="28" t="s">
        <v>1521</v>
      </c>
      <c r="R474" s="28" t="s">
        <v>1522</v>
      </c>
    </row>
    <row r="475" spans="1:18" hidden="1">
      <c r="A475" s="28">
        <v>12</v>
      </c>
      <c r="B475" s="29" t="s">
        <v>195</v>
      </c>
      <c r="C475" s="29" t="s">
        <v>1484</v>
      </c>
      <c r="D475" s="29" t="s">
        <v>1485</v>
      </c>
      <c r="E475" s="29" t="s">
        <v>172</v>
      </c>
      <c r="F475" s="28" t="s">
        <v>969</v>
      </c>
      <c r="G475" s="28" t="s">
        <v>1380</v>
      </c>
      <c r="H475" s="28" t="s">
        <v>174</v>
      </c>
      <c r="I475" s="28" t="s">
        <v>174</v>
      </c>
      <c r="J475" s="30" t="s">
        <v>174</v>
      </c>
      <c r="K475" s="28" t="s">
        <v>752</v>
      </c>
      <c r="L475" s="31">
        <v>43709</v>
      </c>
      <c r="M475" s="28">
        <v>9</v>
      </c>
      <c r="N475" s="32" t="s">
        <v>191</v>
      </c>
      <c r="O475" s="28" t="s">
        <v>204</v>
      </c>
      <c r="P475" s="28" t="s">
        <v>1523</v>
      </c>
      <c r="Q475" s="28" t="s">
        <v>1524</v>
      </c>
      <c r="R475" s="28" t="s">
        <v>1525</v>
      </c>
    </row>
    <row r="476" spans="1:18" hidden="1">
      <c r="A476" s="28">
        <v>12</v>
      </c>
      <c r="B476" s="29" t="s">
        <v>195</v>
      </c>
      <c r="C476" s="29" t="s">
        <v>1484</v>
      </c>
      <c r="D476" s="29" t="s">
        <v>1485</v>
      </c>
      <c r="E476" s="29" t="s">
        <v>172</v>
      </c>
      <c r="F476" s="28" t="s">
        <v>969</v>
      </c>
      <c r="G476" s="28" t="s">
        <v>975</v>
      </c>
      <c r="H476" s="28" t="s">
        <v>384</v>
      </c>
      <c r="I476" s="28">
        <v>12</v>
      </c>
      <c r="J476" s="30">
        <v>2.3E-2</v>
      </c>
      <c r="K476" s="28" t="s">
        <v>397</v>
      </c>
      <c r="L476" s="31">
        <v>43739</v>
      </c>
      <c r="M476" s="28">
        <v>10</v>
      </c>
      <c r="N476" s="32" t="s">
        <v>191</v>
      </c>
      <c r="O476" s="28" t="s">
        <v>177</v>
      </c>
      <c r="P476" s="28" t="s">
        <v>1526</v>
      </c>
      <c r="Q476" s="28" t="s">
        <v>1527</v>
      </c>
      <c r="R476" s="28" t="s">
        <v>1528</v>
      </c>
    </row>
    <row r="477" spans="1:18" hidden="1">
      <c r="A477" s="28">
        <v>12</v>
      </c>
      <c r="B477" s="29" t="s">
        <v>195</v>
      </c>
      <c r="C477" s="29" t="s">
        <v>1484</v>
      </c>
      <c r="D477" s="29" t="s">
        <v>1485</v>
      </c>
      <c r="E477" s="29" t="s">
        <v>172</v>
      </c>
      <c r="F477" s="28" t="s">
        <v>969</v>
      </c>
      <c r="G477" s="28" t="s">
        <v>1335</v>
      </c>
      <c r="H477" s="28" t="s">
        <v>174</v>
      </c>
      <c r="I477" s="28" t="s">
        <v>174</v>
      </c>
      <c r="J477" s="30" t="s">
        <v>174</v>
      </c>
      <c r="K477" s="28" t="s">
        <v>683</v>
      </c>
      <c r="L477" s="31">
        <v>43831</v>
      </c>
      <c r="M477" s="28">
        <v>1</v>
      </c>
      <c r="N477" s="32" t="s">
        <v>176</v>
      </c>
      <c r="O477" s="28" t="s">
        <v>185</v>
      </c>
      <c r="P477" s="28" t="s">
        <v>1529</v>
      </c>
      <c r="Q477" s="28" t="s">
        <v>1530</v>
      </c>
      <c r="R477" s="28" t="s">
        <v>1531</v>
      </c>
    </row>
    <row r="478" spans="1:18" hidden="1">
      <c r="A478" s="28">
        <v>12</v>
      </c>
      <c r="B478" s="29" t="s">
        <v>195</v>
      </c>
      <c r="C478" s="29" t="s">
        <v>1484</v>
      </c>
      <c r="D478" s="29" t="s">
        <v>1485</v>
      </c>
      <c r="E478" s="29" t="s">
        <v>172</v>
      </c>
      <c r="F478" s="28" t="s">
        <v>969</v>
      </c>
      <c r="G478" s="28" t="s">
        <v>975</v>
      </c>
      <c r="H478" s="28" t="s">
        <v>384</v>
      </c>
      <c r="I478" s="28">
        <v>12</v>
      </c>
      <c r="J478" s="30">
        <v>2.3E-2</v>
      </c>
      <c r="K478" s="28" t="s">
        <v>183</v>
      </c>
      <c r="L478" s="31">
        <v>43983</v>
      </c>
      <c r="M478" s="28">
        <v>6</v>
      </c>
      <c r="N478" s="32" t="s">
        <v>184</v>
      </c>
      <c r="O478" s="28" t="s">
        <v>185</v>
      </c>
      <c r="P478" s="28" t="s">
        <v>1532</v>
      </c>
      <c r="Q478" s="28" t="s">
        <v>1533</v>
      </c>
      <c r="R478" s="28" t="s">
        <v>1534</v>
      </c>
    </row>
    <row r="479" spans="1:18" hidden="1">
      <c r="A479" s="28">
        <v>12</v>
      </c>
      <c r="B479" s="29" t="s">
        <v>195</v>
      </c>
      <c r="C479" s="29" t="s">
        <v>1484</v>
      </c>
      <c r="D479" s="29" t="s">
        <v>1485</v>
      </c>
      <c r="E479" s="29" t="s">
        <v>172</v>
      </c>
      <c r="F479" s="28" t="s">
        <v>969</v>
      </c>
      <c r="G479" s="28" t="s">
        <v>1380</v>
      </c>
      <c r="H479" s="28" t="s">
        <v>174</v>
      </c>
      <c r="I479" s="28" t="s">
        <v>174</v>
      </c>
      <c r="J479" s="30" t="s">
        <v>174</v>
      </c>
      <c r="K479" s="28" t="s">
        <v>643</v>
      </c>
      <c r="L479" s="31">
        <v>44013</v>
      </c>
      <c r="M479" s="28">
        <v>7</v>
      </c>
      <c r="N479" s="32" t="s">
        <v>184</v>
      </c>
      <c r="O479" s="28" t="s">
        <v>185</v>
      </c>
      <c r="P479" s="28" t="s">
        <v>1535</v>
      </c>
      <c r="Q479" s="28" t="s">
        <v>1536</v>
      </c>
      <c r="R479" s="28" t="s">
        <v>1537</v>
      </c>
    </row>
    <row r="480" spans="1:18" hidden="1">
      <c r="A480" s="28">
        <v>12</v>
      </c>
      <c r="B480" s="29" t="s">
        <v>195</v>
      </c>
      <c r="C480" s="29" t="s">
        <v>1484</v>
      </c>
      <c r="D480" s="29" t="s">
        <v>1485</v>
      </c>
      <c r="E480" s="29" t="s">
        <v>172</v>
      </c>
      <c r="F480" s="28" t="s">
        <v>969</v>
      </c>
      <c r="G480" s="28" t="s">
        <v>1000</v>
      </c>
      <c r="H480" s="28" t="s">
        <v>384</v>
      </c>
      <c r="I480" s="28">
        <v>9</v>
      </c>
      <c r="J480" s="30">
        <v>3.4000000000000002E-2</v>
      </c>
      <c r="K480" s="28" t="s">
        <v>646</v>
      </c>
      <c r="L480" s="31">
        <v>44075</v>
      </c>
      <c r="M480" s="28">
        <v>9</v>
      </c>
      <c r="N480" s="32" t="s">
        <v>191</v>
      </c>
      <c r="O480" s="28" t="s">
        <v>185</v>
      </c>
      <c r="P480" s="28" t="s">
        <v>1538</v>
      </c>
      <c r="Q480" s="28" t="s">
        <v>1539</v>
      </c>
      <c r="R480" s="28" t="s">
        <v>1540</v>
      </c>
    </row>
    <row r="481" spans="1:18" hidden="1">
      <c r="A481" s="28">
        <v>12</v>
      </c>
      <c r="B481" s="29" t="s">
        <v>195</v>
      </c>
      <c r="C481" s="29" t="s">
        <v>1484</v>
      </c>
      <c r="D481" s="29" t="s">
        <v>1485</v>
      </c>
      <c r="E481" s="29" t="s">
        <v>172</v>
      </c>
      <c r="F481" s="28" t="s">
        <v>969</v>
      </c>
      <c r="G481" s="28" t="s">
        <v>975</v>
      </c>
      <c r="H481" s="28" t="s">
        <v>384</v>
      </c>
      <c r="I481" s="28">
        <v>12</v>
      </c>
      <c r="J481" s="30">
        <v>2.3E-2</v>
      </c>
      <c r="K481" s="28" t="s">
        <v>430</v>
      </c>
      <c r="L481" s="31">
        <v>44105</v>
      </c>
      <c r="M481" s="28">
        <v>10</v>
      </c>
      <c r="N481" s="32" t="s">
        <v>191</v>
      </c>
      <c r="O481" s="28" t="s">
        <v>185</v>
      </c>
      <c r="P481" s="28" t="s">
        <v>1541</v>
      </c>
      <c r="Q481" s="28" t="s">
        <v>1542</v>
      </c>
      <c r="R481" s="28" t="s">
        <v>1534</v>
      </c>
    </row>
    <row r="482" spans="1:18" hidden="1">
      <c r="A482" s="28">
        <v>12</v>
      </c>
      <c r="B482" s="29" t="s">
        <v>195</v>
      </c>
      <c r="C482" s="29" t="s">
        <v>1484</v>
      </c>
      <c r="D482" s="29" t="s">
        <v>1485</v>
      </c>
      <c r="E482" s="29" t="s">
        <v>172</v>
      </c>
      <c r="F482" s="28" t="s">
        <v>969</v>
      </c>
      <c r="G482" s="28" t="s">
        <v>1335</v>
      </c>
      <c r="H482" s="28" t="s">
        <v>174</v>
      </c>
      <c r="I482" s="28" t="s">
        <v>174</v>
      </c>
      <c r="J482" s="30" t="s">
        <v>174</v>
      </c>
      <c r="K482" s="28" t="s">
        <v>823</v>
      </c>
      <c r="L482" s="31">
        <v>44136</v>
      </c>
      <c r="M482" s="28">
        <v>11</v>
      </c>
      <c r="N482" s="32" t="s">
        <v>191</v>
      </c>
      <c r="O482" s="28" t="s">
        <v>1060</v>
      </c>
      <c r="P482" s="28" t="s">
        <v>1543</v>
      </c>
      <c r="Q482" s="28" t="s">
        <v>1544</v>
      </c>
      <c r="R482" s="28" t="s">
        <v>1545</v>
      </c>
    </row>
    <row r="483" spans="1:18" hidden="1">
      <c r="A483" s="28">
        <v>12</v>
      </c>
      <c r="B483" s="29" t="s">
        <v>195</v>
      </c>
      <c r="C483" s="29" t="s">
        <v>1484</v>
      </c>
      <c r="D483" s="29" t="s">
        <v>1485</v>
      </c>
      <c r="E483" s="29" t="s">
        <v>172</v>
      </c>
      <c r="F483" s="28" t="s">
        <v>969</v>
      </c>
      <c r="G483" s="28" t="s">
        <v>1000</v>
      </c>
      <c r="H483" s="28" t="s">
        <v>384</v>
      </c>
      <c r="I483" s="28">
        <v>9</v>
      </c>
      <c r="J483" s="30">
        <v>3.4000000000000002E-2</v>
      </c>
      <c r="K483" s="28" t="s">
        <v>1546</v>
      </c>
      <c r="L483" s="31" t="s">
        <v>221</v>
      </c>
      <c r="M483" s="28" t="e">
        <v>#VALUE!</v>
      </c>
      <c r="N483" s="32" t="e">
        <v>#VALUE!</v>
      </c>
      <c r="O483" s="28" t="s">
        <v>1060</v>
      </c>
      <c r="P483" s="28" t="s">
        <v>1547</v>
      </c>
      <c r="Q483" s="28" t="s">
        <v>1548</v>
      </c>
      <c r="R483" s="28" t="s">
        <v>1549</v>
      </c>
    </row>
    <row r="484" spans="1:18" hidden="1">
      <c r="A484" s="28">
        <v>12</v>
      </c>
      <c r="B484" s="29" t="s">
        <v>195</v>
      </c>
      <c r="C484" s="29" t="s">
        <v>230</v>
      </c>
      <c r="D484" s="29" t="s">
        <v>231</v>
      </c>
      <c r="E484" s="29" t="s">
        <v>172</v>
      </c>
      <c r="F484" s="28" t="s">
        <v>969</v>
      </c>
      <c r="G484" s="28" t="s">
        <v>1000</v>
      </c>
      <c r="H484" s="28" t="s">
        <v>384</v>
      </c>
      <c r="I484" s="28">
        <v>9</v>
      </c>
      <c r="J484" s="30">
        <v>3.4000000000000002E-2</v>
      </c>
      <c r="K484" s="28" t="s">
        <v>263</v>
      </c>
      <c r="L484" s="31">
        <v>42430</v>
      </c>
      <c r="M484" s="28">
        <v>3</v>
      </c>
      <c r="N484" s="32" t="s">
        <v>191</v>
      </c>
      <c r="O484" s="28" t="s">
        <v>204</v>
      </c>
      <c r="P484" s="28" t="s">
        <v>1550</v>
      </c>
      <c r="Q484" s="28" t="s">
        <v>1551</v>
      </c>
      <c r="R484" s="28" t="s">
        <v>1552</v>
      </c>
    </row>
    <row r="485" spans="1:18" hidden="1">
      <c r="A485" s="28">
        <v>12</v>
      </c>
      <c r="B485" s="29" t="s">
        <v>195</v>
      </c>
      <c r="C485" s="29" t="s">
        <v>230</v>
      </c>
      <c r="D485" s="29" t="s">
        <v>231</v>
      </c>
      <c r="E485" s="29" t="s">
        <v>172</v>
      </c>
      <c r="F485" s="28" t="s">
        <v>969</v>
      </c>
      <c r="G485" s="28" t="s">
        <v>1007</v>
      </c>
      <c r="H485" s="28" t="s">
        <v>174</v>
      </c>
      <c r="I485" s="28" t="s">
        <v>174</v>
      </c>
      <c r="J485" s="30" t="s">
        <v>174</v>
      </c>
      <c r="K485" s="28" t="s">
        <v>489</v>
      </c>
      <c r="L485" s="31">
        <v>42491</v>
      </c>
      <c r="M485" s="28">
        <v>5</v>
      </c>
      <c r="N485" s="32" t="s">
        <v>191</v>
      </c>
      <c r="O485" s="28" t="s">
        <v>1060</v>
      </c>
      <c r="P485" s="28" t="s">
        <v>1553</v>
      </c>
      <c r="Q485" s="28" t="s">
        <v>1554</v>
      </c>
      <c r="R485" s="28" t="s">
        <v>1555</v>
      </c>
    </row>
    <row r="486" spans="1:18" hidden="1">
      <c r="A486" s="28">
        <v>12</v>
      </c>
      <c r="B486" s="29" t="s">
        <v>195</v>
      </c>
      <c r="C486" s="29" t="s">
        <v>230</v>
      </c>
      <c r="D486" s="29" t="s">
        <v>231</v>
      </c>
      <c r="E486" s="29" t="s">
        <v>172</v>
      </c>
      <c r="F486" s="28" t="s">
        <v>969</v>
      </c>
      <c r="G486" s="28" t="s">
        <v>1000</v>
      </c>
      <c r="H486" s="28" t="s">
        <v>384</v>
      </c>
      <c r="I486" s="28">
        <v>9</v>
      </c>
      <c r="J486" s="30">
        <v>3.4000000000000002E-2</v>
      </c>
      <c r="K486" s="28" t="s">
        <v>267</v>
      </c>
      <c r="L486" s="31">
        <v>42583</v>
      </c>
      <c r="M486" s="28">
        <v>8</v>
      </c>
      <c r="N486" s="32" t="s">
        <v>184</v>
      </c>
      <c r="O486" s="28" t="s">
        <v>204</v>
      </c>
      <c r="P486" s="28" t="s">
        <v>1556</v>
      </c>
      <c r="Q486" s="28" t="s">
        <v>1557</v>
      </c>
      <c r="R486" s="28" t="s">
        <v>1540</v>
      </c>
    </row>
    <row r="487" spans="1:18" hidden="1">
      <c r="A487" s="28">
        <v>12</v>
      </c>
      <c r="B487" s="29" t="s">
        <v>195</v>
      </c>
      <c r="C487" s="29" t="s">
        <v>230</v>
      </c>
      <c r="D487" s="29" t="s">
        <v>231</v>
      </c>
      <c r="E487" s="29" t="s">
        <v>172</v>
      </c>
      <c r="F487" s="28" t="s">
        <v>969</v>
      </c>
      <c r="G487" s="28" t="s">
        <v>1000</v>
      </c>
      <c r="H487" s="28" t="s">
        <v>384</v>
      </c>
      <c r="I487" s="28">
        <v>9</v>
      </c>
      <c r="J487" s="30">
        <v>3.4000000000000002E-2</v>
      </c>
      <c r="K487" s="28" t="s">
        <v>401</v>
      </c>
      <c r="L487" s="31">
        <v>42705</v>
      </c>
      <c r="M487" s="28">
        <v>12</v>
      </c>
      <c r="N487" s="32" t="s">
        <v>176</v>
      </c>
      <c r="O487" s="28" t="s">
        <v>1060</v>
      </c>
      <c r="P487" s="28" t="s">
        <v>1558</v>
      </c>
      <c r="Q487" s="28" t="s">
        <v>1559</v>
      </c>
      <c r="R487" s="28" t="s">
        <v>1560</v>
      </c>
    </row>
    <row r="488" spans="1:18" hidden="1">
      <c r="A488" s="28">
        <v>12</v>
      </c>
      <c r="B488" s="29" t="s">
        <v>195</v>
      </c>
      <c r="C488" s="29" t="s">
        <v>230</v>
      </c>
      <c r="D488" s="29" t="s">
        <v>231</v>
      </c>
      <c r="E488" s="29" t="s">
        <v>172</v>
      </c>
      <c r="F488" s="28" t="s">
        <v>969</v>
      </c>
      <c r="G488" s="28" t="s">
        <v>1000</v>
      </c>
      <c r="H488" s="28" t="s">
        <v>384</v>
      </c>
      <c r="I488" s="28">
        <v>9</v>
      </c>
      <c r="J488" s="30">
        <v>3.4000000000000002E-2</v>
      </c>
      <c r="K488" s="28" t="s">
        <v>464</v>
      </c>
      <c r="L488" s="31">
        <v>42887</v>
      </c>
      <c r="M488" s="28">
        <v>6</v>
      </c>
      <c r="N488" s="32" t="s">
        <v>184</v>
      </c>
      <c r="O488" s="28" t="s">
        <v>1060</v>
      </c>
      <c r="P488" s="28" t="s">
        <v>1561</v>
      </c>
      <c r="Q488" s="28" t="s">
        <v>1559</v>
      </c>
      <c r="R488" s="28" t="s">
        <v>1560</v>
      </c>
    </row>
    <row r="489" spans="1:18" hidden="1">
      <c r="A489" s="28">
        <v>12</v>
      </c>
      <c r="B489" s="29" t="s">
        <v>195</v>
      </c>
      <c r="C489" s="29" t="s">
        <v>230</v>
      </c>
      <c r="D489" s="29" t="s">
        <v>231</v>
      </c>
      <c r="E489" s="29" t="s">
        <v>172</v>
      </c>
      <c r="F489" s="28" t="s">
        <v>969</v>
      </c>
      <c r="G489" s="28" t="s">
        <v>1335</v>
      </c>
      <c r="H489" s="28" t="s">
        <v>174</v>
      </c>
      <c r="I489" s="28" t="s">
        <v>174</v>
      </c>
      <c r="J489" s="30" t="s">
        <v>174</v>
      </c>
      <c r="K489" s="28" t="s">
        <v>464</v>
      </c>
      <c r="L489" s="31">
        <v>42887</v>
      </c>
      <c r="M489" s="28">
        <v>6</v>
      </c>
      <c r="N489" s="32" t="s">
        <v>184</v>
      </c>
      <c r="O489" s="28" t="s">
        <v>1060</v>
      </c>
      <c r="P489" s="28" t="s">
        <v>1562</v>
      </c>
      <c r="Q489" s="28" t="s">
        <v>1559</v>
      </c>
      <c r="R489" s="28" t="s">
        <v>1560</v>
      </c>
    </row>
    <row r="490" spans="1:18" hidden="1">
      <c r="A490" s="28">
        <v>12</v>
      </c>
      <c r="B490" s="29" t="s">
        <v>195</v>
      </c>
      <c r="C490" s="29" t="s">
        <v>230</v>
      </c>
      <c r="D490" s="29" t="s">
        <v>231</v>
      </c>
      <c r="E490" s="29" t="s">
        <v>172</v>
      </c>
      <c r="F490" s="28" t="s">
        <v>969</v>
      </c>
      <c r="G490" s="28" t="s">
        <v>970</v>
      </c>
      <c r="H490" s="28" t="s">
        <v>384</v>
      </c>
      <c r="I490" s="28">
        <v>5</v>
      </c>
      <c r="J490" s="30">
        <v>4.9000000000000002E-2</v>
      </c>
      <c r="K490" s="28" t="s">
        <v>496</v>
      </c>
      <c r="L490" s="31">
        <v>42917</v>
      </c>
      <c r="M490" s="28">
        <v>7</v>
      </c>
      <c r="N490" s="32" t="s">
        <v>184</v>
      </c>
      <c r="O490" s="28" t="s">
        <v>1060</v>
      </c>
      <c r="P490" s="28" t="s">
        <v>1563</v>
      </c>
      <c r="Q490" s="28" t="s">
        <v>1564</v>
      </c>
      <c r="R490" s="28" t="s">
        <v>1565</v>
      </c>
    </row>
    <row r="491" spans="1:18" hidden="1">
      <c r="A491" s="28">
        <v>12</v>
      </c>
      <c r="B491" s="29" t="s">
        <v>195</v>
      </c>
      <c r="C491" s="29" t="s">
        <v>230</v>
      </c>
      <c r="D491" s="29" t="s">
        <v>231</v>
      </c>
      <c r="E491" s="29" t="s">
        <v>172</v>
      </c>
      <c r="F491" s="28" t="s">
        <v>969</v>
      </c>
      <c r="G491" s="28" t="s">
        <v>1335</v>
      </c>
      <c r="H491" s="28" t="s">
        <v>174</v>
      </c>
      <c r="I491" s="28" t="s">
        <v>174</v>
      </c>
      <c r="J491" s="30" t="s">
        <v>174</v>
      </c>
      <c r="K491" s="28" t="s">
        <v>813</v>
      </c>
      <c r="L491" s="31">
        <v>43009</v>
      </c>
      <c r="M491" s="28">
        <v>10</v>
      </c>
      <c r="N491" s="32" t="s">
        <v>191</v>
      </c>
      <c r="O491" s="28" t="s">
        <v>1060</v>
      </c>
      <c r="P491" s="28" t="s">
        <v>1566</v>
      </c>
      <c r="Q491" s="28" t="s">
        <v>1567</v>
      </c>
      <c r="R491" s="28" t="s">
        <v>1568</v>
      </c>
    </row>
    <row r="492" spans="1:18" hidden="1">
      <c r="A492" s="28">
        <v>12</v>
      </c>
      <c r="B492" s="29" t="s">
        <v>195</v>
      </c>
      <c r="C492" s="29" t="s">
        <v>230</v>
      </c>
      <c r="D492" s="29" t="s">
        <v>231</v>
      </c>
      <c r="E492" s="29" t="s">
        <v>172</v>
      </c>
      <c r="F492" s="28" t="s">
        <v>969</v>
      </c>
      <c r="G492" s="28" t="s">
        <v>1335</v>
      </c>
      <c r="H492" s="28" t="s">
        <v>174</v>
      </c>
      <c r="I492" s="28" t="s">
        <v>174</v>
      </c>
      <c r="J492" s="30" t="s">
        <v>174</v>
      </c>
      <c r="K492" s="28" t="s">
        <v>813</v>
      </c>
      <c r="L492" s="31">
        <v>43009</v>
      </c>
      <c r="M492" s="28">
        <v>10</v>
      </c>
      <c r="N492" s="32" t="s">
        <v>191</v>
      </c>
      <c r="O492" s="28" t="s">
        <v>1060</v>
      </c>
      <c r="P492" s="28" t="s">
        <v>1569</v>
      </c>
      <c r="Q492" s="28" t="s">
        <v>1559</v>
      </c>
      <c r="R492" s="28" t="s">
        <v>1560</v>
      </c>
    </row>
    <row r="493" spans="1:18" hidden="1">
      <c r="A493" s="28">
        <v>12</v>
      </c>
      <c r="B493" s="29" t="s">
        <v>195</v>
      </c>
      <c r="C493" s="29" t="s">
        <v>230</v>
      </c>
      <c r="D493" s="29" t="s">
        <v>231</v>
      </c>
      <c r="E493" s="29" t="s">
        <v>172</v>
      </c>
      <c r="F493" s="28" t="s">
        <v>969</v>
      </c>
      <c r="G493" s="28" t="s">
        <v>1380</v>
      </c>
      <c r="H493" s="28" t="s">
        <v>174</v>
      </c>
      <c r="I493" s="28" t="s">
        <v>174</v>
      </c>
      <c r="J493" s="30" t="s">
        <v>174</v>
      </c>
      <c r="K493" s="28" t="s">
        <v>405</v>
      </c>
      <c r="L493" s="31">
        <v>43221</v>
      </c>
      <c r="M493" s="28">
        <v>5</v>
      </c>
      <c r="N493" s="32" t="s">
        <v>191</v>
      </c>
      <c r="O493" s="28" t="s">
        <v>1060</v>
      </c>
      <c r="P493" s="28" t="s">
        <v>1570</v>
      </c>
      <c r="Q493" s="28" t="s">
        <v>1571</v>
      </c>
      <c r="R493" s="28" t="s">
        <v>1512</v>
      </c>
    </row>
    <row r="494" spans="1:18" hidden="1">
      <c r="A494" s="28">
        <v>12</v>
      </c>
      <c r="B494" s="29" t="s">
        <v>195</v>
      </c>
      <c r="C494" s="29" t="s">
        <v>230</v>
      </c>
      <c r="D494" s="29" t="s">
        <v>231</v>
      </c>
      <c r="E494" s="29" t="s">
        <v>172</v>
      </c>
      <c r="F494" s="28" t="s">
        <v>969</v>
      </c>
      <c r="G494" s="28" t="s">
        <v>1335</v>
      </c>
      <c r="H494" s="28" t="s">
        <v>174</v>
      </c>
      <c r="I494" s="28" t="s">
        <v>174</v>
      </c>
      <c r="J494" s="30" t="s">
        <v>174</v>
      </c>
      <c r="K494" s="28" t="s">
        <v>361</v>
      </c>
      <c r="L494" s="31">
        <v>43435</v>
      </c>
      <c r="M494" s="28">
        <v>12</v>
      </c>
      <c r="N494" s="32" t="s">
        <v>176</v>
      </c>
      <c r="O494" s="28" t="s">
        <v>1060</v>
      </c>
      <c r="P494" s="28" t="s">
        <v>1572</v>
      </c>
      <c r="Q494" s="28" t="s">
        <v>1559</v>
      </c>
      <c r="R494" s="28" t="s">
        <v>1560</v>
      </c>
    </row>
    <row r="495" spans="1:18" hidden="1">
      <c r="A495" s="28">
        <v>12</v>
      </c>
      <c r="B495" s="29" t="s">
        <v>195</v>
      </c>
      <c r="C495" s="29" t="s">
        <v>230</v>
      </c>
      <c r="D495" s="29" t="s">
        <v>231</v>
      </c>
      <c r="E495" s="29" t="s">
        <v>172</v>
      </c>
      <c r="F495" s="28" t="s">
        <v>969</v>
      </c>
      <c r="G495" s="28" t="s">
        <v>970</v>
      </c>
      <c r="H495" s="28" t="s">
        <v>384</v>
      </c>
      <c r="I495" s="28">
        <v>5</v>
      </c>
      <c r="J495" s="30">
        <v>4.9000000000000002E-2</v>
      </c>
      <c r="K495" s="28" t="s">
        <v>520</v>
      </c>
      <c r="L495" s="31">
        <v>43800</v>
      </c>
      <c r="M495" s="28">
        <v>12</v>
      </c>
      <c r="N495" s="32" t="s">
        <v>176</v>
      </c>
      <c r="O495" s="28" t="s">
        <v>272</v>
      </c>
      <c r="P495" s="28" t="s">
        <v>1573</v>
      </c>
      <c r="Q495" s="28" t="s">
        <v>1574</v>
      </c>
      <c r="R495" s="28" t="s">
        <v>1575</v>
      </c>
    </row>
    <row r="496" spans="1:18" hidden="1">
      <c r="A496" s="28">
        <v>12</v>
      </c>
      <c r="B496" s="29" t="s">
        <v>195</v>
      </c>
      <c r="C496" s="29" t="s">
        <v>230</v>
      </c>
      <c r="D496" s="29" t="s">
        <v>231</v>
      </c>
      <c r="E496" s="29" t="s">
        <v>172</v>
      </c>
      <c r="F496" s="28" t="s">
        <v>969</v>
      </c>
      <c r="G496" s="28" t="s">
        <v>1000</v>
      </c>
      <c r="H496" s="28" t="s">
        <v>384</v>
      </c>
      <c r="I496" s="28">
        <v>9</v>
      </c>
      <c r="J496" s="30">
        <v>3.4000000000000002E-2</v>
      </c>
      <c r="K496" s="28" t="s">
        <v>324</v>
      </c>
      <c r="L496" s="31">
        <v>43862</v>
      </c>
      <c r="M496" s="28">
        <v>2</v>
      </c>
      <c r="N496" s="32" t="s">
        <v>176</v>
      </c>
      <c r="O496" s="28" t="s">
        <v>1060</v>
      </c>
      <c r="P496" s="28" t="s">
        <v>1576</v>
      </c>
      <c r="Q496" s="28" t="s">
        <v>1559</v>
      </c>
      <c r="R496" s="28" t="s">
        <v>1560</v>
      </c>
    </row>
    <row r="497" spans="1:18" hidden="1">
      <c r="A497" s="28">
        <v>12</v>
      </c>
      <c r="B497" s="29" t="s">
        <v>195</v>
      </c>
      <c r="C497" s="29" t="s">
        <v>230</v>
      </c>
      <c r="D497" s="29" t="s">
        <v>231</v>
      </c>
      <c r="E497" s="29" t="s">
        <v>172</v>
      </c>
      <c r="F497" s="28" t="s">
        <v>969</v>
      </c>
      <c r="G497" s="28" t="s">
        <v>970</v>
      </c>
      <c r="H497" s="28" t="s">
        <v>384</v>
      </c>
      <c r="I497" s="28">
        <v>5</v>
      </c>
      <c r="J497" s="30">
        <v>4.9000000000000002E-2</v>
      </c>
      <c r="K497" s="28" t="s">
        <v>504</v>
      </c>
      <c r="L497" s="31">
        <v>43922</v>
      </c>
      <c r="M497" s="28">
        <v>4</v>
      </c>
      <c r="N497" s="32" t="s">
        <v>191</v>
      </c>
      <c r="O497" s="28" t="s">
        <v>185</v>
      </c>
      <c r="P497" s="28" t="s">
        <v>1577</v>
      </c>
      <c r="Q497" s="28" t="s">
        <v>1578</v>
      </c>
      <c r="R497" s="28" t="s">
        <v>1579</v>
      </c>
    </row>
    <row r="498" spans="1:18" hidden="1">
      <c r="A498" s="28">
        <v>12</v>
      </c>
      <c r="B498" s="29" t="s">
        <v>195</v>
      </c>
      <c r="C498" s="29" t="s">
        <v>230</v>
      </c>
      <c r="D498" s="29" t="s">
        <v>231</v>
      </c>
      <c r="E498" s="29" t="s">
        <v>172</v>
      </c>
      <c r="F498" s="28" t="s">
        <v>969</v>
      </c>
      <c r="G498" s="28" t="s">
        <v>1000</v>
      </c>
      <c r="H498" s="28" t="s">
        <v>384</v>
      </c>
      <c r="I498" s="28">
        <v>9</v>
      </c>
      <c r="J498" s="30">
        <v>3.4000000000000002E-2</v>
      </c>
      <c r="K498" s="28" t="s">
        <v>183</v>
      </c>
      <c r="L498" s="31">
        <v>43983</v>
      </c>
      <c r="M498" s="28">
        <v>6</v>
      </c>
      <c r="N498" s="32" t="s">
        <v>184</v>
      </c>
      <c r="O498" s="28" t="s">
        <v>1060</v>
      </c>
      <c r="P498" s="28" t="s">
        <v>1580</v>
      </c>
      <c r="Q498" s="28" t="s">
        <v>1559</v>
      </c>
      <c r="R498" s="28" t="s">
        <v>1560</v>
      </c>
    </row>
    <row r="499" spans="1:18" hidden="1">
      <c r="A499" s="28">
        <v>12</v>
      </c>
      <c r="B499" s="29" t="s">
        <v>195</v>
      </c>
      <c r="C499" s="29" t="s">
        <v>230</v>
      </c>
      <c r="D499" s="29" t="s">
        <v>231</v>
      </c>
      <c r="E499" s="29" t="s">
        <v>172</v>
      </c>
      <c r="F499" s="28" t="s">
        <v>969</v>
      </c>
      <c r="G499" s="28" t="s">
        <v>1335</v>
      </c>
      <c r="H499" s="28" t="s">
        <v>174</v>
      </c>
      <c r="I499" s="28" t="s">
        <v>174</v>
      </c>
      <c r="J499" s="30" t="s">
        <v>174</v>
      </c>
      <c r="K499" s="28" t="s">
        <v>183</v>
      </c>
      <c r="L499" s="31">
        <v>43983</v>
      </c>
      <c r="M499" s="28">
        <v>6</v>
      </c>
      <c r="N499" s="32" t="s">
        <v>184</v>
      </c>
      <c r="O499" s="28" t="s">
        <v>1060</v>
      </c>
      <c r="P499" s="28" t="s">
        <v>1581</v>
      </c>
      <c r="Q499" s="28" t="s">
        <v>1559</v>
      </c>
      <c r="R499" s="28" t="s">
        <v>1560</v>
      </c>
    </row>
    <row r="500" spans="1:18" hidden="1">
      <c r="A500" s="28">
        <v>12</v>
      </c>
      <c r="B500" s="29" t="s">
        <v>195</v>
      </c>
      <c r="C500" s="29" t="s">
        <v>230</v>
      </c>
      <c r="D500" s="29" t="s">
        <v>231</v>
      </c>
      <c r="E500" s="29" t="s">
        <v>172</v>
      </c>
      <c r="F500" s="28" t="s">
        <v>969</v>
      </c>
      <c r="G500" s="28" t="s">
        <v>1000</v>
      </c>
      <c r="H500" s="28" t="s">
        <v>384</v>
      </c>
      <c r="I500" s="28">
        <v>9</v>
      </c>
      <c r="J500" s="30">
        <v>3.4000000000000002E-2</v>
      </c>
      <c r="K500" s="28" t="s">
        <v>218</v>
      </c>
      <c r="L500" s="31">
        <v>44044</v>
      </c>
      <c r="M500" s="28">
        <v>8</v>
      </c>
      <c r="N500" s="32" t="s">
        <v>184</v>
      </c>
      <c r="O500" s="28" t="s">
        <v>204</v>
      </c>
      <c r="P500" s="28" t="s">
        <v>1582</v>
      </c>
      <c r="Q500" s="28" t="s">
        <v>1583</v>
      </c>
      <c r="R500" s="28" t="s">
        <v>1584</v>
      </c>
    </row>
    <row r="501" spans="1:18" hidden="1">
      <c r="A501" s="28">
        <v>12</v>
      </c>
      <c r="B501" s="29" t="s">
        <v>195</v>
      </c>
      <c r="C501" s="29" t="s">
        <v>230</v>
      </c>
      <c r="D501" s="29" t="s">
        <v>231</v>
      </c>
      <c r="E501" s="29" t="s">
        <v>172</v>
      </c>
      <c r="F501" s="28" t="s">
        <v>969</v>
      </c>
      <c r="G501" s="28" t="s">
        <v>1335</v>
      </c>
      <c r="H501" s="28" t="s">
        <v>174</v>
      </c>
      <c r="I501" s="28" t="s">
        <v>174</v>
      </c>
      <c r="J501" s="30" t="s">
        <v>174</v>
      </c>
      <c r="K501" s="28" t="s">
        <v>218</v>
      </c>
      <c r="L501" s="31">
        <v>44044</v>
      </c>
      <c r="M501" s="28">
        <v>8</v>
      </c>
      <c r="N501" s="32" t="s">
        <v>184</v>
      </c>
      <c r="O501" s="28" t="s">
        <v>1060</v>
      </c>
      <c r="P501" s="28" t="s">
        <v>1585</v>
      </c>
      <c r="Q501" s="28" t="s">
        <v>1567</v>
      </c>
      <c r="R501" s="28" t="s">
        <v>1568</v>
      </c>
    </row>
    <row r="502" spans="1:18" hidden="1">
      <c r="A502" s="28">
        <v>12</v>
      </c>
      <c r="B502" s="29" t="s">
        <v>195</v>
      </c>
      <c r="C502" s="29" t="s">
        <v>230</v>
      </c>
      <c r="D502" s="29" t="s">
        <v>231</v>
      </c>
      <c r="E502" s="29" t="s">
        <v>172</v>
      </c>
      <c r="F502" s="28" t="s">
        <v>969</v>
      </c>
      <c r="G502" s="28" t="s">
        <v>1380</v>
      </c>
      <c r="H502" s="28" t="s">
        <v>174</v>
      </c>
      <c r="I502" s="28" t="s">
        <v>174</v>
      </c>
      <c r="J502" s="30" t="s">
        <v>174</v>
      </c>
      <c r="K502" s="28" t="s">
        <v>430</v>
      </c>
      <c r="L502" s="31">
        <v>44105</v>
      </c>
      <c r="M502" s="28">
        <v>10</v>
      </c>
      <c r="N502" s="32" t="s">
        <v>191</v>
      </c>
      <c r="O502" s="28" t="s">
        <v>794</v>
      </c>
      <c r="P502" s="28" t="s">
        <v>1586</v>
      </c>
      <c r="Q502" s="28" t="s">
        <v>1587</v>
      </c>
      <c r="R502" s="28" t="s">
        <v>1512</v>
      </c>
    </row>
    <row r="503" spans="1:18" hidden="1">
      <c r="A503" s="28">
        <v>12</v>
      </c>
      <c r="B503" s="29" t="s">
        <v>195</v>
      </c>
      <c r="C503" s="29" t="s">
        <v>230</v>
      </c>
      <c r="D503" s="29" t="s">
        <v>231</v>
      </c>
      <c r="E503" s="29" t="s">
        <v>172</v>
      </c>
      <c r="F503" s="28" t="s">
        <v>969</v>
      </c>
      <c r="G503" s="28" t="s">
        <v>1000</v>
      </c>
      <c r="H503" s="28" t="s">
        <v>384</v>
      </c>
      <c r="I503" s="28">
        <v>9</v>
      </c>
      <c r="J503" s="30">
        <v>3.4000000000000002E-2</v>
      </c>
      <c r="K503" s="28" t="s">
        <v>190</v>
      </c>
      <c r="L503" s="31">
        <v>44287</v>
      </c>
      <c r="M503" s="28">
        <v>4</v>
      </c>
      <c r="N503" s="32" t="s">
        <v>191</v>
      </c>
      <c r="O503" s="28" t="s">
        <v>1060</v>
      </c>
      <c r="P503" s="28" t="s">
        <v>1588</v>
      </c>
      <c r="Q503" s="28" t="s">
        <v>1559</v>
      </c>
      <c r="R503" s="28" t="s">
        <v>1560</v>
      </c>
    </row>
    <row r="504" spans="1:18" hidden="1">
      <c r="A504" s="28">
        <v>12</v>
      </c>
      <c r="B504" s="29" t="s">
        <v>195</v>
      </c>
      <c r="C504" s="29" t="s">
        <v>230</v>
      </c>
      <c r="D504" s="29" t="s">
        <v>231</v>
      </c>
      <c r="E504" s="29" t="s">
        <v>172</v>
      </c>
      <c r="F504" s="28" t="s">
        <v>969</v>
      </c>
      <c r="G504" s="28" t="s">
        <v>1007</v>
      </c>
      <c r="H504" s="28" t="s">
        <v>174</v>
      </c>
      <c r="I504" s="28" t="s">
        <v>174</v>
      </c>
      <c r="J504" s="30" t="s">
        <v>174</v>
      </c>
      <c r="K504" s="28" t="s">
        <v>554</v>
      </c>
      <c r="L504" s="31">
        <v>44317</v>
      </c>
      <c r="M504" s="28">
        <v>5</v>
      </c>
      <c r="N504" s="32" t="s">
        <v>191</v>
      </c>
      <c r="O504" s="28" t="s">
        <v>204</v>
      </c>
      <c r="P504" s="28" t="s">
        <v>1589</v>
      </c>
      <c r="Q504" s="28" t="s">
        <v>1590</v>
      </c>
      <c r="R504" s="28" t="s">
        <v>1591</v>
      </c>
    </row>
    <row r="505" spans="1:18" hidden="1">
      <c r="A505" s="28">
        <v>12</v>
      </c>
      <c r="B505" s="29" t="s">
        <v>195</v>
      </c>
      <c r="C505" s="29" t="s">
        <v>230</v>
      </c>
      <c r="D505" s="29" t="s">
        <v>231</v>
      </c>
      <c r="E505" s="29" t="s">
        <v>172</v>
      </c>
      <c r="F505" s="28" t="s">
        <v>969</v>
      </c>
      <c r="G505" s="28" t="s">
        <v>1000</v>
      </c>
      <c r="H505" s="28" t="s">
        <v>384</v>
      </c>
      <c r="I505" s="28">
        <v>9</v>
      </c>
      <c r="J505" s="30">
        <v>3.4000000000000002E-2</v>
      </c>
      <c r="K505" s="28" t="s">
        <v>345</v>
      </c>
      <c r="L505" s="31">
        <v>44440</v>
      </c>
      <c r="M505" s="28">
        <v>9</v>
      </c>
      <c r="N505" s="32" t="s">
        <v>191</v>
      </c>
      <c r="O505" s="28" t="s">
        <v>185</v>
      </c>
      <c r="P505" s="28" t="s">
        <v>1592</v>
      </c>
      <c r="Q505" s="28" t="s">
        <v>1539</v>
      </c>
      <c r="R505" s="28" t="s">
        <v>1540</v>
      </c>
    </row>
    <row r="506" spans="1:18" hidden="1">
      <c r="A506" s="28">
        <v>12</v>
      </c>
      <c r="B506" s="29" t="s">
        <v>195</v>
      </c>
      <c r="C506" s="29" t="s">
        <v>230</v>
      </c>
      <c r="D506" s="29" t="s">
        <v>231</v>
      </c>
      <c r="E506" s="29" t="s">
        <v>172</v>
      </c>
      <c r="F506" s="28" t="s">
        <v>969</v>
      </c>
      <c r="G506" s="28" t="s">
        <v>1007</v>
      </c>
      <c r="H506" s="28" t="s">
        <v>174</v>
      </c>
      <c r="I506" s="28" t="s">
        <v>174</v>
      </c>
      <c r="J506" s="30" t="s">
        <v>174</v>
      </c>
      <c r="K506" s="28" t="s">
        <v>1593</v>
      </c>
      <c r="L506" s="31" t="s">
        <v>221</v>
      </c>
      <c r="M506" s="28" t="e">
        <v>#VALUE!</v>
      </c>
      <c r="N506" s="32" t="e">
        <v>#VALUE!</v>
      </c>
      <c r="O506" s="28" t="s">
        <v>185</v>
      </c>
      <c r="P506" s="28" t="s">
        <v>1594</v>
      </c>
      <c r="Q506" s="28" t="s">
        <v>1595</v>
      </c>
      <c r="R506" s="28" t="s">
        <v>1596</v>
      </c>
    </row>
    <row r="507" spans="1:18" hidden="1">
      <c r="A507" s="28">
        <v>2</v>
      </c>
      <c r="B507" s="29" t="s">
        <v>240</v>
      </c>
      <c r="C507" s="29" t="s">
        <v>241</v>
      </c>
      <c r="D507" s="29" t="s">
        <v>242</v>
      </c>
      <c r="E507" s="29" t="s">
        <v>172</v>
      </c>
      <c r="F507" s="28" t="s">
        <v>969</v>
      </c>
      <c r="G507" s="28" t="s">
        <v>1380</v>
      </c>
      <c r="H507" s="28" t="s">
        <v>174</v>
      </c>
      <c r="I507" s="28" t="s">
        <v>174</v>
      </c>
      <c r="J507" s="30" t="s">
        <v>174</v>
      </c>
      <c r="K507" s="28" t="s">
        <v>263</v>
      </c>
      <c r="L507" s="31">
        <v>42430</v>
      </c>
      <c r="M507" s="28">
        <v>3</v>
      </c>
      <c r="N507" s="32" t="s">
        <v>191</v>
      </c>
      <c r="O507" s="28" t="s">
        <v>185</v>
      </c>
      <c r="P507" s="28" t="s">
        <v>1597</v>
      </c>
      <c r="Q507" s="28" t="s">
        <v>1598</v>
      </c>
      <c r="R507" s="28" t="s">
        <v>1599</v>
      </c>
    </row>
    <row r="508" spans="1:18" hidden="1">
      <c r="A508" s="28">
        <v>2</v>
      </c>
      <c r="B508" s="29" t="s">
        <v>240</v>
      </c>
      <c r="C508" s="29" t="s">
        <v>241</v>
      </c>
      <c r="D508" s="29" t="s">
        <v>242</v>
      </c>
      <c r="E508" s="29" t="s">
        <v>172</v>
      </c>
      <c r="F508" s="28" t="s">
        <v>969</v>
      </c>
      <c r="G508" s="28" t="s">
        <v>1364</v>
      </c>
      <c r="H508" s="28" t="s">
        <v>174</v>
      </c>
      <c r="I508" s="28" t="s">
        <v>174</v>
      </c>
      <c r="J508" s="30" t="s">
        <v>174</v>
      </c>
      <c r="K508" s="28" t="s">
        <v>587</v>
      </c>
      <c r="L508" s="31">
        <v>42736</v>
      </c>
      <c r="M508" s="28">
        <v>1</v>
      </c>
      <c r="N508" s="32" t="s">
        <v>176</v>
      </c>
      <c r="O508" s="28" t="s">
        <v>177</v>
      </c>
      <c r="P508" s="28" t="s">
        <v>1600</v>
      </c>
      <c r="Q508" s="28" t="s">
        <v>1601</v>
      </c>
      <c r="R508" s="28" t="s">
        <v>1602</v>
      </c>
    </row>
    <row r="509" spans="1:18" hidden="1">
      <c r="A509" s="28">
        <v>2</v>
      </c>
      <c r="B509" s="29" t="s">
        <v>240</v>
      </c>
      <c r="C509" s="29" t="s">
        <v>241</v>
      </c>
      <c r="D509" s="29" t="s">
        <v>242</v>
      </c>
      <c r="E509" s="29" t="s">
        <v>172</v>
      </c>
      <c r="F509" s="28" t="s">
        <v>969</v>
      </c>
      <c r="G509" s="28" t="s">
        <v>1364</v>
      </c>
      <c r="H509" s="28" t="s">
        <v>174</v>
      </c>
      <c r="I509" s="28" t="s">
        <v>174</v>
      </c>
      <c r="J509" s="30" t="s">
        <v>174</v>
      </c>
      <c r="K509" s="28" t="s">
        <v>271</v>
      </c>
      <c r="L509" s="31">
        <v>42856</v>
      </c>
      <c r="M509" s="28">
        <v>5</v>
      </c>
      <c r="N509" s="32" t="s">
        <v>191</v>
      </c>
      <c r="O509" s="28" t="s">
        <v>204</v>
      </c>
      <c r="P509" s="28" t="s">
        <v>1603</v>
      </c>
      <c r="Q509" s="28" t="s">
        <v>1604</v>
      </c>
      <c r="R509" s="28" t="s">
        <v>1605</v>
      </c>
    </row>
    <row r="510" spans="1:18" hidden="1">
      <c r="A510" s="28">
        <v>2</v>
      </c>
      <c r="B510" s="29" t="s">
        <v>240</v>
      </c>
      <c r="C510" s="29" t="s">
        <v>241</v>
      </c>
      <c r="D510" s="29" t="s">
        <v>242</v>
      </c>
      <c r="E510" s="29" t="s">
        <v>172</v>
      </c>
      <c r="F510" s="28" t="s">
        <v>969</v>
      </c>
      <c r="G510" s="28" t="s">
        <v>1007</v>
      </c>
      <c r="H510" s="28" t="s">
        <v>174</v>
      </c>
      <c r="I510" s="28" t="s">
        <v>174</v>
      </c>
      <c r="J510" s="30" t="s">
        <v>174</v>
      </c>
      <c r="K510" s="28" t="s">
        <v>813</v>
      </c>
      <c r="L510" s="31">
        <v>43009</v>
      </c>
      <c r="M510" s="28">
        <v>10</v>
      </c>
      <c r="N510" s="32" t="s">
        <v>191</v>
      </c>
      <c r="O510" s="28" t="s">
        <v>185</v>
      </c>
      <c r="P510" s="28" t="s">
        <v>1606</v>
      </c>
      <c r="Q510" s="28" t="s">
        <v>1607</v>
      </c>
      <c r="R510" s="28" t="s">
        <v>1608</v>
      </c>
    </row>
    <row r="511" spans="1:18" hidden="1">
      <c r="A511" s="28">
        <v>2</v>
      </c>
      <c r="B511" s="29" t="s">
        <v>240</v>
      </c>
      <c r="C511" s="29" t="s">
        <v>241</v>
      </c>
      <c r="D511" s="29" t="s">
        <v>242</v>
      </c>
      <c r="E511" s="29" t="s">
        <v>172</v>
      </c>
      <c r="F511" s="28" t="s">
        <v>969</v>
      </c>
      <c r="G511" s="28" t="s">
        <v>975</v>
      </c>
      <c r="H511" s="28" t="s">
        <v>384</v>
      </c>
      <c r="I511" s="28">
        <v>12</v>
      </c>
      <c r="J511" s="30">
        <v>2.3E-2</v>
      </c>
      <c r="K511" s="28" t="s">
        <v>293</v>
      </c>
      <c r="L511" s="31">
        <v>43374</v>
      </c>
      <c r="M511" s="28">
        <v>10</v>
      </c>
      <c r="N511" s="32" t="s">
        <v>191</v>
      </c>
      <c r="O511" s="28" t="s">
        <v>177</v>
      </c>
      <c r="P511" s="28" t="s">
        <v>1609</v>
      </c>
      <c r="Q511" s="28" t="s">
        <v>1610</v>
      </c>
      <c r="R511" s="28" t="s">
        <v>1611</v>
      </c>
    </row>
    <row r="512" spans="1:18" hidden="1">
      <c r="A512" s="28">
        <v>2</v>
      </c>
      <c r="B512" s="29" t="s">
        <v>240</v>
      </c>
      <c r="C512" s="29" t="s">
        <v>241</v>
      </c>
      <c r="D512" s="29" t="s">
        <v>242</v>
      </c>
      <c r="E512" s="29" t="s">
        <v>172</v>
      </c>
      <c r="F512" s="28" t="s">
        <v>969</v>
      </c>
      <c r="G512" s="28" t="s">
        <v>1007</v>
      </c>
      <c r="H512" s="28" t="s">
        <v>174</v>
      </c>
      <c r="I512" s="28" t="s">
        <v>174</v>
      </c>
      <c r="J512" s="30" t="s">
        <v>174</v>
      </c>
      <c r="K512" s="28" t="s">
        <v>361</v>
      </c>
      <c r="L512" s="31">
        <v>43435</v>
      </c>
      <c r="M512" s="28">
        <v>12</v>
      </c>
      <c r="N512" s="32" t="s">
        <v>176</v>
      </c>
      <c r="O512" s="28" t="s">
        <v>1060</v>
      </c>
      <c r="P512" s="28" t="s">
        <v>1612</v>
      </c>
      <c r="Q512" s="28" t="s">
        <v>1613</v>
      </c>
      <c r="R512" s="28" t="s">
        <v>1614</v>
      </c>
    </row>
    <row r="513" spans="1:18" hidden="1">
      <c r="A513" s="28">
        <v>2</v>
      </c>
      <c r="B513" s="29" t="s">
        <v>240</v>
      </c>
      <c r="C513" s="29" t="s">
        <v>241</v>
      </c>
      <c r="D513" s="29" t="s">
        <v>242</v>
      </c>
      <c r="E513" s="29" t="s">
        <v>172</v>
      </c>
      <c r="F513" s="28" t="s">
        <v>969</v>
      </c>
      <c r="G513" s="28" t="s">
        <v>1364</v>
      </c>
      <c r="H513" s="28" t="s">
        <v>174</v>
      </c>
      <c r="I513" s="28" t="s">
        <v>174</v>
      </c>
      <c r="J513" s="30" t="s">
        <v>174</v>
      </c>
      <c r="K513" s="28" t="s">
        <v>683</v>
      </c>
      <c r="L513" s="31">
        <v>43831</v>
      </c>
      <c r="M513" s="28">
        <v>1</v>
      </c>
      <c r="N513" s="32" t="s">
        <v>176</v>
      </c>
      <c r="O513" s="28" t="s">
        <v>177</v>
      </c>
      <c r="P513" s="28" t="s">
        <v>1615</v>
      </c>
      <c r="Q513" s="28" t="s">
        <v>1616</v>
      </c>
      <c r="R513" s="28" t="s">
        <v>1617</v>
      </c>
    </row>
    <row r="514" spans="1:18" hidden="1">
      <c r="A514" s="28">
        <v>2</v>
      </c>
      <c r="B514" s="29" t="s">
        <v>240</v>
      </c>
      <c r="C514" s="29" t="s">
        <v>241</v>
      </c>
      <c r="D514" s="29" t="s">
        <v>242</v>
      </c>
      <c r="E514" s="29" t="s">
        <v>172</v>
      </c>
      <c r="F514" s="28" t="s">
        <v>969</v>
      </c>
      <c r="G514" s="28" t="s">
        <v>1000</v>
      </c>
      <c r="H514" s="28" t="s">
        <v>384</v>
      </c>
      <c r="I514" s="28">
        <v>9</v>
      </c>
      <c r="J514" s="30">
        <v>3.4000000000000002E-2</v>
      </c>
      <c r="K514" s="28" t="s">
        <v>504</v>
      </c>
      <c r="L514" s="31">
        <v>43922</v>
      </c>
      <c r="M514" s="28">
        <v>4</v>
      </c>
      <c r="N514" s="32" t="s">
        <v>191</v>
      </c>
      <c r="O514" s="28" t="s">
        <v>185</v>
      </c>
      <c r="P514" s="28" t="s">
        <v>1618</v>
      </c>
      <c r="Q514" s="28" t="s">
        <v>1619</v>
      </c>
      <c r="R514" s="28" t="s">
        <v>1620</v>
      </c>
    </row>
    <row r="515" spans="1:18" hidden="1">
      <c r="A515" s="28">
        <v>2</v>
      </c>
      <c r="B515" s="29" t="s">
        <v>240</v>
      </c>
      <c r="C515" s="29" t="s">
        <v>241</v>
      </c>
      <c r="D515" s="29" t="s">
        <v>509</v>
      </c>
      <c r="E515" s="29" t="s">
        <v>172</v>
      </c>
      <c r="F515" s="28" t="s">
        <v>969</v>
      </c>
      <c r="G515" s="28" t="s">
        <v>975</v>
      </c>
      <c r="H515" s="28" t="s">
        <v>384</v>
      </c>
      <c r="I515" s="28">
        <v>12</v>
      </c>
      <c r="J515" s="30">
        <v>2.3E-2</v>
      </c>
      <c r="K515" s="28" t="s">
        <v>752</v>
      </c>
      <c r="L515" s="31">
        <v>43709</v>
      </c>
      <c r="M515" s="28">
        <v>9</v>
      </c>
      <c r="N515" s="32" t="s">
        <v>191</v>
      </c>
      <c r="O515" s="28" t="s">
        <v>204</v>
      </c>
      <c r="P515" s="28" t="s">
        <v>1621</v>
      </c>
      <c r="Q515" s="28" t="s">
        <v>1622</v>
      </c>
      <c r="R515" s="28" t="s">
        <v>1085</v>
      </c>
    </row>
    <row r="516" spans="1:18" hidden="1">
      <c r="A516" s="28">
        <v>2</v>
      </c>
      <c r="B516" s="29" t="s">
        <v>240</v>
      </c>
      <c r="C516" s="29" t="s">
        <v>915</v>
      </c>
      <c r="D516" s="29" t="s">
        <v>1623</v>
      </c>
      <c r="E516" s="29" t="s">
        <v>172</v>
      </c>
      <c r="F516" s="28" t="s">
        <v>969</v>
      </c>
      <c r="G516" s="28" t="s">
        <v>1364</v>
      </c>
      <c r="H516" s="28" t="s">
        <v>174</v>
      </c>
      <c r="I516" s="28" t="s">
        <v>174</v>
      </c>
      <c r="J516" s="30" t="s">
        <v>174</v>
      </c>
      <c r="K516" s="28" t="s">
        <v>489</v>
      </c>
      <c r="L516" s="31">
        <v>42491</v>
      </c>
      <c r="M516" s="28">
        <v>5</v>
      </c>
      <c r="N516" s="32" t="s">
        <v>191</v>
      </c>
      <c r="O516" s="28" t="s">
        <v>177</v>
      </c>
      <c r="P516" s="28" t="s">
        <v>1624</v>
      </c>
      <c r="Q516" s="28" t="s">
        <v>1625</v>
      </c>
      <c r="R516" s="28" t="s">
        <v>1626</v>
      </c>
    </row>
    <row r="517" spans="1:18" hidden="1">
      <c r="A517" s="28">
        <v>2</v>
      </c>
      <c r="B517" s="29" t="s">
        <v>240</v>
      </c>
      <c r="C517" s="29" t="s">
        <v>915</v>
      </c>
      <c r="D517" s="29" t="s">
        <v>916</v>
      </c>
      <c r="E517" s="29" t="s">
        <v>172</v>
      </c>
      <c r="F517" s="28" t="s">
        <v>969</v>
      </c>
      <c r="G517" s="28" t="s">
        <v>1364</v>
      </c>
      <c r="H517" s="28" t="s">
        <v>174</v>
      </c>
      <c r="I517" s="28" t="s">
        <v>174</v>
      </c>
      <c r="J517" s="30" t="s">
        <v>174</v>
      </c>
      <c r="K517" s="28" t="s">
        <v>651</v>
      </c>
      <c r="L517" s="31">
        <v>42644</v>
      </c>
      <c r="M517" s="28">
        <v>10</v>
      </c>
      <c r="N517" s="32" t="s">
        <v>191</v>
      </c>
      <c r="O517" s="28" t="s">
        <v>204</v>
      </c>
      <c r="P517" s="28" t="s">
        <v>1627</v>
      </c>
      <c r="Q517" s="28" t="s">
        <v>1628</v>
      </c>
      <c r="R517" s="28" t="s">
        <v>1629</v>
      </c>
    </row>
    <row r="518" spans="1:18" hidden="1">
      <c r="A518" s="28">
        <v>2</v>
      </c>
      <c r="B518" s="29" t="s">
        <v>240</v>
      </c>
      <c r="C518" s="29" t="s">
        <v>915</v>
      </c>
      <c r="D518" s="29" t="s">
        <v>916</v>
      </c>
      <c r="E518" s="29" t="s">
        <v>172</v>
      </c>
      <c r="F518" s="28" t="s">
        <v>969</v>
      </c>
      <c r="G518" s="28" t="s">
        <v>1364</v>
      </c>
      <c r="H518" s="28" t="s">
        <v>174</v>
      </c>
      <c r="I518" s="28" t="s">
        <v>174</v>
      </c>
      <c r="J518" s="30" t="s">
        <v>174</v>
      </c>
      <c r="K518" s="28" t="s">
        <v>813</v>
      </c>
      <c r="L518" s="31">
        <v>43009</v>
      </c>
      <c r="M518" s="28">
        <v>10</v>
      </c>
      <c r="N518" s="32" t="s">
        <v>191</v>
      </c>
      <c r="O518" s="28" t="s">
        <v>204</v>
      </c>
      <c r="P518" s="28" t="s">
        <v>1630</v>
      </c>
      <c r="Q518" s="28" t="s">
        <v>1631</v>
      </c>
      <c r="R518" s="28" t="s">
        <v>1632</v>
      </c>
    </row>
    <row r="519" spans="1:18" hidden="1">
      <c r="A519" s="28">
        <v>2</v>
      </c>
      <c r="B519" s="29" t="s">
        <v>240</v>
      </c>
      <c r="C519" s="29" t="s">
        <v>261</v>
      </c>
      <c r="D519" s="29" t="s">
        <v>1633</v>
      </c>
      <c r="E519" s="29" t="s">
        <v>172</v>
      </c>
      <c r="F519" s="28" t="s">
        <v>969</v>
      </c>
      <c r="G519" s="28" t="s">
        <v>970</v>
      </c>
      <c r="H519" s="28" t="s">
        <v>384</v>
      </c>
      <c r="I519" s="28">
        <v>5</v>
      </c>
      <c r="J519" s="30">
        <v>4.9000000000000002E-2</v>
      </c>
      <c r="K519" s="28" t="s">
        <v>742</v>
      </c>
      <c r="L519" s="31">
        <v>42948</v>
      </c>
      <c r="M519" s="28">
        <v>8</v>
      </c>
      <c r="N519" s="32" t="s">
        <v>184</v>
      </c>
      <c r="O519" s="28" t="s">
        <v>177</v>
      </c>
      <c r="P519" s="28" t="s">
        <v>1634</v>
      </c>
      <c r="Q519" s="28" t="s">
        <v>1635</v>
      </c>
      <c r="R519" s="28" t="s">
        <v>1636</v>
      </c>
    </row>
    <row r="520" spans="1:18" hidden="1">
      <c r="A520" s="28">
        <v>2</v>
      </c>
      <c r="B520" s="29" t="s">
        <v>240</v>
      </c>
      <c r="C520" s="29" t="s">
        <v>261</v>
      </c>
      <c r="D520" s="29" t="s">
        <v>1633</v>
      </c>
      <c r="E520" s="29" t="s">
        <v>172</v>
      </c>
      <c r="F520" s="28" t="s">
        <v>969</v>
      </c>
      <c r="G520" s="28" t="s">
        <v>1380</v>
      </c>
      <c r="H520" s="28" t="s">
        <v>174</v>
      </c>
      <c r="I520" s="28" t="s">
        <v>174</v>
      </c>
      <c r="J520" s="30" t="s">
        <v>174</v>
      </c>
      <c r="K520" s="28" t="s">
        <v>475</v>
      </c>
      <c r="L520" s="31">
        <v>43191</v>
      </c>
      <c r="M520" s="28">
        <v>4</v>
      </c>
      <c r="N520" s="32" t="s">
        <v>191</v>
      </c>
      <c r="O520" s="28" t="s">
        <v>244</v>
      </c>
      <c r="P520" s="28" t="s">
        <v>1637</v>
      </c>
      <c r="Q520" s="28" t="s">
        <v>1638</v>
      </c>
      <c r="R520" s="28" t="s">
        <v>1639</v>
      </c>
    </row>
    <row r="521" spans="1:18" hidden="1">
      <c r="A521" s="28">
        <v>2</v>
      </c>
      <c r="B521" s="29" t="s">
        <v>240</v>
      </c>
      <c r="C521" s="29" t="s">
        <v>261</v>
      </c>
      <c r="D521" s="29" t="s">
        <v>1633</v>
      </c>
      <c r="E521" s="29" t="s">
        <v>172</v>
      </c>
      <c r="F521" s="28" t="s">
        <v>969</v>
      </c>
      <c r="G521" s="28" t="s">
        <v>970</v>
      </c>
      <c r="H521" s="28" t="s">
        <v>384</v>
      </c>
      <c r="I521" s="28">
        <v>5</v>
      </c>
      <c r="J521" s="30">
        <v>4.9000000000000002E-2</v>
      </c>
      <c r="K521" s="28" t="s">
        <v>212</v>
      </c>
      <c r="L521" s="31">
        <v>43313</v>
      </c>
      <c r="M521" s="28">
        <v>8</v>
      </c>
      <c r="N521" s="32" t="s">
        <v>184</v>
      </c>
      <c r="O521" s="28" t="s">
        <v>177</v>
      </c>
      <c r="P521" s="28" t="s">
        <v>1640</v>
      </c>
      <c r="Q521" s="28" t="s">
        <v>1635</v>
      </c>
      <c r="R521" s="28" t="s">
        <v>1636</v>
      </c>
    </row>
    <row r="522" spans="1:18" hidden="1">
      <c r="A522" s="28">
        <v>2</v>
      </c>
      <c r="B522" s="29" t="s">
        <v>240</v>
      </c>
      <c r="C522" s="29" t="s">
        <v>261</v>
      </c>
      <c r="D522" s="29" t="s">
        <v>1633</v>
      </c>
      <c r="E522" s="29" t="s">
        <v>172</v>
      </c>
      <c r="F522" s="28" t="s">
        <v>969</v>
      </c>
      <c r="G522" s="28" t="s">
        <v>970</v>
      </c>
      <c r="H522" s="28" t="s">
        <v>384</v>
      </c>
      <c r="I522" s="28">
        <v>5</v>
      </c>
      <c r="J522" s="30">
        <v>4.9000000000000002E-2</v>
      </c>
      <c r="K522" s="28" t="s">
        <v>844</v>
      </c>
      <c r="L522" s="31">
        <v>43586</v>
      </c>
      <c r="M522" s="28">
        <v>5</v>
      </c>
      <c r="N522" s="32" t="s">
        <v>191</v>
      </c>
      <c r="O522" s="28" t="s">
        <v>204</v>
      </c>
      <c r="P522" s="28" t="s">
        <v>1641</v>
      </c>
      <c r="Q522" s="28" t="s">
        <v>1642</v>
      </c>
      <c r="R522" s="28" t="s">
        <v>1643</v>
      </c>
    </row>
    <row r="523" spans="1:18" hidden="1">
      <c r="A523" s="28">
        <v>2</v>
      </c>
      <c r="B523" s="29" t="s">
        <v>240</v>
      </c>
      <c r="C523" s="29" t="s">
        <v>261</v>
      </c>
      <c r="D523" s="29" t="s">
        <v>1633</v>
      </c>
      <c r="E523" s="29" t="s">
        <v>172</v>
      </c>
      <c r="F523" s="28" t="s">
        <v>969</v>
      </c>
      <c r="G523" s="28" t="s">
        <v>1380</v>
      </c>
      <c r="H523" s="28" t="s">
        <v>174</v>
      </c>
      <c r="I523" s="28" t="s">
        <v>174</v>
      </c>
      <c r="J523" s="30" t="s">
        <v>174</v>
      </c>
      <c r="K523" s="28" t="s">
        <v>442</v>
      </c>
      <c r="L523" s="31">
        <v>43647</v>
      </c>
      <c r="M523" s="28">
        <v>7</v>
      </c>
      <c r="N523" s="32" t="s">
        <v>184</v>
      </c>
      <c r="O523" s="28" t="s">
        <v>177</v>
      </c>
      <c r="P523" s="28" t="s">
        <v>1644</v>
      </c>
      <c r="Q523" s="28" t="s">
        <v>1645</v>
      </c>
      <c r="R523" s="28" t="s">
        <v>1646</v>
      </c>
    </row>
    <row r="524" spans="1:18" hidden="1">
      <c r="A524" s="28">
        <v>2</v>
      </c>
      <c r="B524" s="29" t="s">
        <v>240</v>
      </c>
      <c r="C524" s="29" t="s">
        <v>261</v>
      </c>
      <c r="D524" s="29" t="s">
        <v>262</v>
      </c>
      <c r="E524" s="29" t="s">
        <v>172</v>
      </c>
      <c r="F524" s="28" t="s">
        <v>969</v>
      </c>
      <c r="G524" s="28" t="s">
        <v>975</v>
      </c>
      <c r="H524" s="28" t="s">
        <v>384</v>
      </c>
      <c r="I524" s="28">
        <v>12</v>
      </c>
      <c r="J524" s="30">
        <v>2.3E-2</v>
      </c>
      <c r="K524" s="28" t="s">
        <v>496</v>
      </c>
      <c r="L524" s="31">
        <v>42917</v>
      </c>
      <c r="M524" s="28">
        <v>7</v>
      </c>
      <c r="N524" s="32" t="s">
        <v>184</v>
      </c>
      <c r="O524" s="28" t="s">
        <v>177</v>
      </c>
      <c r="P524" s="28" t="s">
        <v>1647</v>
      </c>
      <c r="Q524" s="28" t="s">
        <v>1648</v>
      </c>
      <c r="R524" s="28" t="s">
        <v>1649</v>
      </c>
    </row>
    <row r="525" spans="1:18" hidden="1">
      <c r="A525" s="28">
        <v>2</v>
      </c>
      <c r="B525" s="29" t="s">
        <v>240</v>
      </c>
      <c r="C525" s="29" t="s">
        <v>261</v>
      </c>
      <c r="D525" s="29" t="s">
        <v>262</v>
      </c>
      <c r="E525" s="29" t="s">
        <v>172</v>
      </c>
      <c r="F525" s="28" t="s">
        <v>969</v>
      </c>
      <c r="G525" s="28" t="s">
        <v>975</v>
      </c>
      <c r="H525" s="28" t="s">
        <v>384</v>
      </c>
      <c r="I525" s="28">
        <v>12</v>
      </c>
      <c r="J525" s="30">
        <v>2.3E-2</v>
      </c>
      <c r="K525" s="28" t="s">
        <v>971</v>
      </c>
      <c r="L525" s="31">
        <v>42979</v>
      </c>
      <c r="M525" s="28">
        <v>9</v>
      </c>
      <c r="N525" s="32" t="s">
        <v>191</v>
      </c>
      <c r="O525" s="28" t="s">
        <v>177</v>
      </c>
      <c r="P525" s="28" t="s">
        <v>1650</v>
      </c>
      <c r="Q525" s="28" t="s">
        <v>1648</v>
      </c>
      <c r="R525" s="28" t="s">
        <v>1649</v>
      </c>
    </row>
    <row r="526" spans="1:18" hidden="1">
      <c r="A526" s="28">
        <v>2</v>
      </c>
      <c r="B526" s="29" t="s">
        <v>240</v>
      </c>
      <c r="C526" s="29" t="s">
        <v>261</v>
      </c>
      <c r="D526" s="29" t="s">
        <v>262</v>
      </c>
      <c r="E526" s="29" t="s">
        <v>172</v>
      </c>
      <c r="F526" s="28" t="s">
        <v>969</v>
      </c>
      <c r="G526" s="28" t="s">
        <v>1364</v>
      </c>
      <c r="H526" s="28" t="s">
        <v>174</v>
      </c>
      <c r="I526" s="28" t="s">
        <v>174</v>
      </c>
      <c r="J526" s="30" t="s">
        <v>174</v>
      </c>
      <c r="K526" s="28" t="s">
        <v>324</v>
      </c>
      <c r="L526" s="31">
        <v>43862</v>
      </c>
      <c r="M526" s="28">
        <v>2</v>
      </c>
      <c r="N526" s="32" t="s">
        <v>176</v>
      </c>
      <c r="O526" s="28" t="s">
        <v>244</v>
      </c>
      <c r="P526" s="28" t="s">
        <v>1651</v>
      </c>
      <c r="Q526" s="28" t="s">
        <v>1652</v>
      </c>
      <c r="R526" s="28" t="s">
        <v>1653</v>
      </c>
    </row>
    <row r="527" spans="1:18" hidden="1">
      <c r="A527" s="28">
        <v>2</v>
      </c>
      <c r="B527" s="29" t="s">
        <v>240</v>
      </c>
      <c r="C527" s="29" t="s">
        <v>261</v>
      </c>
      <c r="D527" s="29" t="s">
        <v>262</v>
      </c>
      <c r="E527" s="29" t="s">
        <v>172</v>
      </c>
      <c r="F527" s="28" t="s">
        <v>969</v>
      </c>
      <c r="G527" s="28" t="s">
        <v>975</v>
      </c>
      <c r="H527" s="28" t="s">
        <v>384</v>
      </c>
      <c r="I527" s="28">
        <v>12</v>
      </c>
      <c r="J527" s="30">
        <v>2.3E-2</v>
      </c>
      <c r="K527" s="28" t="s">
        <v>504</v>
      </c>
      <c r="L527" s="31">
        <v>43922</v>
      </c>
      <c r="M527" s="28">
        <v>4</v>
      </c>
      <c r="N527" s="32" t="s">
        <v>191</v>
      </c>
      <c r="O527" s="28" t="s">
        <v>177</v>
      </c>
      <c r="P527" s="28" t="s">
        <v>1654</v>
      </c>
      <c r="Q527" s="28" t="s">
        <v>1655</v>
      </c>
      <c r="R527" s="28" t="s">
        <v>1656</v>
      </c>
    </row>
    <row r="528" spans="1:18" hidden="1">
      <c r="A528" s="28">
        <v>2</v>
      </c>
      <c r="B528" s="29" t="s">
        <v>240</v>
      </c>
      <c r="C528" s="29" t="s">
        <v>261</v>
      </c>
      <c r="D528" s="29" t="s">
        <v>262</v>
      </c>
      <c r="E528" s="29" t="s">
        <v>172</v>
      </c>
      <c r="F528" s="28" t="s">
        <v>969</v>
      </c>
      <c r="G528" s="28" t="s">
        <v>975</v>
      </c>
      <c r="H528" s="28" t="s">
        <v>384</v>
      </c>
      <c r="I528" s="28">
        <v>12</v>
      </c>
      <c r="J528" s="30">
        <v>2.3E-2</v>
      </c>
      <c r="K528" s="28" t="s">
        <v>415</v>
      </c>
      <c r="L528" s="31">
        <v>43952</v>
      </c>
      <c r="M528" s="28">
        <v>5</v>
      </c>
      <c r="N528" s="32" t="s">
        <v>191</v>
      </c>
      <c r="O528" s="28" t="s">
        <v>177</v>
      </c>
      <c r="P528" s="28" t="s">
        <v>1657</v>
      </c>
      <c r="Q528" s="28" t="s">
        <v>1658</v>
      </c>
      <c r="R528" s="28" t="s">
        <v>1659</v>
      </c>
    </row>
    <row r="529" spans="1:18" hidden="1">
      <c r="A529" s="28">
        <v>2</v>
      </c>
      <c r="B529" s="29" t="s">
        <v>240</v>
      </c>
      <c r="C529" s="29" t="s">
        <v>261</v>
      </c>
      <c r="D529" s="29" t="s">
        <v>262</v>
      </c>
      <c r="E529" s="29" t="s">
        <v>172</v>
      </c>
      <c r="F529" s="28" t="s">
        <v>969</v>
      </c>
      <c r="G529" s="28" t="s">
        <v>970</v>
      </c>
      <c r="H529" s="28" t="s">
        <v>384</v>
      </c>
      <c r="I529" s="28">
        <v>5</v>
      </c>
      <c r="J529" s="30">
        <v>4.9000000000000002E-2</v>
      </c>
      <c r="K529" s="28" t="s">
        <v>643</v>
      </c>
      <c r="L529" s="31">
        <v>44013</v>
      </c>
      <c r="M529" s="28">
        <v>7</v>
      </c>
      <c r="N529" s="32" t="s">
        <v>184</v>
      </c>
      <c r="O529" s="28" t="s">
        <v>177</v>
      </c>
      <c r="P529" s="28" t="s">
        <v>1660</v>
      </c>
      <c r="Q529" s="28" t="s">
        <v>1661</v>
      </c>
      <c r="R529" s="28" t="s">
        <v>1662</v>
      </c>
    </row>
    <row r="530" spans="1:18" hidden="1">
      <c r="A530" s="28">
        <v>2</v>
      </c>
      <c r="B530" s="29" t="s">
        <v>240</v>
      </c>
      <c r="C530" s="29" t="s">
        <v>261</v>
      </c>
      <c r="D530" s="29" t="s">
        <v>262</v>
      </c>
      <c r="E530" s="29" t="s">
        <v>172</v>
      </c>
      <c r="F530" s="28" t="s">
        <v>969</v>
      </c>
      <c r="G530" s="28" t="s">
        <v>975</v>
      </c>
      <c r="H530" s="28" t="s">
        <v>384</v>
      </c>
      <c r="I530" s="28">
        <v>12</v>
      </c>
      <c r="J530" s="30">
        <v>2.3E-2</v>
      </c>
      <c r="K530" s="28" t="s">
        <v>297</v>
      </c>
      <c r="L530" s="31">
        <v>44409</v>
      </c>
      <c r="M530" s="28">
        <v>8</v>
      </c>
      <c r="N530" s="32" t="s">
        <v>184</v>
      </c>
      <c r="O530" s="28" t="s">
        <v>177</v>
      </c>
      <c r="P530" s="28" t="s">
        <v>1663</v>
      </c>
      <c r="Q530" s="28" t="s">
        <v>1664</v>
      </c>
      <c r="R530" s="28" t="s">
        <v>1665</v>
      </c>
    </row>
    <row r="531" spans="1:18" hidden="1">
      <c r="A531" s="28">
        <v>2</v>
      </c>
      <c r="B531" s="29" t="s">
        <v>240</v>
      </c>
      <c r="C531" s="29" t="s">
        <v>276</v>
      </c>
      <c r="D531" s="29" t="s">
        <v>536</v>
      </c>
      <c r="E531" s="29" t="s">
        <v>172</v>
      </c>
      <c r="F531" s="28" t="s">
        <v>969</v>
      </c>
      <c r="G531" s="28" t="s">
        <v>1666</v>
      </c>
      <c r="H531" s="28" t="s">
        <v>174</v>
      </c>
      <c r="I531" s="28" t="s">
        <v>174</v>
      </c>
      <c r="J531" s="30" t="s">
        <v>174</v>
      </c>
      <c r="K531" s="28" t="s">
        <v>391</v>
      </c>
      <c r="L531" s="31">
        <v>42370</v>
      </c>
      <c r="M531" s="28">
        <v>1</v>
      </c>
      <c r="N531" s="32" t="s">
        <v>176</v>
      </c>
      <c r="O531" s="28" t="s">
        <v>794</v>
      </c>
      <c r="P531" s="28" t="s">
        <v>1667</v>
      </c>
      <c r="Q531" s="28" t="s">
        <v>1668</v>
      </c>
      <c r="R531" s="28" t="s">
        <v>1669</v>
      </c>
    </row>
    <row r="532" spans="1:18" hidden="1">
      <c r="A532" s="28">
        <v>2</v>
      </c>
      <c r="B532" s="29" t="s">
        <v>240</v>
      </c>
      <c r="C532" s="29" t="s">
        <v>276</v>
      </c>
      <c r="D532" s="29" t="s">
        <v>536</v>
      </c>
      <c r="E532" s="29" t="s">
        <v>172</v>
      </c>
      <c r="F532" s="28" t="s">
        <v>969</v>
      </c>
      <c r="G532" s="28" t="s">
        <v>1235</v>
      </c>
      <c r="H532" s="28" t="s">
        <v>174</v>
      </c>
      <c r="I532" s="28" t="s">
        <v>174</v>
      </c>
      <c r="J532" s="30" t="s">
        <v>174</v>
      </c>
      <c r="K532" s="28" t="s">
        <v>1670</v>
      </c>
      <c r="L532" s="31">
        <v>42887</v>
      </c>
      <c r="M532" s="28">
        <v>6</v>
      </c>
      <c r="N532" s="32" t="s">
        <v>184</v>
      </c>
      <c r="O532" s="28" t="s">
        <v>204</v>
      </c>
      <c r="P532" s="28" t="s">
        <v>1671</v>
      </c>
      <c r="Q532" s="28" t="s">
        <v>1672</v>
      </c>
      <c r="R532" s="28" t="s">
        <v>1673</v>
      </c>
    </row>
    <row r="533" spans="1:18" hidden="1">
      <c r="A533" s="28">
        <v>2</v>
      </c>
      <c r="B533" s="29" t="s">
        <v>240</v>
      </c>
      <c r="C533" s="29" t="s">
        <v>276</v>
      </c>
      <c r="D533" s="29" t="s">
        <v>536</v>
      </c>
      <c r="E533" s="29" t="s">
        <v>172</v>
      </c>
      <c r="F533" s="28" t="s">
        <v>969</v>
      </c>
      <c r="G533" s="28" t="s">
        <v>1666</v>
      </c>
      <c r="H533" s="28" t="s">
        <v>174</v>
      </c>
      <c r="I533" s="28" t="s">
        <v>174</v>
      </c>
      <c r="J533" s="30" t="s">
        <v>174</v>
      </c>
      <c r="K533" s="28" t="s">
        <v>496</v>
      </c>
      <c r="L533" s="31">
        <v>42917</v>
      </c>
      <c r="M533" s="28">
        <v>7</v>
      </c>
      <c r="N533" s="32" t="s">
        <v>184</v>
      </c>
      <c r="O533" s="28" t="s">
        <v>794</v>
      </c>
      <c r="P533" s="28" t="s">
        <v>1674</v>
      </c>
      <c r="Q533" s="28" t="s">
        <v>1675</v>
      </c>
      <c r="R533" s="28" t="s">
        <v>1676</v>
      </c>
    </row>
    <row r="534" spans="1:18" hidden="1">
      <c r="A534" s="28">
        <v>2</v>
      </c>
      <c r="B534" s="29" t="s">
        <v>240</v>
      </c>
      <c r="C534" s="29" t="s">
        <v>276</v>
      </c>
      <c r="D534" s="29" t="s">
        <v>536</v>
      </c>
      <c r="E534" s="29" t="s">
        <v>172</v>
      </c>
      <c r="F534" s="28" t="s">
        <v>969</v>
      </c>
      <c r="G534" s="28" t="s">
        <v>1235</v>
      </c>
      <c r="H534" s="28" t="s">
        <v>174</v>
      </c>
      <c r="I534" s="28" t="s">
        <v>174</v>
      </c>
      <c r="J534" s="30" t="s">
        <v>174</v>
      </c>
      <c r="K534" s="28" t="s">
        <v>813</v>
      </c>
      <c r="L534" s="31">
        <v>43009</v>
      </c>
      <c r="M534" s="28">
        <v>10</v>
      </c>
      <c r="N534" s="32" t="s">
        <v>191</v>
      </c>
      <c r="O534" s="28" t="s">
        <v>794</v>
      </c>
      <c r="P534" s="28" t="s">
        <v>1677</v>
      </c>
      <c r="Q534" s="28" t="s">
        <v>1678</v>
      </c>
      <c r="R534" s="28" t="s">
        <v>1679</v>
      </c>
    </row>
    <row r="535" spans="1:18" hidden="1">
      <c r="A535" s="28">
        <v>2</v>
      </c>
      <c r="B535" s="29" t="s">
        <v>240</v>
      </c>
      <c r="C535" s="29" t="s">
        <v>276</v>
      </c>
      <c r="D535" s="29" t="s">
        <v>536</v>
      </c>
      <c r="E535" s="29" t="s">
        <v>172</v>
      </c>
      <c r="F535" s="28" t="s">
        <v>969</v>
      </c>
      <c r="G535" s="28" t="s">
        <v>1235</v>
      </c>
      <c r="H535" s="28" t="s">
        <v>174</v>
      </c>
      <c r="I535" s="28" t="s">
        <v>174</v>
      </c>
      <c r="J535" s="30" t="s">
        <v>174</v>
      </c>
      <c r="K535" s="28" t="s">
        <v>248</v>
      </c>
      <c r="L535" s="31">
        <v>43070</v>
      </c>
      <c r="M535" s="28">
        <v>12</v>
      </c>
      <c r="N535" s="32" t="s">
        <v>176</v>
      </c>
      <c r="O535" s="28" t="s">
        <v>794</v>
      </c>
      <c r="P535" s="28" t="s">
        <v>1680</v>
      </c>
      <c r="Q535" s="28" t="s">
        <v>1681</v>
      </c>
      <c r="R535" s="28" t="s">
        <v>1682</v>
      </c>
    </row>
    <row r="536" spans="1:18" hidden="1">
      <c r="A536" s="28">
        <v>2</v>
      </c>
      <c r="B536" s="29" t="s">
        <v>240</v>
      </c>
      <c r="C536" s="29" t="s">
        <v>276</v>
      </c>
      <c r="D536" s="29" t="s">
        <v>536</v>
      </c>
      <c r="E536" s="29" t="s">
        <v>172</v>
      </c>
      <c r="F536" s="28" t="s">
        <v>969</v>
      </c>
      <c r="G536" s="28" t="s">
        <v>1235</v>
      </c>
      <c r="H536" s="28" t="s">
        <v>174</v>
      </c>
      <c r="I536" s="28" t="s">
        <v>174</v>
      </c>
      <c r="J536" s="30" t="s">
        <v>174</v>
      </c>
      <c r="K536" s="28" t="s">
        <v>678</v>
      </c>
      <c r="L536" s="31">
        <v>43344</v>
      </c>
      <c r="M536" s="28">
        <v>9</v>
      </c>
      <c r="N536" s="32" t="s">
        <v>191</v>
      </c>
      <c r="O536" s="28" t="s">
        <v>1060</v>
      </c>
      <c r="P536" s="28" t="s">
        <v>1683</v>
      </c>
      <c r="Q536" s="28" t="s">
        <v>1684</v>
      </c>
      <c r="R536" s="28" t="s">
        <v>1685</v>
      </c>
    </row>
    <row r="537" spans="1:18" hidden="1">
      <c r="A537" s="28">
        <v>2</v>
      </c>
      <c r="B537" s="29" t="s">
        <v>240</v>
      </c>
      <c r="C537" s="29" t="s">
        <v>276</v>
      </c>
      <c r="D537" s="29" t="s">
        <v>536</v>
      </c>
      <c r="E537" s="29" t="s">
        <v>172</v>
      </c>
      <c r="F537" s="28" t="s">
        <v>969</v>
      </c>
      <c r="G537" s="28" t="s">
        <v>1666</v>
      </c>
      <c r="H537" s="28" t="s">
        <v>174</v>
      </c>
      <c r="I537" s="28" t="s">
        <v>174</v>
      </c>
      <c r="J537" s="30" t="s">
        <v>174</v>
      </c>
      <c r="K537" s="28" t="s">
        <v>293</v>
      </c>
      <c r="L537" s="31">
        <v>43374</v>
      </c>
      <c r="M537" s="28">
        <v>10</v>
      </c>
      <c r="N537" s="32" t="s">
        <v>191</v>
      </c>
      <c r="O537" s="28" t="s">
        <v>185</v>
      </c>
      <c r="P537" s="28" t="s">
        <v>1686</v>
      </c>
      <c r="Q537" s="28" t="s">
        <v>1687</v>
      </c>
      <c r="R537" s="28" t="s">
        <v>1688</v>
      </c>
    </row>
    <row r="538" spans="1:18" hidden="1">
      <c r="A538" s="28">
        <v>2</v>
      </c>
      <c r="B538" s="29" t="s">
        <v>240</v>
      </c>
      <c r="C538" s="29" t="s">
        <v>276</v>
      </c>
      <c r="D538" s="29" t="s">
        <v>536</v>
      </c>
      <c r="E538" s="29" t="s">
        <v>172</v>
      </c>
      <c r="F538" s="28" t="s">
        <v>969</v>
      </c>
      <c r="G538" s="28" t="s">
        <v>1235</v>
      </c>
      <c r="H538" s="28" t="s">
        <v>174</v>
      </c>
      <c r="I538" s="28" t="s">
        <v>174</v>
      </c>
      <c r="J538" s="30" t="s">
        <v>174</v>
      </c>
      <c r="K538" s="28" t="s">
        <v>501</v>
      </c>
      <c r="L538" s="31">
        <v>43405</v>
      </c>
      <c r="M538" s="28">
        <v>11</v>
      </c>
      <c r="N538" s="32" t="s">
        <v>191</v>
      </c>
      <c r="O538" s="28" t="s">
        <v>794</v>
      </c>
      <c r="P538" s="28" t="s">
        <v>1689</v>
      </c>
      <c r="Q538" s="28" t="s">
        <v>1690</v>
      </c>
      <c r="R538" s="28" t="s">
        <v>1691</v>
      </c>
    </row>
    <row r="539" spans="1:18" hidden="1">
      <c r="A539" s="28">
        <v>2</v>
      </c>
      <c r="B539" s="29" t="s">
        <v>240</v>
      </c>
      <c r="C539" s="29" t="s">
        <v>276</v>
      </c>
      <c r="D539" s="29" t="s">
        <v>536</v>
      </c>
      <c r="E539" s="29" t="s">
        <v>172</v>
      </c>
      <c r="F539" s="28" t="s">
        <v>969</v>
      </c>
      <c r="G539" s="28" t="s">
        <v>1666</v>
      </c>
      <c r="H539" s="28" t="s">
        <v>174</v>
      </c>
      <c r="I539" s="28" t="s">
        <v>174</v>
      </c>
      <c r="J539" s="30" t="s">
        <v>174</v>
      </c>
      <c r="K539" s="28" t="s">
        <v>1692</v>
      </c>
      <c r="L539" s="31">
        <v>43466</v>
      </c>
      <c r="M539" s="28">
        <v>1</v>
      </c>
      <c r="N539" s="32" t="s">
        <v>176</v>
      </c>
      <c r="O539" s="28" t="s">
        <v>185</v>
      </c>
      <c r="P539" s="28" t="s">
        <v>1693</v>
      </c>
      <c r="Q539" s="28" t="s">
        <v>1694</v>
      </c>
      <c r="R539" s="28" t="s">
        <v>1695</v>
      </c>
    </row>
    <row r="540" spans="1:18" hidden="1">
      <c r="A540" s="28">
        <v>2</v>
      </c>
      <c r="B540" s="29" t="s">
        <v>240</v>
      </c>
      <c r="C540" s="29" t="s">
        <v>276</v>
      </c>
      <c r="D540" s="29" t="s">
        <v>536</v>
      </c>
      <c r="E540" s="29" t="s">
        <v>172</v>
      </c>
      <c r="F540" s="28" t="s">
        <v>969</v>
      </c>
      <c r="G540" s="28" t="s">
        <v>1007</v>
      </c>
      <c r="H540" s="28" t="s">
        <v>174</v>
      </c>
      <c r="I540" s="28" t="s">
        <v>174</v>
      </c>
      <c r="J540" s="30" t="s">
        <v>174</v>
      </c>
      <c r="K540" s="28" t="s">
        <v>683</v>
      </c>
      <c r="L540" s="31">
        <v>43831</v>
      </c>
      <c r="M540" s="28">
        <v>1</v>
      </c>
      <c r="N540" s="32" t="s">
        <v>176</v>
      </c>
      <c r="O540" s="28" t="s">
        <v>204</v>
      </c>
      <c r="P540" s="28" t="s">
        <v>1696</v>
      </c>
      <c r="Q540" s="28" t="s">
        <v>1697</v>
      </c>
      <c r="R540" s="28" t="s">
        <v>1698</v>
      </c>
    </row>
    <row r="541" spans="1:18" hidden="1">
      <c r="A541" s="28">
        <v>2</v>
      </c>
      <c r="B541" s="29" t="s">
        <v>240</v>
      </c>
      <c r="C541" s="29" t="s">
        <v>276</v>
      </c>
      <c r="D541" s="29" t="s">
        <v>536</v>
      </c>
      <c r="E541" s="29" t="s">
        <v>172</v>
      </c>
      <c r="F541" s="28" t="s">
        <v>969</v>
      </c>
      <c r="G541" s="28" t="s">
        <v>1666</v>
      </c>
      <c r="H541" s="28" t="s">
        <v>174</v>
      </c>
      <c r="I541" s="28" t="s">
        <v>174</v>
      </c>
      <c r="J541" s="30" t="s">
        <v>174</v>
      </c>
      <c r="K541" s="28" t="s">
        <v>823</v>
      </c>
      <c r="L541" s="31">
        <v>44136</v>
      </c>
      <c r="M541" s="28">
        <v>11</v>
      </c>
      <c r="N541" s="32" t="s">
        <v>191</v>
      </c>
      <c r="O541" s="28" t="s">
        <v>185</v>
      </c>
      <c r="P541" s="28" t="s">
        <v>1699</v>
      </c>
      <c r="Q541" s="28" t="s">
        <v>1687</v>
      </c>
      <c r="R541" s="28" t="s">
        <v>1688</v>
      </c>
    </row>
    <row r="542" spans="1:18" hidden="1">
      <c r="A542" s="28">
        <v>2</v>
      </c>
      <c r="B542" s="29" t="s">
        <v>240</v>
      </c>
      <c r="C542" s="29" t="s">
        <v>276</v>
      </c>
      <c r="D542" s="29" t="s">
        <v>536</v>
      </c>
      <c r="E542" s="29" t="s">
        <v>172</v>
      </c>
      <c r="F542" s="28" t="s">
        <v>969</v>
      </c>
      <c r="G542" s="28" t="s">
        <v>1000</v>
      </c>
      <c r="H542" s="28" t="s">
        <v>384</v>
      </c>
      <c r="I542" s="28">
        <v>9</v>
      </c>
      <c r="J542" s="30">
        <v>3.4000000000000002E-2</v>
      </c>
      <c r="K542" s="28" t="s">
        <v>823</v>
      </c>
      <c r="L542" s="31">
        <v>44136</v>
      </c>
      <c r="M542" s="28">
        <v>11</v>
      </c>
      <c r="N542" s="32" t="s">
        <v>191</v>
      </c>
      <c r="O542" s="28" t="s">
        <v>204</v>
      </c>
      <c r="P542" s="28" t="s">
        <v>1700</v>
      </c>
      <c r="Q542" s="28" t="s">
        <v>1701</v>
      </c>
      <c r="R542" s="28" t="s">
        <v>1702</v>
      </c>
    </row>
    <row r="543" spans="1:18" hidden="1">
      <c r="A543" s="28">
        <v>2</v>
      </c>
      <c r="B543" s="29" t="s">
        <v>240</v>
      </c>
      <c r="C543" s="29" t="s">
        <v>276</v>
      </c>
      <c r="D543" s="29" t="s">
        <v>536</v>
      </c>
      <c r="E543" s="29" t="s">
        <v>172</v>
      </c>
      <c r="F543" s="28" t="s">
        <v>969</v>
      </c>
      <c r="G543" s="28" t="s">
        <v>1007</v>
      </c>
      <c r="H543" s="28" t="s">
        <v>174</v>
      </c>
      <c r="I543" s="28" t="s">
        <v>174</v>
      </c>
      <c r="J543" s="30" t="s">
        <v>174</v>
      </c>
      <c r="K543" s="28" t="s">
        <v>1703</v>
      </c>
      <c r="L543" s="31" t="s">
        <v>221</v>
      </c>
      <c r="M543" s="28" t="e">
        <v>#VALUE!</v>
      </c>
      <c r="N543" s="32" t="e">
        <v>#VALUE!</v>
      </c>
      <c r="O543" s="28" t="s">
        <v>244</v>
      </c>
      <c r="P543" s="28" t="s">
        <v>1704</v>
      </c>
      <c r="Q543" s="28" t="s">
        <v>1705</v>
      </c>
      <c r="R543" s="28" t="s">
        <v>1706</v>
      </c>
    </row>
    <row r="544" spans="1:18" hidden="1">
      <c r="A544" s="28">
        <v>2</v>
      </c>
      <c r="B544" s="29" t="s">
        <v>240</v>
      </c>
      <c r="C544" s="29" t="s">
        <v>276</v>
      </c>
      <c r="D544" s="29" t="s">
        <v>277</v>
      </c>
      <c r="E544" s="29" t="s">
        <v>172</v>
      </c>
      <c r="F544" s="28" t="s">
        <v>969</v>
      </c>
      <c r="G544" s="28" t="s">
        <v>1235</v>
      </c>
      <c r="H544" s="28" t="s">
        <v>174</v>
      </c>
      <c r="I544" s="28" t="s">
        <v>174</v>
      </c>
      <c r="J544" s="30" t="s">
        <v>174</v>
      </c>
      <c r="K544" s="28" t="s">
        <v>263</v>
      </c>
      <c r="L544" s="31">
        <v>42430</v>
      </c>
      <c r="M544" s="28">
        <v>3</v>
      </c>
      <c r="N544" s="32" t="s">
        <v>191</v>
      </c>
      <c r="O544" s="28" t="s">
        <v>177</v>
      </c>
      <c r="P544" s="28" t="s">
        <v>1707</v>
      </c>
      <c r="Q544" s="28" t="s">
        <v>1708</v>
      </c>
      <c r="R544" s="28" t="s">
        <v>1709</v>
      </c>
    </row>
    <row r="545" spans="1:18" hidden="1">
      <c r="A545" s="28">
        <v>2</v>
      </c>
      <c r="B545" s="29" t="s">
        <v>240</v>
      </c>
      <c r="C545" s="29" t="s">
        <v>276</v>
      </c>
      <c r="D545" s="29" t="s">
        <v>277</v>
      </c>
      <c r="E545" s="29" t="s">
        <v>172</v>
      </c>
      <c r="F545" s="28" t="s">
        <v>969</v>
      </c>
      <c r="G545" s="28" t="s">
        <v>1666</v>
      </c>
      <c r="H545" s="28" t="s">
        <v>174</v>
      </c>
      <c r="I545" s="28" t="s">
        <v>174</v>
      </c>
      <c r="J545" s="30" t="s">
        <v>174</v>
      </c>
      <c r="K545" s="28" t="s">
        <v>267</v>
      </c>
      <c r="L545" s="31">
        <v>42583</v>
      </c>
      <c r="M545" s="28">
        <v>8</v>
      </c>
      <c r="N545" s="32" t="s">
        <v>184</v>
      </c>
      <c r="O545" s="28" t="s">
        <v>794</v>
      </c>
      <c r="P545" s="28" t="s">
        <v>1710</v>
      </c>
      <c r="Q545" s="28" t="s">
        <v>1711</v>
      </c>
      <c r="R545" s="28" t="s">
        <v>1669</v>
      </c>
    </row>
    <row r="546" spans="1:18" hidden="1">
      <c r="A546" s="28">
        <v>2</v>
      </c>
      <c r="B546" s="29" t="s">
        <v>240</v>
      </c>
      <c r="C546" s="29" t="s">
        <v>276</v>
      </c>
      <c r="D546" s="29" t="s">
        <v>277</v>
      </c>
      <c r="E546" s="29" t="s">
        <v>172</v>
      </c>
      <c r="F546" s="28" t="s">
        <v>969</v>
      </c>
      <c r="G546" s="28" t="s">
        <v>1235</v>
      </c>
      <c r="H546" s="28" t="s">
        <v>174</v>
      </c>
      <c r="I546" s="28" t="s">
        <v>174</v>
      </c>
      <c r="J546" s="30" t="s">
        <v>174</v>
      </c>
      <c r="K546" s="28" t="s">
        <v>587</v>
      </c>
      <c r="L546" s="31">
        <v>42736</v>
      </c>
      <c r="M546" s="28">
        <v>1</v>
      </c>
      <c r="N546" s="32" t="s">
        <v>176</v>
      </c>
      <c r="O546" s="28" t="s">
        <v>794</v>
      </c>
      <c r="P546" s="28" t="s">
        <v>1712</v>
      </c>
      <c r="Q546" s="28" t="s">
        <v>1713</v>
      </c>
      <c r="R546" s="28" t="s">
        <v>1714</v>
      </c>
    </row>
    <row r="547" spans="1:18" hidden="1">
      <c r="A547" s="28">
        <v>2</v>
      </c>
      <c r="B547" s="29" t="s">
        <v>240</v>
      </c>
      <c r="C547" s="29" t="s">
        <v>276</v>
      </c>
      <c r="D547" s="29" t="s">
        <v>277</v>
      </c>
      <c r="E547" s="29" t="s">
        <v>172</v>
      </c>
      <c r="F547" s="28" t="s">
        <v>969</v>
      </c>
      <c r="G547" s="28" t="s">
        <v>1235</v>
      </c>
      <c r="H547" s="28" t="s">
        <v>174</v>
      </c>
      <c r="I547" s="28" t="s">
        <v>174</v>
      </c>
      <c r="J547" s="30" t="s">
        <v>174</v>
      </c>
      <c r="K547" s="28" t="s">
        <v>587</v>
      </c>
      <c r="L547" s="31">
        <v>42736</v>
      </c>
      <c r="M547" s="28">
        <v>1</v>
      </c>
      <c r="N547" s="32" t="s">
        <v>176</v>
      </c>
      <c r="O547" s="28" t="s">
        <v>177</v>
      </c>
      <c r="P547" s="28" t="s">
        <v>1715</v>
      </c>
      <c r="Q547" s="28" t="s">
        <v>1708</v>
      </c>
      <c r="R547" s="28" t="s">
        <v>1709</v>
      </c>
    </row>
    <row r="548" spans="1:18" hidden="1">
      <c r="A548" s="28">
        <v>2</v>
      </c>
      <c r="B548" s="29" t="s">
        <v>240</v>
      </c>
      <c r="C548" s="29" t="s">
        <v>276</v>
      </c>
      <c r="D548" s="29" t="s">
        <v>277</v>
      </c>
      <c r="E548" s="29" t="s">
        <v>172</v>
      </c>
      <c r="F548" s="28" t="s">
        <v>969</v>
      </c>
      <c r="G548" s="28" t="s">
        <v>1235</v>
      </c>
      <c r="H548" s="28" t="s">
        <v>174</v>
      </c>
      <c r="I548" s="28" t="s">
        <v>174</v>
      </c>
      <c r="J548" s="30" t="s">
        <v>174</v>
      </c>
      <c r="K548" s="28" t="s">
        <v>769</v>
      </c>
      <c r="L548" s="31">
        <v>42826</v>
      </c>
      <c r="M548" s="28">
        <v>4</v>
      </c>
      <c r="N548" s="32" t="s">
        <v>191</v>
      </c>
      <c r="O548" s="28" t="s">
        <v>177</v>
      </c>
      <c r="P548" s="28" t="s">
        <v>1716</v>
      </c>
      <c r="Q548" s="28" t="s">
        <v>1708</v>
      </c>
      <c r="R548" s="28" t="s">
        <v>1709</v>
      </c>
    </row>
    <row r="549" spans="1:18" hidden="1">
      <c r="A549" s="28">
        <v>2</v>
      </c>
      <c r="B549" s="29" t="s">
        <v>240</v>
      </c>
      <c r="C549" s="29" t="s">
        <v>276</v>
      </c>
      <c r="D549" s="29" t="s">
        <v>277</v>
      </c>
      <c r="E549" s="29" t="s">
        <v>172</v>
      </c>
      <c r="F549" s="28" t="s">
        <v>969</v>
      </c>
      <c r="G549" s="28" t="s">
        <v>1235</v>
      </c>
      <c r="H549" s="28" t="s">
        <v>174</v>
      </c>
      <c r="I549" s="28" t="s">
        <v>174</v>
      </c>
      <c r="J549" s="30" t="s">
        <v>174</v>
      </c>
      <c r="K549" s="28" t="s">
        <v>248</v>
      </c>
      <c r="L549" s="31">
        <v>43070</v>
      </c>
      <c r="M549" s="28">
        <v>12</v>
      </c>
      <c r="N549" s="32" t="s">
        <v>176</v>
      </c>
      <c r="O549" s="28" t="s">
        <v>177</v>
      </c>
      <c r="P549" s="28" t="s">
        <v>1717</v>
      </c>
      <c r="Q549" s="28" t="s">
        <v>1708</v>
      </c>
      <c r="R549" s="28" t="s">
        <v>1709</v>
      </c>
    </row>
    <row r="550" spans="1:18" hidden="1">
      <c r="A550" s="28">
        <v>2</v>
      </c>
      <c r="B550" s="29" t="s">
        <v>240</v>
      </c>
      <c r="C550" s="29" t="s">
        <v>276</v>
      </c>
      <c r="D550" s="29" t="s">
        <v>277</v>
      </c>
      <c r="E550" s="29" t="s">
        <v>172</v>
      </c>
      <c r="F550" s="28" t="s">
        <v>969</v>
      </c>
      <c r="G550" s="28" t="s">
        <v>1235</v>
      </c>
      <c r="H550" s="28" t="s">
        <v>174</v>
      </c>
      <c r="I550" s="28" t="s">
        <v>174</v>
      </c>
      <c r="J550" s="30" t="s">
        <v>174</v>
      </c>
      <c r="K550" s="28" t="s">
        <v>473</v>
      </c>
      <c r="L550" s="31">
        <v>43160</v>
      </c>
      <c r="M550" s="28">
        <v>3</v>
      </c>
      <c r="N550" s="32" t="s">
        <v>191</v>
      </c>
      <c r="O550" s="28" t="s">
        <v>177</v>
      </c>
      <c r="P550" s="28" t="s">
        <v>1718</v>
      </c>
      <c r="Q550" s="28" t="s">
        <v>1708</v>
      </c>
      <c r="R550" s="28" t="s">
        <v>1709</v>
      </c>
    </row>
    <row r="551" spans="1:18" hidden="1">
      <c r="A551" s="28">
        <v>2</v>
      </c>
      <c r="B551" s="29" t="s">
        <v>240</v>
      </c>
      <c r="C551" s="29" t="s">
        <v>276</v>
      </c>
      <c r="D551" s="29" t="s">
        <v>277</v>
      </c>
      <c r="E551" s="29" t="s">
        <v>172</v>
      </c>
      <c r="F551" s="28" t="s">
        <v>969</v>
      </c>
      <c r="G551" s="28" t="s">
        <v>1235</v>
      </c>
      <c r="H551" s="28" t="s">
        <v>174</v>
      </c>
      <c r="I551" s="28" t="s">
        <v>174</v>
      </c>
      <c r="J551" s="30" t="s">
        <v>174</v>
      </c>
      <c r="K551" s="28" t="s">
        <v>473</v>
      </c>
      <c r="L551" s="31">
        <v>43160</v>
      </c>
      <c r="M551" s="28">
        <v>3</v>
      </c>
      <c r="N551" s="32" t="s">
        <v>191</v>
      </c>
      <c r="O551" s="28" t="s">
        <v>177</v>
      </c>
      <c r="P551" s="28" t="s">
        <v>1719</v>
      </c>
      <c r="Q551" s="28" t="s">
        <v>1708</v>
      </c>
      <c r="R551" s="28" t="s">
        <v>1709</v>
      </c>
    </row>
    <row r="552" spans="1:18" hidden="1">
      <c r="A552" s="28">
        <v>2</v>
      </c>
      <c r="B552" s="29" t="s">
        <v>240</v>
      </c>
      <c r="C552" s="29" t="s">
        <v>276</v>
      </c>
      <c r="D552" s="29" t="s">
        <v>277</v>
      </c>
      <c r="E552" s="29" t="s">
        <v>172</v>
      </c>
      <c r="F552" s="28" t="s">
        <v>969</v>
      </c>
      <c r="G552" s="28" t="s">
        <v>1235</v>
      </c>
      <c r="H552" s="28" t="s">
        <v>174</v>
      </c>
      <c r="I552" s="28" t="s">
        <v>174</v>
      </c>
      <c r="J552" s="30" t="s">
        <v>174</v>
      </c>
      <c r="K552" s="28" t="s">
        <v>501</v>
      </c>
      <c r="L552" s="31">
        <v>43405</v>
      </c>
      <c r="M552" s="28">
        <v>11</v>
      </c>
      <c r="N552" s="32" t="s">
        <v>191</v>
      </c>
      <c r="O552" s="28" t="s">
        <v>185</v>
      </c>
      <c r="P552" s="28" t="s">
        <v>1720</v>
      </c>
      <c r="Q552" s="28" t="s">
        <v>1721</v>
      </c>
      <c r="R552" s="28" t="s">
        <v>1691</v>
      </c>
    </row>
    <row r="553" spans="1:18" hidden="1">
      <c r="A553" s="28">
        <v>2</v>
      </c>
      <c r="B553" s="29" t="s">
        <v>240</v>
      </c>
      <c r="C553" s="29" t="s">
        <v>276</v>
      </c>
      <c r="D553" s="29" t="s">
        <v>277</v>
      </c>
      <c r="E553" s="29" t="s">
        <v>172</v>
      </c>
      <c r="F553" s="28" t="s">
        <v>969</v>
      </c>
      <c r="G553" s="28" t="s">
        <v>1235</v>
      </c>
      <c r="H553" s="28" t="s">
        <v>174</v>
      </c>
      <c r="I553" s="28" t="s">
        <v>174</v>
      </c>
      <c r="J553" s="30" t="s">
        <v>174</v>
      </c>
      <c r="K553" s="28" t="s">
        <v>361</v>
      </c>
      <c r="L553" s="31">
        <v>43435</v>
      </c>
      <c r="M553" s="28">
        <v>12</v>
      </c>
      <c r="N553" s="32" t="s">
        <v>176</v>
      </c>
      <c r="O553" s="28" t="s">
        <v>177</v>
      </c>
      <c r="P553" s="28" t="s">
        <v>1722</v>
      </c>
      <c r="Q553" s="28" t="s">
        <v>1723</v>
      </c>
      <c r="R553" s="28" t="s">
        <v>1724</v>
      </c>
    </row>
    <row r="554" spans="1:18" hidden="1">
      <c r="A554" s="28">
        <v>2</v>
      </c>
      <c r="B554" s="29" t="s">
        <v>240</v>
      </c>
      <c r="C554" s="29" t="s">
        <v>276</v>
      </c>
      <c r="D554" s="29" t="s">
        <v>277</v>
      </c>
      <c r="E554" s="29" t="s">
        <v>172</v>
      </c>
      <c r="F554" s="28" t="s">
        <v>969</v>
      </c>
      <c r="G554" s="28" t="s">
        <v>1235</v>
      </c>
      <c r="H554" s="28" t="s">
        <v>174</v>
      </c>
      <c r="I554" s="28" t="s">
        <v>174</v>
      </c>
      <c r="J554" s="30" t="s">
        <v>174</v>
      </c>
      <c r="K554" s="28" t="s">
        <v>361</v>
      </c>
      <c r="L554" s="31">
        <v>43435</v>
      </c>
      <c r="M554" s="28">
        <v>12</v>
      </c>
      <c r="N554" s="32" t="s">
        <v>176</v>
      </c>
      <c r="O554" s="28" t="s">
        <v>185</v>
      </c>
      <c r="P554" s="28" t="s">
        <v>1725</v>
      </c>
      <c r="Q554" s="28" t="s">
        <v>1721</v>
      </c>
      <c r="R554" s="28" t="s">
        <v>1691</v>
      </c>
    </row>
    <row r="555" spans="1:18" hidden="1">
      <c r="A555" s="28">
        <v>2</v>
      </c>
      <c r="B555" s="29" t="s">
        <v>240</v>
      </c>
      <c r="C555" s="29" t="s">
        <v>276</v>
      </c>
      <c r="D555" s="29" t="s">
        <v>277</v>
      </c>
      <c r="E555" s="29" t="s">
        <v>172</v>
      </c>
      <c r="F555" s="28" t="s">
        <v>969</v>
      </c>
      <c r="G555" s="28" t="s">
        <v>1235</v>
      </c>
      <c r="H555" s="28" t="s">
        <v>174</v>
      </c>
      <c r="I555" s="28" t="s">
        <v>174</v>
      </c>
      <c r="J555" s="30" t="s">
        <v>174</v>
      </c>
      <c r="K555" s="28" t="s">
        <v>844</v>
      </c>
      <c r="L555" s="31">
        <v>43586</v>
      </c>
      <c r="M555" s="28">
        <v>5</v>
      </c>
      <c r="N555" s="32" t="s">
        <v>191</v>
      </c>
      <c r="O555" s="28" t="s">
        <v>177</v>
      </c>
      <c r="P555" s="28" t="s">
        <v>1726</v>
      </c>
      <c r="Q555" s="28" t="s">
        <v>1708</v>
      </c>
      <c r="R555" s="28" t="s">
        <v>1709</v>
      </c>
    </row>
    <row r="556" spans="1:18" hidden="1">
      <c r="A556" s="28">
        <v>2</v>
      </c>
      <c r="B556" s="29" t="s">
        <v>240</v>
      </c>
      <c r="C556" s="29" t="s">
        <v>276</v>
      </c>
      <c r="D556" s="29" t="s">
        <v>277</v>
      </c>
      <c r="E556" s="29" t="s">
        <v>172</v>
      </c>
      <c r="F556" s="28" t="s">
        <v>969</v>
      </c>
      <c r="G556" s="28" t="s">
        <v>1235</v>
      </c>
      <c r="H556" s="28" t="s">
        <v>174</v>
      </c>
      <c r="I556" s="28" t="s">
        <v>174</v>
      </c>
      <c r="J556" s="30" t="s">
        <v>174</v>
      </c>
      <c r="K556" s="28" t="s">
        <v>397</v>
      </c>
      <c r="L556" s="31">
        <v>43739</v>
      </c>
      <c r="M556" s="28">
        <v>10</v>
      </c>
      <c r="N556" s="32" t="s">
        <v>191</v>
      </c>
      <c r="O556" s="28" t="s">
        <v>177</v>
      </c>
      <c r="P556" s="28" t="s">
        <v>1727</v>
      </c>
      <c r="Q556" s="28" t="s">
        <v>1708</v>
      </c>
      <c r="R556" s="28" t="s">
        <v>1709</v>
      </c>
    </row>
    <row r="557" spans="1:18" hidden="1">
      <c r="A557" s="28">
        <v>2</v>
      </c>
      <c r="B557" s="29" t="s">
        <v>240</v>
      </c>
      <c r="C557" s="29" t="s">
        <v>276</v>
      </c>
      <c r="D557" s="29" t="s">
        <v>277</v>
      </c>
      <c r="E557" s="29" t="s">
        <v>172</v>
      </c>
      <c r="F557" s="28" t="s">
        <v>969</v>
      </c>
      <c r="G557" s="28" t="s">
        <v>1235</v>
      </c>
      <c r="H557" s="28" t="s">
        <v>174</v>
      </c>
      <c r="I557" s="28" t="s">
        <v>174</v>
      </c>
      <c r="J557" s="30" t="s">
        <v>174</v>
      </c>
      <c r="K557" s="28" t="s">
        <v>183</v>
      </c>
      <c r="L557" s="31">
        <v>43983</v>
      </c>
      <c r="M557" s="28">
        <v>6</v>
      </c>
      <c r="N557" s="32" t="s">
        <v>184</v>
      </c>
      <c r="O557" s="28" t="s">
        <v>177</v>
      </c>
      <c r="P557" s="28" t="s">
        <v>1728</v>
      </c>
      <c r="Q557" s="28" t="s">
        <v>1729</v>
      </c>
      <c r="R557" s="28" t="s">
        <v>1730</v>
      </c>
    </row>
    <row r="558" spans="1:18" hidden="1">
      <c r="A558" s="28">
        <v>2</v>
      </c>
      <c r="B558" s="29" t="s">
        <v>240</v>
      </c>
      <c r="C558" s="29" t="s">
        <v>276</v>
      </c>
      <c r="D558" s="29" t="s">
        <v>277</v>
      </c>
      <c r="E558" s="29" t="s">
        <v>172</v>
      </c>
      <c r="F558" s="28" t="s">
        <v>969</v>
      </c>
      <c r="G558" s="28" t="s">
        <v>1235</v>
      </c>
      <c r="H558" s="28" t="s">
        <v>174</v>
      </c>
      <c r="I558" s="28" t="s">
        <v>174</v>
      </c>
      <c r="J558" s="30" t="s">
        <v>174</v>
      </c>
      <c r="K558" s="28" t="s">
        <v>823</v>
      </c>
      <c r="L558" s="31">
        <v>44136</v>
      </c>
      <c r="M558" s="28">
        <v>11</v>
      </c>
      <c r="N558" s="32" t="s">
        <v>191</v>
      </c>
      <c r="O558" s="28" t="s">
        <v>177</v>
      </c>
      <c r="P558" s="28" t="s">
        <v>1731</v>
      </c>
      <c r="Q558" s="28" t="s">
        <v>1708</v>
      </c>
      <c r="R558" s="28" t="s">
        <v>1709</v>
      </c>
    </row>
    <row r="559" spans="1:18" hidden="1">
      <c r="A559" s="28">
        <v>2</v>
      </c>
      <c r="B559" s="29" t="s">
        <v>240</v>
      </c>
      <c r="C559" s="29" t="s">
        <v>276</v>
      </c>
      <c r="D559" s="29" t="s">
        <v>277</v>
      </c>
      <c r="E559" s="29" t="s">
        <v>172</v>
      </c>
      <c r="F559" s="28" t="s">
        <v>969</v>
      </c>
      <c r="G559" s="28" t="s">
        <v>1235</v>
      </c>
      <c r="H559" s="28" t="s">
        <v>174</v>
      </c>
      <c r="I559" s="28" t="s">
        <v>174</v>
      </c>
      <c r="J559" s="30" t="s">
        <v>174</v>
      </c>
      <c r="K559" s="28" t="s">
        <v>522</v>
      </c>
      <c r="L559" s="31">
        <v>44256</v>
      </c>
      <c r="M559" s="28">
        <v>3</v>
      </c>
      <c r="N559" s="32" t="s">
        <v>191</v>
      </c>
      <c r="O559" s="28" t="s">
        <v>177</v>
      </c>
      <c r="P559" s="28" t="s">
        <v>1732</v>
      </c>
      <c r="Q559" s="28" t="s">
        <v>1733</v>
      </c>
      <c r="R559" s="28" t="s">
        <v>1734</v>
      </c>
    </row>
    <row r="560" spans="1:18" hidden="1">
      <c r="A560" s="28">
        <v>2</v>
      </c>
      <c r="B560" s="29" t="s">
        <v>240</v>
      </c>
      <c r="C560" s="29" t="s">
        <v>276</v>
      </c>
      <c r="D560" s="29" t="s">
        <v>277</v>
      </c>
      <c r="E560" s="29" t="s">
        <v>172</v>
      </c>
      <c r="F560" s="28" t="s">
        <v>969</v>
      </c>
      <c r="G560" s="28" t="s">
        <v>1666</v>
      </c>
      <c r="H560" s="28" t="s">
        <v>174</v>
      </c>
      <c r="I560" s="28" t="s">
        <v>174</v>
      </c>
      <c r="J560" s="30" t="s">
        <v>174</v>
      </c>
      <c r="K560" s="28" t="s">
        <v>712</v>
      </c>
      <c r="L560" s="31">
        <v>44470</v>
      </c>
      <c r="M560" s="28">
        <v>10</v>
      </c>
      <c r="N560" s="32" t="s">
        <v>191</v>
      </c>
      <c r="O560" s="28" t="s">
        <v>185</v>
      </c>
      <c r="P560" s="28" t="s">
        <v>1735</v>
      </c>
      <c r="Q560" s="28" t="s">
        <v>1687</v>
      </c>
      <c r="R560" s="28" t="s">
        <v>1688</v>
      </c>
    </row>
    <row r="561" spans="1:18" hidden="1">
      <c r="A561" s="28">
        <v>2</v>
      </c>
      <c r="B561" s="29" t="s">
        <v>240</v>
      </c>
      <c r="C561" s="29" t="s">
        <v>276</v>
      </c>
      <c r="D561" s="29" t="s">
        <v>277</v>
      </c>
      <c r="E561" s="29" t="s">
        <v>172</v>
      </c>
      <c r="F561" s="28" t="s">
        <v>969</v>
      </c>
      <c r="G561" s="28" t="s">
        <v>1235</v>
      </c>
      <c r="H561" s="28" t="s">
        <v>174</v>
      </c>
      <c r="I561" s="28" t="s">
        <v>174</v>
      </c>
      <c r="J561" s="30" t="s">
        <v>174</v>
      </c>
      <c r="K561" s="28" t="s">
        <v>712</v>
      </c>
      <c r="L561" s="31">
        <v>44470</v>
      </c>
      <c r="M561" s="28">
        <v>10</v>
      </c>
      <c r="N561" s="32" t="s">
        <v>191</v>
      </c>
      <c r="O561" s="28" t="s">
        <v>204</v>
      </c>
      <c r="P561" s="28" t="s">
        <v>1736</v>
      </c>
      <c r="Q561" s="28" t="s">
        <v>1737</v>
      </c>
      <c r="R561" s="28" t="s">
        <v>1738</v>
      </c>
    </row>
    <row r="562" spans="1:18">
      <c r="A562" s="28">
        <v>3</v>
      </c>
      <c r="B562" s="29" t="s">
        <v>286</v>
      </c>
      <c r="C562" s="29" t="s">
        <v>287</v>
      </c>
      <c r="D562" s="29" t="s">
        <v>558</v>
      </c>
      <c r="E562" s="29" t="s">
        <v>172</v>
      </c>
      <c r="F562" s="28" t="s">
        <v>969</v>
      </c>
      <c r="G562" s="28" t="s">
        <v>975</v>
      </c>
      <c r="H562" s="28" t="s">
        <v>384</v>
      </c>
      <c r="I562" s="28">
        <v>12</v>
      </c>
      <c r="J562" s="30">
        <v>2.3E-2</v>
      </c>
      <c r="K562" s="28" t="s">
        <v>263</v>
      </c>
      <c r="L562" s="31">
        <v>42430</v>
      </c>
      <c r="M562" s="28">
        <v>3</v>
      </c>
      <c r="N562" s="32" t="s">
        <v>191</v>
      </c>
      <c r="O562" s="28" t="s">
        <v>177</v>
      </c>
      <c r="P562" s="28" t="s">
        <v>1739</v>
      </c>
      <c r="Q562" s="28" t="s">
        <v>1740</v>
      </c>
      <c r="R562" s="28" t="s">
        <v>1741</v>
      </c>
    </row>
    <row r="563" spans="1:18">
      <c r="A563" s="28">
        <v>3</v>
      </c>
      <c r="B563" s="29" t="s">
        <v>286</v>
      </c>
      <c r="C563" s="29" t="s">
        <v>287</v>
      </c>
      <c r="D563" s="29" t="s">
        <v>558</v>
      </c>
      <c r="E563" s="29" t="s">
        <v>172</v>
      </c>
      <c r="F563" s="28" t="s">
        <v>969</v>
      </c>
      <c r="G563" s="28" t="s">
        <v>1000</v>
      </c>
      <c r="H563" s="28" t="s">
        <v>384</v>
      </c>
      <c r="I563" s="28">
        <v>9</v>
      </c>
      <c r="J563" s="30">
        <v>3.4000000000000002E-2</v>
      </c>
      <c r="K563" s="28" t="s">
        <v>475</v>
      </c>
      <c r="L563" s="31">
        <v>43191</v>
      </c>
      <c r="M563" s="28">
        <v>4</v>
      </c>
      <c r="N563" s="32" t="s">
        <v>191</v>
      </c>
      <c r="O563" s="28" t="s">
        <v>244</v>
      </c>
      <c r="P563" s="28" t="s">
        <v>1742</v>
      </c>
      <c r="Q563" s="28" t="s">
        <v>1743</v>
      </c>
      <c r="R563" s="28" t="s">
        <v>1744</v>
      </c>
    </row>
    <row r="564" spans="1:18">
      <c r="A564" s="28">
        <v>3</v>
      </c>
      <c r="B564" s="29" t="s">
        <v>286</v>
      </c>
      <c r="C564" s="29" t="s">
        <v>287</v>
      </c>
      <c r="D564" s="29" t="s">
        <v>288</v>
      </c>
      <c r="E564" s="29" t="s">
        <v>172</v>
      </c>
      <c r="F564" s="28" t="s">
        <v>969</v>
      </c>
      <c r="G564" s="28" t="s">
        <v>1007</v>
      </c>
      <c r="H564" s="28" t="s">
        <v>174</v>
      </c>
      <c r="I564" s="28" t="s">
        <v>174</v>
      </c>
      <c r="J564" s="30" t="s">
        <v>174</v>
      </c>
      <c r="K564" s="28" t="s">
        <v>267</v>
      </c>
      <c r="L564" s="31">
        <v>42583</v>
      </c>
      <c r="M564" s="28">
        <v>8</v>
      </c>
      <c r="N564" s="32" t="s">
        <v>184</v>
      </c>
      <c r="O564" s="28" t="s">
        <v>177</v>
      </c>
      <c r="P564" s="28" t="s">
        <v>1745</v>
      </c>
      <c r="Q564" s="28" t="s">
        <v>1746</v>
      </c>
      <c r="R564" s="28" t="s">
        <v>1747</v>
      </c>
    </row>
    <row r="565" spans="1:18">
      <c r="A565" s="28">
        <v>3</v>
      </c>
      <c r="B565" s="29" t="s">
        <v>286</v>
      </c>
      <c r="C565" s="29" t="s">
        <v>287</v>
      </c>
      <c r="D565" s="29" t="s">
        <v>288</v>
      </c>
      <c r="E565" s="29" t="s">
        <v>172</v>
      </c>
      <c r="F565" s="28" t="s">
        <v>969</v>
      </c>
      <c r="G565" s="28" t="s">
        <v>975</v>
      </c>
      <c r="H565" s="28" t="s">
        <v>384</v>
      </c>
      <c r="I565" s="28">
        <v>12</v>
      </c>
      <c r="J565" s="30">
        <v>2.3E-2</v>
      </c>
      <c r="K565" s="28" t="s">
        <v>424</v>
      </c>
      <c r="L565" s="31">
        <v>43678</v>
      </c>
      <c r="M565" s="28">
        <v>8</v>
      </c>
      <c r="N565" s="32" t="s">
        <v>184</v>
      </c>
      <c r="O565" s="28" t="s">
        <v>244</v>
      </c>
      <c r="P565" s="28" t="s">
        <v>1748</v>
      </c>
      <c r="Q565" s="28" t="s">
        <v>1749</v>
      </c>
      <c r="R565" s="28" t="s">
        <v>1750</v>
      </c>
    </row>
    <row r="566" spans="1:18">
      <c r="A566" s="28">
        <v>3</v>
      </c>
      <c r="B566" s="29" t="s">
        <v>286</v>
      </c>
      <c r="C566" s="29" t="s">
        <v>287</v>
      </c>
      <c r="D566" s="29" t="s">
        <v>288</v>
      </c>
      <c r="E566" s="29" t="s">
        <v>172</v>
      </c>
      <c r="F566" s="28" t="s">
        <v>969</v>
      </c>
      <c r="G566" s="28" t="s">
        <v>975</v>
      </c>
      <c r="H566" s="28" t="s">
        <v>384</v>
      </c>
      <c r="I566" s="28">
        <v>12</v>
      </c>
      <c r="J566" s="30">
        <v>2.3E-2</v>
      </c>
      <c r="K566" s="28" t="s">
        <v>415</v>
      </c>
      <c r="L566" s="31">
        <v>43952</v>
      </c>
      <c r="M566" s="28">
        <v>5</v>
      </c>
      <c r="N566" s="32" t="s">
        <v>191</v>
      </c>
      <c r="O566" s="28" t="s">
        <v>204</v>
      </c>
      <c r="P566" s="28" t="s">
        <v>1751</v>
      </c>
      <c r="Q566" s="28" t="s">
        <v>1752</v>
      </c>
      <c r="R566" s="28" t="s">
        <v>1753</v>
      </c>
    </row>
    <row r="567" spans="1:18" hidden="1">
      <c r="A567" s="28">
        <v>4</v>
      </c>
      <c r="B567" s="29" t="s">
        <v>306</v>
      </c>
      <c r="C567" s="29" t="s">
        <v>307</v>
      </c>
      <c r="D567" s="29" t="s">
        <v>592</v>
      </c>
      <c r="E567" s="29" t="s">
        <v>172</v>
      </c>
      <c r="F567" s="28" t="s">
        <v>969</v>
      </c>
      <c r="G567" s="28" t="s">
        <v>1380</v>
      </c>
      <c r="H567" s="28" t="s">
        <v>174</v>
      </c>
      <c r="I567" s="28" t="s">
        <v>174</v>
      </c>
      <c r="J567" s="30" t="s">
        <v>174</v>
      </c>
      <c r="K567" s="28" t="s">
        <v>198</v>
      </c>
      <c r="L567" s="31">
        <v>42767</v>
      </c>
      <c r="M567" s="28">
        <v>2</v>
      </c>
      <c r="N567" s="32" t="s">
        <v>176</v>
      </c>
      <c r="O567" s="28" t="s">
        <v>794</v>
      </c>
      <c r="P567" s="28" t="s">
        <v>1754</v>
      </c>
      <c r="Q567" s="28" t="s">
        <v>1755</v>
      </c>
      <c r="R567" s="28" t="s">
        <v>1756</v>
      </c>
    </row>
    <row r="568" spans="1:18" hidden="1">
      <c r="A568" s="28">
        <v>4</v>
      </c>
      <c r="B568" s="29" t="s">
        <v>306</v>
      </c>
      <c r="C568" s="29" t="s">
        <v>307</v>
      </c>
      <c r="D568" s="29" t="s">
        <v>592</v>
      </c>
      <c r="E568" s="29" t="s">
        <v>172</v>
      </c>
      <c r="F568" s="28" t="s">
        <v>969</v>
      </c>
      <c r="G568" s="28" t="s">
        <v>1380</v>
      </c>
      <c r="H568" s="28" t="s">
        <v>174</v>
      </c>
      <c r="I568" s="28" t="s">
        <v>174</v>
      </c>
      <c r="J568" s="30" t="s">
        <v>174</v>
      </c>
      <c r="K568" s="28" t="s">
        <v>236</v>
      </c>
      <c r="L568" s="31">
        <v>43617</v>
      </c>
      <c r="M568" s="28">
        <v>6</v>
      </c>
      <c r="N568" s="32" t="s">
        <v>184</v>
      </c>
      <c r="O568" s="28" t="s">
        <v>794</v>
      </c>
      <c r="P568" s="28" t="s">
        <v>1757</v>
      </c>
      <c r="Q568" s="28" t="s">
        <v>1758</v>
      </c>
      <c r="R568" s="28" t="s">
        <v>1759</v>
      </c>
    </row>
    <row r="569" spans="1:18" hidden="1">
      <c r="A569" s="28">
        <v>4</v>
      </c>
      <c r="B569" s="29" t="s">
        <v>306</v>
      </c>
      <c r="C569" s="29" t="s">
        <v>307</v>
      </c>
      <c r="D569" s="29" t="s">
        <v>592</v>
      </c>
      <c r="E569" s="29" t="s">
        <v>172</v>
      </c>
      <c r="F569" s="28" t="s">
        <v>969</v>
      </c>
      <c r="G569" s="28" t="s">
        <v>975</v>
      </c>
      <c r="H569" s="28" t="s">
        <v>384</v>
      </c>
      <c r="I569" s="28">
        <v>12</v>
      </c>
      <c r="J569" s="30">
        <v>2.3E-2</v>
      </c>
      <c r="K569" s="28" t="s">
        <v>430</v>
      </c>
      <c r="L569" s="31">
        <v>44105</v>
      </c>
      <c r="M569" s="28">
        <v>10</v>
      </c>
      <c r="N569" s="32" t="s">
        <v>191</v>
      </c>
      <c r="O569" s="28" t="s">
        <v>1060</v>
      </c>
      <c r="P569" s="28" t="s">
        <v>1760</v>
      </c>
      <c r="Q569" s="28" t="s">
        <v>1761</v>
      </c>
      <c r="R569" s="28" t="s">
        <v>1762</v>
      </c>
    </row>
    <row r="570" spans="1:18" hidden="1">
      <c r="A570" s="28">
        <v>4</v>
      </c>
      <c r="B570" s="29" t="s">
        <v>306</v>
      </c>
      <c r="C570" s="29" t="s">
        <v>307</v>
      </c>
      <c r="D570" s="29" t="s">
        <v>604</v>
      </c>
      <c r="E570" s="29" t="s">
        <v>172</v>
      </c>
      <c r="F570" s="28" t="s">
        <v>969</v>
      </c>
      <c r="G570" s="28" t="s">
        <v>970</v>
      </c>
      <c r="H570" s="28" t="s">
        <v>384</v>
      </c>
      <c r="I570" s="28">
        <v>5</v>
      </c>
      <c r="J570" s="30">
        <v>4.9000000000000002E-2</v>
      </c>
      <c r="K570" s="28" t="s">
        <v>651</v>
      </c>
      <c r="L570" s="31">
        <v>42644</v>
      </c>
      <c r="M570" s="28">
        <v>10</v>
      </c>
      <c r="N570" s="32" t="s">
        <v>191</v>
      </c>
      <c r="O570" s="28" t="s">
        <v>204</v>
      </c>
      <c r="P570" s="28" t="s">
        <v>1763</v>
      </c>
      <c r="Q570" s="28" t="s">
        <v>1764</v>
      </c>
      <c r="R570" s="28" t="s">
        <v>1765</v>
      </c>
    </row>
    <row r="571" spans="1:18" hidden="1">
      <c r="A571" s="28">
        <v>4</v>
      </c>
      <c r="B571" s="29" t="s">
        <v>306</v>
      </c>
      <c r="C571" s="29" t="s">
        <v>307</v>
      </c>
      <c r="D571" s="29" t="s">
        <v>604</v>
      </c>
      <c r="E571" s="29" t="s">
        <v>172</v>
      </c>
      <c r="F571" s="28" t="s">
        <v>969</v>
      </c>
      <c r="G571" s="28" t="s">
        <v>1380</v>
      </c>
      <c r="H571" s="28" t="s">
        <v>174</v>
      </c>
      <c r="I571" s="28" t="s">
        <v>174</v>
      </c>
      <c r="J571" s="30" t="s">
        <v>174</v>
      </c>
      <c r="K571" s="28" t="s">
        <v>823</v>
      </c>
      <c r="L571" s="31">
        <v>44136</v>
      </c>
      <c r="M571" s="28">
        <v>11</v>
      </c>
      <c r="N571" s="32" t="s">
        <v>191</v>
      </c>
      <c r="O571" s="28" t="s">
        <v>204</v>
      </c>
      <c r="P571" s="28" t="s">
        <v>1766</v>
      </c>
      <c r="Q571" s="28" t="s">
        <v>597</v>
      </c>
      <c r="R571" s="28" t="s">
        <v>598</v>
      </c>
    </row>
    <row r="572" spans="1:18" hidden="1">
      <c r="A572" s="28">
        <v>4</v>
      </c>
      <c r="B572" s="29" t="s">
        <v>306</v>
      </c>
      <c r="C572" s="29" t="s">
        <v>307</v>
      </c>
      <c r="D572" s="29" t="s">
        <v>604</v>
      </c>
      <c r="E572" s="29" t="s">
        <v>172</v>
      </c>
      <c r="F572" s="28" t="s">
        <v>969</v>
      </c>
      <c r="G572" s="28" t="s">
        <v>1335</v>
      </c>
      <c r="H572" s="28" t="s">
        <v>174</v>
      </c>
      <c r="I572" s="28" t="s">
        <v>174</v>
      </c>
      <c r="J572" s="30" t="s">
        <v>174</v>
      </c>
      <c r="K572" s="28" t="s">
        <v>190</v>
      </c>
      <c r="L572" s="31">
        <v>44287</v>
      </c>
      <c r="M572" s="28">
        <v>4</v>
      </c>
      <c r="N572" s="32" t="s">
        <v>191</v>
      </c>
      <c r="O572" s="28" t="s">
        <v>794</v>
      </c>
      <c r="P572" s="28" t="s">
        <v>1767</v>
      </c>
      <c r="Q572" s="28" t="s">
        <v>1768</v>
      </c>
      <c r="R572" s="28" t="s">
        <v>1769</v>
      </c>
    </row>
    <row r="573" spans="1:18" hidden="1">
      <c r="A573" s="28">
        <v>4</v>
      </c>
      <c r="B573" s="29" t="s">
        <v>306</v>
      </c>
      <c r="C573" s="29" t="s">
        <v>307</v>
      </c>
      <c r="D573" s="29" t="s">
        <v>308</v>
      </c>
      <c r="E573" s="29" t="s">
        <v>172</v>
      </c>
      <c r="F573" s="28" t="s">
        <v>969</v>
      </c>
      <c r="G573" s="28" t="s">
        <v>1007</v>
      </c>
      <c r="H573" s="28" t="s">
        <v>174</v>
      </c>
      <c r="I573" s="28" t="s">
        <v>174</v>
      </c>
      <c r="J573" s="30" t="s">
        <v>174</v>
      </c>
      <c r="K573" s="28" t="s">
        <v>198</v>
      </c>
      <c r="L573" s="31">
        <v>42767</v>
      </c>
      <c r="M573" s="28">
        <v>2</v>
      </c>
      <c r="N573" s="32" t="s">
        <v>176</v>
      </c>
      <c r="O573" s="28" t="s">
        <v>204</v>
      </c>
      <c r="P573" s="28" t="s">
        <v>1770</v>
      </c>
      <c r="Q573" s="28" t="s">
        <v>1771</v>
      </c>
      <c r="R573" s="28" t="s">
        <v>1772</v>
      </c>
    </row>
    <row r="574" spans="1:18" hidden="1">
      <c r="A574" s="28">
        <v>4</v>
      </c>
      <c r="B574" s="29" t="s">
        <v>306</v>
      </c>
      <c r="C574" s="29" t="s">
        <v>312</v>
      </c>
      <c r="D574" s="29" t="s">
        <v>313</v>
      </c>
      <c r="E574" s="29" t="s">
        <v>172</v>
      </c>
      <c r="F574" s="28" t="s">
        <v>969</v>
      </c>
      <c r="G574" s="28" t="s">
        <v>975</v>
      </c>
      <c r="H574" s="28" t="s">
        <v>384</v>
      </c>
      <c r="I574" s="28">
        <v>12</v>
      </c>
      <c r="J574" s="30">
        <v>2.3E-2</v>
      </c>
      <c r="K574" s="28" t="s">
        <v>473</v>
      </c>
      <c r="L574" s="31">
        <v>43160</v>
      </c>
      <c r="M574" s="28">
        <v>3</v>
      </c>
      <c r="N574" s="32" t="s">
        <v>191</v>
      </c>
      <c r="O574" s="28" t="s">
        <v>204</v>
      </c>
      <c r="P574" s="28" t="s">
        <v>1773</v>
      </c>
      <c r="Q574" s="28" t="s">
        <v>1774</v>
      </c>
      <c r="R574" s="28" t="s">
        <v>1775</v>
      </c>
    </row>
    <row r="575" spans="1:18" hidden="1">
      <c r="A575" s="28">
        <v>4</v>
      </c>
      <c r="B575" s="29" t="s">
        <v>306</v>
      </c>
      <c r="C575" s="29" t="s">
        <v>1776</v>
      </c>
      <c r="D575" s="29" t="s">
        <v>1777</v>
      </c>
      <c r="E575" s="29" t="s">
        <v>172</v>
      </c>
      <c r="F575" s="28" t="s">
        <v>969</v>
      </c>
      <c r="G575" s="28" t="s">
        <v>1007</v>
      </c>
      <c r="H575" s="28" t="s">
        <v>174</v>
      </c>
      <c r="I575" s="28" t="s">
        <v>174</v>
      </c>
      <c r="J575" s="30" t="s">
        <v>174</v>
      </c>
      <c r="K575" s="28" t="s">
        <v>243</v>
      </c>
      <c r="L575" s="31">
        <v>42461</v>
      </c>
      <c r="M575" s="28">
        <v>4</v>
      </c>
      <c r="N575" s="32" t="s">
        <v>191</v>
      </c>
      <c r="O575" s="28" t="s">
        <v>177</v>
      </c>
      <c r="P575" s="28" t="s">
        <v>1778</v>
      </c>
      <c r="Q575" s="28" t="s">
        <v>1779</v>
      </c>
      <c r="R575" s="28" t="s">
        <v>1780</v>
      </c>
    </row>
    <row r="576" spans="1:18" hidden="1">
      <c r="A576" s="28">
        <v>4</v>
      </c>
      <c r="B576" s="29" t="s">
        <v>306</v>
      </c>
      <c r="C576" s="29" t="s">
        <v>1776</v>
      </c>
      <c r="D576" s="29" t="s">
        <v>1777</v>
      </c>
      <c r="E576" s="29" t="s">
        <v>172</v>
      </c>
      <c r="F576" s="28" t="s">
        <v>969</v>
      </c>
      <c r="G576" s="28" t="s">
        <v>1380</v>
      </c>
      <c r="H576" s="28" t="s">
        <v>174</v>
      </c>
      <c r="I576" s="28" t="s">
        <v>174</v>
      </c>
      <c r="J576" s="30" t="s">
        <v>174</v>
      </c>
      <c r="K576" s="28" t="s">
        <v>243</v>
      </c>
      <c r="L576" s="31">
        <v>42461</v>
      </c>
      <c r="M576" s="28">
        <v>4</v>
      </c>
      <c r="N576" s="32" t="s">
        <v>191</v>
      </c>
      <c r="O576" s="28" t="s">
        <v>185</v>
      </c>
      <c r="P576" s="28" t="s">
        <v>1781</v>
      </c>
      <c r="Q576" s="28" t="s">
        <v>1782</v>
      </c>
      <c r="R576" s="28" t="s">
        <v>1783</v>
      </c>
    </row>
    <row r="577" spans="1:18" hidden="1">
      <c r="A577" s="28">
        <v>4</v>
      </c>
      <c r="B577" s="29" t="s">
        <v>306</v>
      </c>
      <c r="C577" s="29" t="s">
        <v>624</v>
      </c>
      <c r="D577" s="29" t="s">
        <v>630</v>
      </c>
      <c r="E577" s="29" t="s">
        <v>172</v>
      </c>
      <c r="F577" s="28" t="s">
        <v>969</v>
      </c>
      <c r="G577" s="28" t="s">
        <v>975</v>
      </c>
      <c r="H577" s="28" t="s">
        <v>384</v>
      </c>
      <c r="I577" s="28">
        <v>12</v>
      </c>
      <c r="J577" s="30">
        <v>2.3E-2</v>
      </c>
      <c r="K577" s="28" t="s">
        <v>257</v>
      </c>
      <c r="L577" s="31">
        <v>42552</v>
      </c>
      <c r="M577" s="28">
        <v>7</v>
      </c>
      <c r="N577" s="32" t="s">
        <v>184</v>
      </c>
      <c r="O577" s="28" t="s">
        <v>204</v>
      </c>
      <c r="P577" s="28" t="s">
        <v>1784</v>
      </c>
      <c r="Q577" s="28" t="s">
        <v>1785</v>
      </c>
      <c r="R577" s="28" t="s">
        <v>1786</v>
      </c>
    </row>
    <row r="578" spans="1:18" hidden="1">
      <c r="A578" s="28">
        <v>4</v>
      </c>
      <c r="B578" s="29" t="s">
        <v>306</v>
      </c>
      <c r="C578" s="29" t="s">
        <v>318</v>
      </c>
      <c r="D578" s="29" t="s">
        <v>323</v>
      </c>
      <c r="E578" s="29" t="s">
        <v>172</v>
      </c>
      <c r="F578" s="28" t="s">
        <v>969</v>
      </c>
      <c r="G578" s="28" t="s">
        <v>1335</v>
      </c>
      <c r="H578" s="28" t="s">
        <v>174</v>
      </c>
      <c r="I578" s="28" t="s">
        <v>174</v>
      </c>
      <c r="J578" s="30" t="s">
        <v>174</v>
      </c>
      <c r="K578" s="28" t="s">
        <v>248</v>
      </c>
      <c r="L578" s="31">
        <v>43070</v>
      </c>
      <c r="M578" s="28">
        <v>12</v>
      </c>
      <c r="N578" s="32" t="s">
        <v>176</v>
      </c>
      <c r="O578" s="28" t="s">
        <v>1060</v>
      </c>
      <c r="P578" s="28" t="s">
        <v>1787</v>
      </c>
      <c r="Q578" s="28" t="s">
        <v>1788</v>
      </c>
      <c r="R578" s="28" t="s">
        <v>1789</v>
      </c>
    </row>
    <row r="579" spans="1:18" hidden="1">
      <c r="A579" s="28">
        <v>4</v>
      </c>
      <c r="B579" s="29" t="s">
        <v>306</v>
      </c>
      <c r="C579" s="29" t="s">
        <v>333</v>
      </c>
      <c r="D579" s="29" t="s">
        <v>334</v>
      </c>
      <c r="E579" s="29" t="s">
        <v>172</v>
      </c>
      <c r="F579" s="28" t="s">
        <v>969</v>
      </c>
      <c r="G579" s="28" t="s">
        <v>1380</v>
      </c>
      <c r="H579" s="28" t="s">
        <v>174</v>
      </c>
      <c r="I579" s="28" t="s">
        <v>174</v>
      </c>
      <c r="J579" s="30" t="s">
        <v>174</v>
      </c>
      <c r="K579" s="28" t="s">
        <v>257</v>
      </c>
      <c r="L579" s="31">
        <v>42552</v>
      </c>
      <c r="M579" s="28">
        <v>7</v>
      </c>
      <c r="N579" s="32" t="s">
        <v>184</v>
      </c>
      <c r="O579" s="28" t="s">
        <v>177</v>
      </c>
      <c r="P579" s="28" t="s">
        <v>1790</v>
      </c>
      <c r="Q579" s="28" t="s">
        <v>1791</v>
      </c>
      <c r="R579" s="28" t="s">
        <v>1792</v>
      </c>
    </row>
    <row r="580" spans="1:18" hidden="1">
      <c r="A580" s="28">
        <v>4</v>
      </c>
      <c r="B580" s="29" t="s">
        <v>306</v>
      </c>
      <c r="C580" s="29" t="s">
        <v>333</v>
      </c>
      <c r="D580" s="29" t="s">
        <v>334</v>
      </c>
      <c r="E580" s="29" t="s">
        <v>172</v>
      </c>
      <c r="F580" s="28" t="s">
        <v>969</v>
      </c>
      <c r="G580" s="28" t="s">
        <v>1380</v>
      </c>
      <c r="H580" s="28" t="s">
        <v>174</v>
      </c>
      <c r="I580" s="28" t="s">
        <v>174</v>
      </c>
      <c r="J580" s="30" t="s">
        <v>174</v>
      </c>
      <c r="K580" s="28" t="s">
        <v>651</v>
      </c>
      <c r="L580" s="31">
        <v>42644</v>
      </c>
      <c r="M580" s="28">
        <v>10</v>
      </c>
      <c r="N580" s="32" t="s">
        <v>191</v>
      </c>
      <c r="O580" s="28" t="s">
        <v>794</v>
      </c>
      <c r="P580" s="28" t="s">
        <v>1793</v>
      </c>
      <c r="Q580" s="28" t="s">
        <v>1794</v>
      </c>
      <c r="R580" s="28" t="s">
        <v>1795</v>
      </c>
    </row>
    <row r="581" spans="1:18" hidden="1">
      <c r="A581" s="28">
        <v>4</v>
      </c>
      <c r="B581" s="29" t="s">
        <v>306</v>
      </c>
      <c r="C581" s="29" t="s">
        <v>333</v>
      </c>
      <c r="D581" s="29" t="s">
        <v>334</v>
      </c>
      <c r="E581" s="29" t="s">
        <v>172</v>
      </c>
      <c r="F581" s="28" t="s">
        <v>969</v>
      </c>
      <c r="G581" s="28" t="s">
        <v>1007</v>
      </c>
      <c r="H581" s="28" t="s">
        <v>174</v>
      </c>
      <c r="I581" s="28" t="s">
        <v>174</v>
      </c>
      <c r="J581" s="30" t="s">
        <v>174</v>
      </c>
      <c r="K581" s="28" t="s">
        <v>302</v>
      </c>
      <c r="L581" s="31">
        <v>43282</v>
      </c>
      <c r="M581" s="28">
        <v>7</v>
      </c>
      <c r="N581" s="32" t="s">
        <v>184</v>
      </c>
      <c r="O581" s="28" t="s">
        <v>204</v>
      </c>
      <c r="P581" s="28" t="s">
        <v>1796</v>
      </c>
      <c r="Q581" s="28" t="s">
        <v>1797</v>
      </c>
      <c r="R581" s="28" t="s">
        <v>1798</v>
      </c>
    </row>
    <row r="582" spans="1:18" hidden="1">
      <c r="A582" s="28">
        <v>4</v>
      </c>
      <c r="B582" s="29" t="s">
        <v>306</v>
      </c>
      <c r="C582" s="29" t="s">
        <v>333</v>
      </c>
      <c r="D582" s="29" t="s">
        <v>673</v>
      </c>
      <c r="E582" s="29" t="s">
        <v>172</v>
      </c>
      <c r="F582" s="28" t="s">
        <v>969</v>
      </c>
      <c r="G582" s="28" t="s">
        <v>975</v>
      </c>
      <c r="H582" s="28" t="s">
        <v>384</v>
      </c>
      <c r="I582" s="28">
        <v>12</v>
      </c>
      <c r="J582" s="30">
        <v>2.3E-2</v>
      </c>
      <c r="K582" s="28" t="s">
        <v>212</v>
      </c>
      <c r="L582" s="31">
        <v>43313</v>
      </c>
      <c r="M582" s="28">
        <v>8</v>
      </c>
      <c r="N582" s="32" t="s">
        <v>184</v>
      </c>
      <c r="O582" s="28" t="s">
        <v>177</v>
      </c>
      <c r="P582" s="28" t="s">
        <v>1799</v>
      </c>
      <c r="Q582" s="28" t="s">
        <v>1800</v>
      </c>
      <c r="R582" s="28" t="s">
        <v>1801</v>
      </c>
    </row>
    <row r="583" spans="1:18" hidden="1">
      <c r="A583" s="28">
        <v>4</v>
      </c>
      <c r="B583" s="29" t="s">
        <v>306</v>
      </c>
      <c r="C583" s="29" t="s">
        <v>333</v>
      </c>
      <c r="D583" s="29" t="s">
        <v>673</v>
      </c>
      <c r="E583" s="29" t="s">
        <v>172</v>
      </c>
      <c r="F583" s="28" t="s">
        <v>969</v>
      </c>
      <c r="G583" s="28" t="s">
        <v>1000</v>
      </c>
      <c r="H583" s="28" t="s">
        <v>384</v>
      </c>
      <c r="I583" s="28">
        <v>9</v>
      </c>
      <c r="J583" s="30">
        <v>3.4000000000000002E-2</v>
      </c>
      <c r="K583" s="28" t="s">
        <v>504</v>
      </c>
      <c r="L583" s="31">
        <v>43922</v>
      </c>
      <c r="M583" s="28">
        <v>4</v>
      </c>
      <c r="N583" s="32" t="s">
        <v>191</v>
      </c>
      <c r="O583" s="28" t="s">
        <v>204</v>
      </c>
      <c r="P583" s="28" t="s">
        <v>1802</v>
      </c>
      <c r="Q583" s="28" t="s">
        <v>1803</v>
      </c>
      <c r="R583" s="28" t="s">
        <v>1804</v>
      </c>
    </row>
    <row r="584" spans="1:18" hidden="1">
      <c r="A584" s="28">
        <v>4</v>
      </c>
      <c r="B584" s="29" t="s">
        <v>306</v>
      </c>
      <c r="C584" s="29" t="s">
        <v>339</v>
      </c>
      <c r="D584" s="29" t="s">
        <v>687</v>
      </c>
      <c r="E584" s="29" t="s">
        <v>172</v>
      </c>
      <c r="F584" s="28" t="s">
        <v>969</v>
      </c>
      <c r="G584" s="28" t="s">
        <v>1000</v>
      </c>
      <c r="H584" s="28" t="s">
        <v>384</v>
      </c>
      <c r="I584" s="28">
        <v>9</v>
      </c>
      <c r="J584" s="30">
        <v>3.4000000000000002E-2</v>
      </c>
      <c r="K584" s="28" t="s">
        <v>844</v>
      </c>
      <c r="L584" s="31">
        <v>43586</v>
      </c>
      <c r="M584" s="28">
        <v>5</v>
      </c>
      <c r="N584" s="32" t="s">
        <v>191</v>
      </c>
      <c r="O584" s="28" t="s">
        <v>204</v>
      </c>
      <c r="P584" s="28" t="s">
        <v>1805</v>
      </c>
      <c r="Q584" s="28" t="s">
        <v>1806</v>
      </c>
      <c r="R584" s="28" t="s">
        <v>1804</v>
      </c>
    </row>
    <row r="585" spans="1:18" hidden="1">
      <c r="A585" s="28">
        <v>4</v>
      </c>
      <c r="B585" s="29" t="s">
        <v>306</v>
      </c>
      <c r="C585" s="29" t="s">
        <v>339</v>
      </c>
      <c r="D585" s="29" t="s">
        <v>340</v>
      </c>
      <c r="E585" s="29" t="s">
        <v>172</v>
      </c>
      <c r="F585" s="28" t="s">
        <v>969</v>
      </c>
      <c r="G585" s="28" t="s">
        <v>975</v>
      </c>
      <c r="H585" s="28" t="s">
        <v>384</v>
      </c>
      <c r="I585" s="28">
        <v>12</v>
      </c>
      <c r="J585" s="30">
        <v>2.3E-2</v>
      </c>
      <c r="K585" s="28" t="s">
        <v>175</v>
      </c>
      <c r="L585" s="31">
        <v>42339</v>
      </c>
      <c r="M585" s="28">
        <v>12</v>
      </c>
      <c r="N585" s="32" t="s">
        <v>176</v>
      </c>
      <c r="O585" s="28" t="s">
        <v>204</v>
      </c>
      <c r="P585" s="28" t="s">
        <v>1807</v>
      </c>
      <c r="Q585" s="28" t="s">
        <v>1808</v>
      </c>
      <c r="R585" s="28" t="s">
        <v>1809</v>
      </c>
    </row>
    <row r="586" spans="1:18" hidden="1">
      <c r="A586" s="28">
        <v>4</v>
      </c>
      <c r="B586" s="29" t="s">
        <v>306</v>
      </c>
      <c r="C586" s="29" t="s">
        <v>339</v>
      </c>
      <c r="D586" s="29" t="s">
        <v>340</v>
      </c>
      <c r="E586" s="29" t="s">
        <v>172</v>
      </c>
      <c r="F586" s="28" t="s">
        <v>969</v>
      </c>
      <c r="G586" s="28" t="s">
        <v>975</v>
      </c>
      <c r="H586" s="28" t="s">
        <v>384</v>
      </c>
      <c r="I586" s="28">
        <v>12</v>
      </c>
      <c r="J586" s="30">
        <v>2.3E-2</v>
      </c>
      <c r="K586" s="28" t="s">
        <v>1810</v>
      </c>
      <c r="L586" s="31">
        <v>42370</v>
      </c>
      <c r="M586" s="28">
        <v>1</v>
      </c>
      <c r="N586" s="32" t="s">
        <v>176</v>
      </c>
      <c r="O586" s="28" t="s">
        <v>204</v>
      </c>
      <c r="P586" s="28" t="s">
        <v>1811</v>
      </c>
      <c r="Q586" s="28" t="s">
        <v>1812</v>
      </c>
      <c r="R586" s="28" t="s">
        <v>1813</v>
      </c>
    </row>
    <row r="587" spans="1:18" hidden="1">
      <c r="A587" s="28">
        <v>4</v>
      </c>
      <c r="B587" s="29" t="s">
        <v>306</v>
      </c>
      <c r="C587" s="29" t="s">
        <v>339</v>
      </c>
      <c r="D587" s="29" t="s">
        <v>340</v>
      </c>
      <c r="E587" s="29" t="s">
        <v>172</v>
      </c>
      <c r="F587" s="28" t="s">
        <v>969</v>
      </c>
      <c r="G587" s="28" t="s">
        <v>975</v>
      </c>
      <c r="H587" s="28" t="s">
        <v>384</v>
      </c>
      <c r="I587" s="28">
        <v>12</v>
      </c>
      <c r="J587" s="30">
        <v>2.3E-2</v>
      </c>
      <c r="K587" s="28" t="s">
        <v>489</v>
      </c>
      <c r="L587" s="31">
        <v>42491</v>
      </c>
      <c r="M587" s="28">
        <v>5</v>
      </c>
      <c r="N587" s="32" t="s">
        <v>191</v>
      </c>
      <c r="O587" s="28" t="s">
        <v>204</v>
      </c>
      <c r="P587" s="28" t="s">
        <v>1814</v>
      </c>
      <c r="Q587" s="28" t="s">
        <v>1815</v>
      </c>
      <c r="R587" s="28" t="s">
        <v>1816</v>
      </c>
    </row>
    <row r="588" spans="1:18" hidden="1">
      <c r="A588" s="28">
        <v>4</v>
      </c>
      <c r="B588" s="29" t="s">
        <v>306</v>
      </c>
      <c r="C588" s="29" t="s">
        <v>339</v>
      </c>
      <c r="D588" s="29" t="s">
        <v>340</v>
      </c>
      <c r="E588" s="29" t="s">
        <v>172</v>
      </c>
      <c r="F588" s="28" t="s">
        <v>969</v>
      </c>
      <c r="G588" s="28" t="s">
        <v>975</v>
      </c>
      <c r="H588" s="28" t="s">
        <v>384</v>
      </c>
      <c r="I588" s="28">
        <v>12</v>
      </c>
      <c r="J588" s="30">
        <v>2.3E-2</v>
      </c>
      <c r="K588" s="28" t="s">
        <v>460</v>
      </c>
      <c r="L588" s="31">
        <v>42675</v>
      </c>
      <c r="M588" s="28">
        <v>11</v>
      </c>
      <c r="N588" s="32" t="s">
        <v>191</v>
      </c>
      <c r="O588" s="28" t="s">
        <v>204</v>
      </c>
      <c r="P588" s="28" t="s">
        <v>1817</v>
      </c>
      <c r="Q588" s="28" t="s">
        <v>1818</v>
      </c>
      <c r="R588" s="28" t="s">
        <v>1819</v>
      </c>
    </row>
    <row r="589" spans="1:18" hidden="1">
      <c r="A589" s="28">
        <v>4</v>
      </c>
      <c r="B589" s="29" t="s">
        <v>306</v>
      </c>
      <c r="C589" s="29" t="s">
        <v>339</v>
      </c>
      <c r="D589" s="29" t="s">
        <v>340</v>
      </c>
      <c r="E589" s="29" t="s">
        <v>172</v>
      </c>
      <c r="F589" s="28" t="s">
        <v>969</v>
      </c>
      <c r="G589" s="28" t="s">
        <v>970</v>
      </c>
      <c r="H589" s="28" t="s">
        <v>384</v>
      </c>
      <c r="I589" s="28">
        <v>5</v>
      </c>
      <c r="J589" s="30">
        <v>4.9000000000000002E-2</v>
      </c>
      <c r="K589" s="28" t="s">
        <v>401</v>
      </c>
      <c r="L589" s="31">
        <v>42705</v>
      </c>
      <c r="M589" s="28">
        <v>12</v>
      </c>
      <c r="N589" s="32" t="s">
        <v>176</v>
      </c>
      <c r="O589" s="28" t="s">
        <v>204</v>
      </c>
      <c r="P589" s="28" t="s">
        <v>1820</v>
      </c>
      <c r="Q589" s="28" t="s">
        <v>1821</v>
      </c>
      <c r="R589" s="28" t="s">
        <v>1822</v>
      </c>
    </row>
    <row r="590" spans="1:18" hidden="1">
      <c r="A590" s="28">
        <v>4</v>
      </c>
      <c r="B590" s="29" t="s">
        <v>306</v>
      </c>
      <c r="C590" s="29" t="s">
        <v>339</v>
      </c>
      <c r="D590" s="29" t="s">
        <v>340</v>
      </c>
      <c r="E590" s="29" t="s">
        <v>172</v>
      </c>
      <c r="F590" s="28" t="s">
        <v>969</v>
      </c>
      <c r="G590" s="28" t="s">
        <v>975</v>
      </c>
      <c r="H590" s="28" t="s">
        <v>384</v>
      </c>
      <c r="I590" s="28">
        <v>12</v>
      </c>
      <c r="J590" s="30">
        <v>2.3E-2</v>
      </c>
      <c r="K590" s="28" t="s">
        <v>401</v>
      </c>
      <c r="L590" s="31">
        <v>42705</v>
      </c>
      <c r="M590" s="28">
        <v>12</v>
      </c>
      <c r="N590" s="32" t="s">
        <v>176</v>
      </c>
      <c r="O590" s="28" t="s">
        <v>204</v>
      </c>
      <c r="P590" s="28" t="s">
        <v>1823</v>
      </c>
      <c r="Q590" s="28" t="s">
        <v>1812</v>
      </c>
      <c r="R590" s="28" t="s">
        <v>1813</v>
      </c>
    </row>
    <row r="591" spans="1:18" hidden="1">
      <c r="A591" s="28">
        <v>5</v>
      </c>
      <c r="B591" s="29" t="s">
        <v>349</v>
      </c>
      <c r="C591" s="29" t="s">
        <v>350</v>
      </c>
      <c r="D591" s="29" t="s">
        <v>714</v>
      </c>
      <c r="E591" s="29" t="s">
        <v>172</v>
      </c>
      <c r="F591" s="28" t="s">
        <v>969</v>
      </c>
      <c r="G591" s="28" t="s">
        <v>975</v>
      </c>
      <c r="H591" s="28" t="s">
        <v>384</v>
      </c>
      <c r="I591" s="28">
        <v>12</v>
      </c>
      <c r="J591" s="30">
        <v>2.3E-2</v>
      </c>
      <c r="K591" s="28" t="s">
        <v>243</v>
      </c>
      <c r="L591" s="31">
        <v>42461</v>
      </c>
      <c r="M591" s="28">
        <v>4</v>
      </c>
      <c r="N591" s="32" t="s">
        <v>191</v>
      </c>
      <c r="O591" s="28" t="s">
        <v>177</v>
      </c>
      <c r="P591" s="28" t="s">
        <v>1824</v>
      </c>
      <c r="Q591" s="28" t="s">
        <v>1825</v>
      </c>
      <c r="R591" s="28" t="s">
        <v>1826</v>
      </c>
    </row>
    <row r="592" spans="1:18" hidden="1">
      <c r="A592" s="28">
        <v>5</v>
      </c>
      <c r="B592" s="29" t="s">
        <v>349</v>
      </c>
      <c r="C592" s="29" t="s">
        <v>350</v>
      </c>
      <c r="D592" s="29" t="s">
        <v>714</v>
      </c>
      <c r="E592" s="29" t="s">
        <v>172</v>
      </c>
      <c r="F592" s="28" t="s">
        <v>969</v>
      </c>
      <c r="G592" s="28" t="s">
        <v>970</v>
      </c>
      <c r="H592" s="28" t="s">
        <v>384</v>
      </c>
      <c r="I592" s="28">
        <v>5</v>
      </c>
      <c r="J592" s="30">
        <v>4.9000000000000002E-2</v>
      </c>
      <c r="K592" s="28" t="s">
        <v>289</v>
      </c>
      <c r="L592" s="31">
        <v>42795</v>
      </c>
      <c r="M592" s="28">
        <v>3</v>
      </c>
      <c r="N592" s="32" t="s">
        <v>191</v>
      </c>
      <c r="O592" s="28" t="s">
        <v>185</v>
      </c>
      <c r="P592" s="28" t="s">
        <v>1827</v>
      </c>
      <c r="Q592" s="28" t="s">
        <v>1328</v>
      </c>
      <c r="R592" s="28" t="s">
        <v>1828</v>
      </c>
    </row>
    <row r="593" spans="1:18" hidden="1">
      <c r="A593" s="28">
        <v>5</v>
      </c>
      <c r="B593" s="29" t="s">
        <v>349</v>
      </c>
      <c r="C593" s="29" t="s">
        <v>350</v>
      </c>
      <c r="D593" s="29" t="s">
        <v>714</v>
      </c>
      <c r="E593" s="29" t="s">
        <v>172</v>
      </c>
      <c r="F593" s="28" t="s">
        <v>969</v>
      </c>
      <c r="G593" s="28" t="s">
        <v>975</v>
      </c>
      <c r="H593" s="28" t="s">
        <v>384</v>
      </c>
      <c r="I593" s="28">
        <v>12</v>
      </c>
      <c r="J593" s="30">
        <v>2.3E-2</v>
      </c>
      <c r="K593" s="28" t="s">
        <v>271</v>
      </c>
      <c r="L593" s="31">
        <v>42856</v>
      </c>
      <c r="M593" s="28">
        <v>5</v>
      </c>
      <c r="N593" s="32" t="s">
        <v>191</v>
      </c>
      <c r="O593" s="28" t="s">
        <v>1060</v>
      </c>
      <c r="P593" s="28" t="s">
        <v>1829</v>
      </c>
      <c r="Q593" s="28" t="s">
        <v>1464</v>
      </c>
      <c r="R593" s="28" t="s">
        <v>1465</v>
      </c>
    </row>
    <row r="594" spans="1:18" hidden="1">
      <c r="A594" s="28">
        <v>5</v>
      </c>
      <c r="B594" s="29" t="s">
        <v>349</v>
      </c>
      <c r="C594" s="29" t="s">
        <v>350</v>
      </c>
      <c r="D594" s="29" t="s">
        <v>714</v>
      </c>
      <c r="E594" s="29" t="s">
        <v>172</v>
      </c>
      <c r="F594" s="28" t="s">
        <v>969</v>
      </c>
      <c r="G594" s="28" t="s">
        <v>970</v>
      </c>
      <c r="H594" s="28" t="s">
        <v>384</v>
      </c>
      <c r="I594" s="28">
        <v>5</v>
      </c>
      <c r="J594" s="30">
        <v>4.9000000000000002E-2</v>
      </c>
      <c r="K594" s="28" t="s">
        <v>248</v>
      </c>
      <c r="L594" s="31">
        <v>43070</v>
      </c>
      <c r="M594" s="28">
        <v>12</v>
      </c>
      <c r="N594" s="32" t="s">
        <v>176</v>
      </c>
      <c r="O594" s="28" t="s">
        <v>794</v>
      </c>
      <c r="P594" s="28" t="s">
        <v>1830</v>
      </c>
      <c r="Q594" s="28" t="s">
        <v>1831</v>
      </c>
      <c r="R594" s="28" t="s">
        <v>1832</v>
      </c>
    </row>
    <row r="595" spans="1:18" hidden="1">
      <c r="A595" s="28">
        <v>5</v>
      </c>
      <c r="B595" s="29" t="s">
        <v>349</v>
      </c>
      <c r="C595" s="29" t="s">
        <v>350</v>
      </c>
      <c r="D595" s="29" t="s">
        <v>716</v>
      </c>
      <c r="E595" s="29" t="s">
        <v>172</v>
      </c>
      <c r="F595" s="28" t="s">
        <v>969</v>
      </c>
      <c r="G595" s="28" t="s">
        <v>1000</v>
      </c>
      <c r="H595" s="28" t="s">
        <v>384</v>
      </c>
      <c r="I595" s="28">
        <v>9</v>
      </c>
      <c r="J595" s="30">
        <v>3.4000000000000002E-2</v>
      </c>
      <c r="K595" s="28" t="s">
        <v>460</v>
      </c>
      <c r="L595" s="31">
        <v>42675</v>
      </c>
      <c r="M595" s="28">
        <v>11</v>
      </c>
      <c r="N595" s="32" t="s">
        <v>191</v>
      </c>
      <c r="O595" s="28" t="s">
        <v>1060</v>
      </c>
      <c r="P595" s="28" t="s">
        <v>1833</v>
      </c>
      <c r="Q595" s="28" t="s">
        <v>1834</v>
      </c>
      <c r="R595" s="28" t="s">
        <v>1835</v>
      </c>
    </row>
    <row r="596" spans="1:18" hidden="1">
      <c r="A596" s="28">
        <v>5</v>
      </c>
      <c r="B596" s="29" t="s">
        <v>349</v>
      </c>
      <c r="C596" s="29" t="s">
        <v>350</v>
      </c>
      <c r="D596" s="29" t="s">
        <v>716</v>
      </c>
      <c r="E596" s="29" t="s">
        <v>172</v>
      </c>
      <c r="F596" s="28" t="s">
        <v>969</v>
      </c>
      <c r="G596" s="28" t="s">
        <v>970</v>
      </c>
      <c r="H596" s="28" t="s">
        <v>384</v>
      </c>
      <c r="I596" s="28">
        <v>5</v>
      </c>
      <c r="J596" s="30">
        <v>4.9000000000000002E-2</v>
      </c>
      <c r="K596" s="28" t="s">
        <v>214</v>
      </c>
      <c r="L596" s="31">
        <v>43466</v>
      </c>
      <c r="M596" s="28">
        <v>1</v>
      </c>
      <c r="N596" s="32" t="s">
        <v>176</v>
      </c>
      <c r="O596" s="28" t="s">
        <v>204</v>
      </c>
      <c r="P596" s="28" t="s">
        <v>1836</v>
      </c>
      <c r="Q596" s="28" t="s">
        <v>1837</v>
      </c>
      <c r="R596" s="28" t="s">
        <v>1838</v>
      </c>
    </row>
    <row r="597" spans="1:18" hidden="1">
      <c r="A597" s="28">
        <v>5</v>
      </c>
      <c r="B597" s="29" t="s">
        <v>349</v>
      </c>
      <c r="C597" s="29" t="s">
        <v>350</v>
      </c>
      <c r="D597" s="29" t="s">
        <v>716</v>
      </c>
      <c r="E597" s="29" t="s">
        <v>172</v>
      </c>
      <c r="F597" s="28" t="s">
        <v>969</v>
      </c>
      <c r="G597" s="28" t="s">
        <v>1335</v>
      </c>
      <c r="H597" s="28" t="s">
        <v>174</v>
      </c>
      <c r="I597" s="28" t="s">
        <v>174</v>
      </c>
      <c r="J597" s="30" t="s">
        <v>174</v>
      </c>
      <c r="K597" s="28" t="s">
        <v>752</v>
      </c>
      <c r="L597" s="31">
        <v>43709</v>
      </c>
      <c r="M597" s="28">
        <v>9</v>
      </c>
      <c r="N597" s="32" t="s">
        <v>191</v>
      </c>
      <c r="O597" s="28" t="s">
        <v>1060</v>
      </c>
      <c r="P597" s="28" t="s">
        <v>1839</v>
      </c>
      <c r="Q597" s="28" t="s">
        <v>1840</v>
      </c>
      <c r="R597" s="28" t="s">
        <v>1841</v>
      </c>
    </row>
    <row r="598" spans="1:18" hidden="1">
      <c r="A598" s="28">
        <v>5</v>
      </c>
      <c r="B598" s="29" t="s">
        <v>349</v>
      </c>
      <c r="C598" s="29" t="s">
        <v>350</v>
      </c>
      <c r="D598" s="29" t="s">
        <v>716</v>
      </c>
      <c r="E598" s="29" t="s">
        <v>172</v>
      </c>
      <c r="F598" s="28" t="s">
        <v>969</v>
      </c>
      <c r="G598" s="28" t="s">
        <v>975</v>
      </c>
      <c r="H598" s="28" t="s">
        <v>384</v>
      </c>
      <c r="I598" s="28">
        <v>12</v>
      </c>
      <c r="J598" s="30">
        <v>2.3E-2</v>
      </c>
      <c r="K598" s="28" t="s">
        <v>341</v>
      </c>
      <c r="L598" s="31">
        <v>44228</v>
      </c>
      <c r="M598" s="28">
        <v>2</v>
      </c>
      <c r="N598" s="32" t="s">
        <v>176</v>
      </c>
      <c r="O598" s="28" t="s">
        <v>177</v>
      </c>
      <c r="P598" s="28" t="s">
        <v>1842</v>
      </c>
      <c r="Q598" s="28" t="s">
        <v>1843</v>
      </c>
      <c r="R598" s="28" t="s">
        <v>1844</v>
      </c>
    </row>
    <row r="599" spans="1:18" hidden="1">
      <c r="A599" s="28">
        <v>5</v>
      </c>
      <c r="B599" s="29" t="s">
        <v>349</v>
      </c>
      <c r="C599" s="29" t="s">
        <v>350</v>
      </c>
      <c r="D599" s="29" t="s">
        <v>351</v>
      </c>
      <c r="E599" s="29" t="s">
        <v>172</v>
      </c>
      <c r="F599" s="28" t="s">
        <v>969</v>
      </c>
      <c r="G599" s="28" t="s">
        <v>970</v>
      </c>
      <c r="H599" s="28" t="s">
        <v>384</v>
      </c>
      <c r="I599" s="28">
        <v>5</v>
      </c>
      <c r="J599" s="30">
        <v>4.9000000000000002E-2</v>
      </c>
      <c r="K599" s="28" t="s">
        <v>971</v>
      </c>
      <c r="L599" s="31">
        <v>42979</v>
      </c>
      <c r="M599" s="28">
        <v>9</v>
      </c>
      <c r="N599" s="32" t="s">
        <v>191</v>
      </c>
      <c r="O599" s="28" t="s">
        <v>244</v>
      </c>
      <c r="P599" s="28" t="s">
        <v>1845</v>
      </c>
      <c r="Q599" s="28" t="s">
        <v>1846</v>
      </c>
      <c r="R599" s="28" t="s">
        <v>1847</v>
      </c>
    </row>
    <row r="600" spans="1:18" hidden="1">
      <c r="A600" s="28">
        <v>5</v>
      </c>
      <c r="B600" s="29" t="s">
        <v>349</v>
      </c>
      <c r="C600" s="29" t="s">
        <v>355</v>
      </c>
      <c r="D600" s="29" t="s">
        <v>356</v>
      </c>
      <c r="E600" s="29" t="s">
        <v>172</v>
      </c>
      <c r="F600" s="28" t="s">
        <v>969</v>
      </c>
      <c r="G600" s="28" t="s">
        <v>975</v>
      </c>
      <c r="H600" s="28" t="s">
        <v>384</v>
      </c>
      <c r="I600" s="28">
        <v>12</v>
      </c>
      <c r="J600" s="30">
        <v>2.3E-2</v>
      </c>
      <c r="K600" s="28" t="s">
        <v>212</v>
      </c>
      <c r="L600" s="31">
        <v>43313</v>
      </c>
      <c r="M600" s="28">
        <v>8</v>
      </c>
      <c r="N600" s="32" t="s">
        <v>184</v>
      </c>
      <c r="O600" s="28" t="s">
        <v>204</v>
      </c>
      <c r="P600" s="28" t="s">
        <v>1848</v>
      </c>
      <c r="Q600" s="28" t="s">
        <v>1849</v>
      </c>
      <c r="R600" s="28" t="s">
        <v>1850</v>
      </c>
    </row>
    <row r="601" spans="1:18" hidden="1">
      <c r="A601" s="28">
        <v>5</v>
      </c>
      <c r="B601" s="29" t="s">
        <v>349</v>
      </c>
      <c r="C601" s="29" t="s">
        <v>355</v>
      </c>
      <c r="D601" s="29" t="s">
        <v>356</v>
      </c>
      <c r="E601" s="29" t="s">
        <v>172</v>
      </c>
      <c r="F601" s="28" t="s">
        <v>969</v>
      </c>
      <c r="G601" s="28" t="s">
        <v>1007</v>
      </c>
      <c r="H601" s="28" t="s">
        <v>174</v>
      </c>
      <c r="I601" s="28" t="s">
        <v>174</v>
      </c>
      <c r="J601" s="30" t="s">
        <v>174</v>
      </c>
      <c r="K601" s="28" t="s">
        <v>278</v>
      </c>
      <c r="L601" s="31">
        <v>43525</v>
      </c>
      <c r="M601" s="28">
        <v>3</v>
      </c>
      <c r="N601" s="32" t="s">
        <v>191</v>
      </c>
      <c r="O601" s="28" t="s">
        <v>204</v>
      </c>
      <c r="P601" s="28" t="s">
        <v>1851</v>
      </c>
      <c r="Q601" s="28" t="s">
        <v>1852</v>
      </c>
      <c r="R601" s="28" t="s">
        <v>1853</v>
      </c>
    </row>
    <row r="602" spans="1:18" hidden="1">
      <c r="A602" s="28">
        <v>5</v>
      </c>
      <c r="B602" s="29" t="s">
        <v>349</v>
      </c>
      <c r="C602" s="29" t="s">
        <v>355</v>
      </c>
      <c r="D602" s="29" t="s">
        <v>356</v>
      </c>
      <c r="E602" s="29" t="s">
        <v>172</v>
      </c>
      <c r="F602" s="28" t="s">
        <v>969</v>
      </c>
      <c r="G602" s="28" t="s">
        <v>1000</v>
      </c>
      <c r="H602" s="28" t="s">
        <v>384</v>
      </c>
      <c r="I602" s="28">
        <v>9</v>
      </c>
      <c r="J602" s="30">
        <v>3.4000000000000002E-2</v>
      </c>
      <c r="K602" s="28" t="s">
        <v>278</v>
      </c>
      <c r="L602" s="31">
        <v>43525</v>
      </c>
      <c r="M602" s="28">
        <v>3</v>
      </c>
      <c r="N602" s="32" t="s">
        <v>191</v>
      </c>
      <c r="O602" s="28" t="s">
        <v>1060</v>
      </c>
      <c r="P602" s="28" t="s">
        <v>1854</v>
      </c>
      <c r="Q602" s="28" t="s">
        <v>1855</v>
      </c>
      <c r="R602" s="28" t="s">
        <v>1856</v>
      </c>
    </row>
    <row r="603" spans="1:18" hidden="1">
      <c r="A603" s="28">
        <v>5</v>
      </c>
      <c r="B603" s="29" t="s">
        <v>349</v>
      </c>
      <c r="C603" s="29" t="s">
        <v>355</v>
      </c>
      <c r="D603" s="29" t="s">
        <v>356</v>
      </c>
      <c r="E603" s="29" t="s">
        <v>172</v>
      </c>
      <c r="F603" s="28" t="s">
        <v>969</v>
      </c>
      <c r="G603" s="28" t="s">
        <v>1000</v>
      </c>
      <c r="H603" s="28" t="s">
        <v>384</v>
      </c>
      <c r="I603" s="28">
        <v>9</v>
      </c>
      <c r="J603" s="30">
        <v>3.4000000000000002E-2</v>
      </c>
      <c r="K603" s="28" t="s">
        <v>442</v>
      </c>
      <c r="L603" s="31">
        <v>43647</v>
      </c>
      <c r="M603" s="28">
        <v>7</v>
      </c>
      <c r="N603" s="32" t="s">
        <v>184</v>
      </c>
      <c r="O603" s="28" t="s">
        <v>1060</v>
      </c>
      <c r="P603" s="28" t="s">
        <v>1857</v>
      </c>
      <c r="Q603" s="28" t="s">
        <v>1855</v>
      </c>
      <c r="R603" s="28" t="s">
        <v>1856</v>
      </c>
    </row>
    <row r="604" spans="1:18" hidden="1">
      <c r="A604" s="28">
        <v>5</v>
      </c>
      <c r="B604" s="29" t="s">
        <v>349</v>
      </c>
      <c r="C604" s="29" t="s">
        <v>355</v>
      </c>
      <c r="D604" s="29" t="s">
        <v>356</v>
      </c>
      <c r="E604" s="29" t="s">
        <v>172</v>
      </c>
      <c r="F604" s="28" t="s">
        <v>969</v>
      </c>
      <c r="G604" s="28" t="s">
        <v>970</v>
      </c>
      <c r="H604" s="28" t="s">
        <v>384</v>
      </c>
      <c r="I604" s="28">
        <v>5</v>
      </c>
      <c r="J604" s="30">
        <v>4.9000000000000002E-2</v>
      </c>
      <c r="K604" s="28" t="s">
        <v>823</v>
      </c>
      <c r="L604" s="31">
        <v>44136</v>
      </c>
      <c r="M604" s="28">
        <v>11</v>
      </c>
      <c r="N604" s="32" t="s">
        <v>191</v>
      </c>
      <c r="O604" s="28" t="s">
        <v>794</v>
      </c>
      <c r="P604" s="28" t="s">
        <v>1858</v>
      </c>
      <c r="Q604" s="28" t="s">
        <v>1859</v>
      </c>
      <c r="R604" s="28" t="s">
        <v>1200</v>
      </c>
    </row>
    <row r="605" spans="1:18" hidden="1">
      <c r="A605" s="28">
        <v>5</v>
      </c>
      <c r="B605" s="29" t="s">
        <v>349</v>
      </c>
      <c r="C605" s="29" t="s">
        <v>355</v>
      </c>
      <c r="D605" s="29" t="s">
        <v>360</v>
      </c>
      <c r="E605" s="29" t="s">
        <v>172</v>
      </c>
      <c r="F605" s="28" t="s">
        <v>969</v>
      </c>
      <c r="G605" s="28" t="s">
        <v>1380</v>
      </c>
      <c r="H605" s="28" t="s">
        <v>174</v>
      </c>
      <c r="I605" s="28" t="s">
        <v>174</v>
      </c>
      <c r="J605" s="30" t="s">
        <v>174</v>
      </c>
      <c r="K605" s="28" t="s">
        <v>485</v>
      </c>
      <c r="L605" s="31">
        <v>42401</v>
      </c>
      <c r="M605" s="28">
        <v>2</v>
      </c>
      <c r="N605" s="32" t="s">
        <v>176</v>
      </c>
      <c r="O605" s="28" t="s">
        <v>185</v>
      </c>
      <c r="P605" s="28" t="s">
        <v>1860</v>
      </c>
      <c r="Q605" s="28" t="s">
        <v>1861</v>
      </c>
      <c r="R605" s="28" t="s">
        <v>1862</v>
      </c>
    </row>
    <row r="606" spans="1:18" hidden="1">
      <c r="A606" s="28">
        <v>5</v>
      </c>
      <c r="B606" s="29" t="s">
        <v>349</v>
      </c>
      <c r="C606" s="29" t="s">
        <v>355</v>
      </c>
      <c r="D606" s="29" t="s">
        <v>360</v>
      </c>
      <c r="E606" s="29" t="s">
        <v>172</v>
      </c>
      <c r="F606" s="28" t="s">
        <v>969</v>
      </c>
      <c r="G606" s="28" t="s">
        <v>1380</v>
      </c>
      <c r="H606" s="28" t="s">
        <v>174</v>
      </c>
      <c r="I606" s="28" t="s">
        <v>174</v>
      </c>
      <c r="J606" s="30" t="s">
        <v>174</v>
      </c>
      <c r="K606" s="28" t="s">
        <v>489</v>
      </c>
      <c r="L606" s="31">
        <v>42491</v>
      </c>
      <c r="M606" s="28">
        <v>5</v>
      </c>
      <c r="N606" s="32" t="s">
        <v>191</v>
      </c>
      <c r="O606" s="28" t="s">
        <v>185</v>
      </c>
      <c r="P606" s="28" t="s">
        <v>1863</v>
      </c>
      <c r="Q606" s="28" t="s">
        <v>1864</v>
      </c>
      <c r="R606" s="28" t="s">
        <v>1862</v>
      </c>
    </row>
    <row r="607" spans="1:18" hidden="1">
      <c r="A607" s="28">
        <v>5</v>
      </c>
      <c r="B607" s="29" t="s">
        <v>349</v>
      </c>
      <c r="C607" s="29" t="s">
        <v>355</v>
      </c>
      <c r="D607" s="29" t="s">
        <v>360</v>
      </c>
      <c r="E607" s="29" t="s">
        <v>172</v>
      </c>
      <c r="F607" s="28" t="s">
        <v>969</v>
      </c>
      <c r="G607" s="28" t="s">
        <v>1364</v>
      </c>
      <c r="H607" s="28" t="s">
        <v>174</v>
      </c>
      <c r="I607" s="28" t="s">
        <v>174</v>
      </c>
      <c r="J607" s="30" t="s">
        <v>174</v>
      </c>
      <c r="K607" s="28" t="s">
        <v>1865</v>
      </c>
      <c r="L607" s="31">
        <v>42826</v>
      </c>
      <c r="M607" s="28">
        <v>4</v>
      </c>
      <c r="N607" s="32" t="s">
        <v>191</v>
      </c>
      <c r="O607" s="28" t="s">
        <v>1060</v>
      </c>
      <c r="P607" s="28" t="s">
        <v>1866</v>
      </c>
      <c r="Q607" s="28" t="s">
        <v>1867</v>
      </c>
      <c r="R607" s="28" t="s">
        <v>1868</v>
      </c>
    </row>
    <row r="608" spans="1:18" hidden="1">
      <c r="A608" s="28">
        <v>5</v>
      </c>
      <c r="B608" s="29" t="s">
        <v>349</v>
      </c>
      <c r="C608" s="29" t="s">
        <v>355</v>
      </c>
      <c r="D608" s="29" t="s">
        <v>360</v>
      </c>
      <c r="E608" s="29" t="s">
        <v>172</v>
      </c>
      <c r="F608" s="28" t="s">
        <v>969</v>
      </c>
      <c r="G608" s="28" t="s">
        <v>975</v>
      </c>
      <c r="H608" s="28" t="s">
        <v>384</v>
      </c>
      <c r="I608" s="28">
        <v>12</v>
      </c>
      <c r="J608" s="30">
        <v>2.3E-2</v>
      </c>
      <c r="K608" s="28" t="s">
        <v>971</v>
      </c>
      <c r="L608" s="31">
        <v>42979</v>
      </c>
      <c r="M608" s="28">
        <v>9</v>
      </c>
      <c r="N608" s="32" t="s">
        <v>191</v>
      </c>
      <c r="O608" s="28" t="s">
        <v>204</v>
      </c>
      <c r="P608" s="28" t="s">
        <v>1869</v>
      </c>
      <c r="Q608" s="28" t="s">
        <v>1870</v>
      </c>
      <c r="R608" s="28" t="s">
        <v>1871</v>
      </c>
    </row>
    <row r="609" spans="1:18" hidden="1">
      <c r="A609" s="28">
        <v>5</v>
      </c>
      <c r="B609" s="29" t="s">
        <v>349</v>
      </c>
      <c r="C609" s="29" t="s">
        <v>355</v>
      </c>
      <c r="D609" s="29" t="s">
        <v>360</v>
      </c>
      <c r="E609" s="29" t="s">
        <v>172</v>
      </c>
      <c r="F609" s="28" t="s">
        <v>969</v>
      </c>
      <c r="G609" s="28" t="s">
        <v>975</v>
      </c>
      <c r="H609" s="28" t="s">
        <v>384</v>
      </c>
      <c r="I609" s="28">
        <v>12</v>
      </c>
      <c r="J609" s="30">
        <v>2.3E-2</v>
      </c>
      <c r="K609" s="28" t="s">
        <v>844</v>
      </c>
      <c r="L609" s="31">
        <v>43586</v>
      </c>
      <c r="M609" s="28">
        <v>5</v>
      </c>
      <c r="N609" s="32" t="s">
        <v>191</v>
      </c>
      <c r="O609" s="28" t="s">
        <v>204</v>
      </c>
      <c r="P609" s="28" t="s">
        <v>1872</v>
      </c>
      <c r="Q609" s="28" t="s">
        <v>1873</v>
      </c>
      <c r="R609" s="28" t="s">
        <v>1874</v>
      </c>
    </row>
    <row r="610" spans="1:18" hidden="1">
      <c r="A610" s="28">
        <v>5</v>
      </c>
      <c r="B610" s="29" t="s">
        <v>349</v>
      </c>
      <c r="C610" s="29" t="s">
        <v>761</v>
      </c>
      <c r="D610" s="29" t="s">
        <v>768</v>
      </c>
      <c r="E610" s="29" t="s">
        <v>172</v>
      </c>
      <c r="F610" s="28" t="s">
        <v>969</v>
      </c>
      <c r="G610" s="28" t="s">
        <v>970</v>
      </c>
      <c r="H610" s="28" t="s">
        <v>384</v>
      </c>
      <c r="I610" s="28">
        <v>5</v>
      </c>
      <c r="J610" s="30">
        <v>4.9000000000000002E-2</v>
      </c>
      <c r="K610" s="28" t="s">
        <v>651</v>
      </c>
      <c r="L610" s="31">
        <v>42644</v>
      </c>
      <c r="M610" s="28">
        <v>10</v>
      </c>
      <c r="N610" s="32" t="s">
        <v>191</v>
      </c>
      <c r="O610" s="28" t="s">
        <v>1060</v>
      </c>
      <c r="P610" s="28" t="s">
        <v>1875</v>
      </c>
      <c r="Q610" s="28" t="s">
        <v>1876</v>
      </c>
      <c r="R610" s="28" t="s">
        <v>1877</v>
      </c>
    </row>
    <row r="611" spans="1:18" hidden="1">
      <c r="A611" s="28">
        <v>6</v>
      </c>
      <c r="B611" s="29" t="s">
        <v>365</v>
      </c>
      <c r="C611" s="29" t="s">
        <v>366</v>
      </c>
      <c r="D611" s="29" t="s">
        <v>367</v>
      </c>
      <c r="E611" s="29" t="s">
        <v>172</v>
      </c>
      <c r="F611" s="28" t="s">
        <v>969</v>
      </c>
      <c r="G611" s="28" t="s">
        <v>1000</v>
      </c>
      <c r="H611" s="28" t="s">
        <v>384</v>
      </c>
      <c r="I611" s="28">
        <v>9</v>
      </c>
      <c r="J611" s="30">
        <v>3.4000000000000002E-2</v>
      </c>
      <c r="K611" s="28" t="s">
        <v>257</v>
      </c>
      <c r="L611" s="31">
        <v>42552</v>
      </c>
      <c r="M611" s="28">
        <v>7</v>
      </c>
      <c r="N611" s="32" t="s">
        <v>184</v>
      </c>
      <c r="O611" s="28" t="s">
        <v>1060</v>
      </c>
      <c r="P611" s="28" t="s">
        <v>1878</v>
      </c>
      <c r="Q611" s="28" t="s">
        <v>1879</v>
      </c>
      <c r="R611" s="28" t="s">
        <v>1265</v>
      </c>
    </row>
    <row r="612" spans="1:18" hidden="1">
      <c r="A612" s="28">
        <v>6</v>
      </c>
      <c r="B612" s="29" t="s">
        <v>365</v>
      </c>
      <c r="C612" s="29" t="s">
        <v>366</v>
      </c>
      <c r="D612" s="29" t="s">
        <v>367</v>
      </c>
      <c r="E612" s="29" t="s">
        <v>172</v>
      </c>
      <c r="F612" s="28" t="s">
        <v>969</v>
      </c>
      <c r="G612" s="28" t="s">
        <v>1007</v>
      </c>
      <c r="H612" s="28" t="s">
        <v>174</v>
      </c>
      <c r="I612" s="28" t="s">
        <v>174</v>
      </c>
      <c r="J612" s="30" t="s">
        <v>174</v>
      </c>
      <c r="K612" s="28" t="s">
        <v>267</v>
      </c>
      <c r="L612" s="31">
        <v>42583</v>
      </c>
      <c r="M612" s="28">
        <v>8</v>
      </c>
      <c r="N612" s="32" t="s">
        <v>184</v>
      </c>
      <c r="O612" s="28" t="s">
        <v>185</v>
      </c>
      <c r="P612" s="28" t="s">
        <v>1880</v>
      </c>
      <c r="Q612" s="28" t="s">
        <v>1881</v>
      </c>
      <c r="R612" s="28" t="s">
        <v>1265</v>
      </c>
    </row>
    <row r="613" spans="1:18" hidden="1">
      <c r="A613" s="28">
        <v>6</v>
      </c>
      <c r="B613" s="29" t="s">
        <v>365</v>
      </c>
      <c r="C613" s="29" t="s">
        <v>366</v>
      </c>
      <c r="D613" s="29" t="s">
        <v>367</v>
      </c>
      <c r="E613" s="29" t="s">
        <v>172</v>
      </c>
      <c r="F613" s="28" t="s">
        <v>969</v>
      </c>
      <c r="G613" s="28" t="s">
        <v>1007</v>
      </c>
      <c r="H613" s="28" t="s">
        <v>174</v>
      </c>
      <c r="I613" s="28" t="s">
        <v>174</v>
      </c>
      <c r="J613" s="30" t="s">
        <v>174</v>
      </c>
      <c r="K613" s="28" t="s">
        <v>473</v>
      </c>
      <c r="L613" s="31">
        <v>43160</v>
      </c>
      <c r="M613" s="28">
        <v>3</v>
      </c>
      <c r="N613" s="32" t="s">
        <v>191</v>
      </c>
      <c r="O613" s="28" t="s">
        <v>177</v>
      </c>
      <c r="P613" s="28" t="s">
        <v>1882</v>
      </c>
      <c r="Q613" s="28" t="s">
        <v>1883</v>
      </c>
      <c r="R613" s="28" t="s">
        <v>1884</v>
      </c>
    </row>
    <row r="614" spans="1:18" hidden="1">
      <c r="A614" s="28">
        <v>6</v>
      </c>
      <c r="B614" s="29" t="s">
        <v>365</v>
      </c>
      <c r="C614" s="29" t="s">
        <v>366</v>
      </c>
      <c r="D614" s="29" t="s">
        <v>367</v>
      </c>
      <c r="E614" s="29" t="s">
        <v>172</v>
      </c>
      <c r="F614" s="28" t="s">
        <v>969</v>
      </c>
      <c r="G614" s="28" t="s">
        <v>970</v>
      </c>
      <c r="H614" s="28" t="s">
        <v>384</v>
      </c>
      <c r="I614" s="28">
        <v>5</v>
      </c>
      <c r="J614" s="30">
        <v>4.9000000000000002E-2</v>
      </c>
      <c r="K614" s="28" t="s">
        <v>328</v>
      </c>
      <c r="L614" s="31">
        <v>43891</v>
      </c>
      <c r="M614" s="28">
        <v>3</v>
      </c>
      <c r="N614" s="32" t="s">
        <v>191</v>
      </c>
      <c r="O614" s="28" t="s">
        <v>185</v>
      </c>
      <c r="P614" s="28" t="s">
        <v>1885</v>
      </c>
      <c r="Q614" s="28" t="s">
        <v>1886</v>
      </c>
      <c r="R614" s="28" t="s">
        <v>1265</v>
      </c>
    </row>
    <row r="615" spans="1:18" hidden="1">
      <c r="A615" s="28">
        <v>6</v>
      </c>
      <c r="B615" s="29" t="s">
        <v>365</v>
      </c>
      <c r="C615" s="29" t="s">
        <v>366</v>
      </c>
      <c r="D615" s="29" t="s">
        <v>1887</v>
      </c>
      <c r="E615" s="29" t="s">
        <v>172</v>
      </c>
      <c r="F615" s="28" t="s">
        <v>969</v>
      </c>
      <c r="G615" s="28" t="s">
        <v>1380</v>
      </c>
      <c r="H615" s="28" t="s">
        <v>174</v>
      </c>
      <c r="I615" s="28" t="s">
        <v>174</v>
      </c>
      <c r="J615" s="30" t="s">
        <v>174</v>
      </c>
      <c r="K615" s="28" t="s">
        <v>257</v>
      </c>
      <c r="L615" s="31">
        <v>42552</v>
      </c>
      <c r="M615" s="28">
        <v>7</v>
      </c>
      <c r="N615" s="32" t="s">
        <v>184</v>
      </c>
      <c r="O615" s="28" t="s">
        <v>1060</v>
      </c>
      <c r="P615" s="28" t="s">
        <v>1888</v>
      </c>
      <c r="Q615" s="28" t="s">
        <v>1889</v>
      </c>
      <c r="R615" s="28" t="s">
        <v>1890</v>
      </c>
    </row>
    <row r="616" spans="1:18" hidden="1">
      <c r="A616" s="28">
        <v>6</v>
      </c>
      <c r="B616" s="29" t="s">
        <v>365</v>
      </c>
      <c r="C616" s="29" t="s">
        <v>366</v>
      </c>
      <c r="D616" s="29" t="s">
        <v>1887</v>
      </c>
      <c r="E616" s="29" t="s">
        <v>172</v>
      </c>
      <c r="F616" s="28" t="s">
        <v>969</v>
      </c>
      <c r="G616" s="28" t="s">
        <v>970</v>
      </c>
      <c r="H616" s="28" t="s">
        <v>384</v>
      </c>
      <c r="I616" s="28">
        <v>5</v>
      </c>
      <c r="J616" s="30">
        <v>4.9000000000000002E-2</v>
      </c>
      <c r="K616" s="28" t="s">
        <v>335</v>
      </c>
      <c r="L616" s="31">
        <v>42614</v>
      </c>
      <c r="M616" s="28">
        <v>9</v>
      </c>
      <c r="N616" s="32" t="s">
        <v>191</v>
      </c>
      <c r="O616" s="28" t="s">
        <v>185</v>
      </c>
      <c r="P616" s="28" t="s">
        <v>1891</v>
      </c>
      <c r="Q616" s="28" t="s">
        <v>1892</v>
      </c>
      <c r="R616" s="28" t="s">
        <v>1309</v>
      </c>
    </row>
    <row r="617" spans="1:18" hidden="1">
      <c r="A617" s="28">
        <v>6</v>
      </c>
      <c r="B617" s="29" t="s">
        <v>365</v>
      </c>
      <c r="C617" s="29" t="s">
        <v>366</v>
      </c>
      <c r="D617" s="29" t="s">
        <v>1887</v>
      </c>
      <c r="E617" s="29" t="s">
        <v>172</v>
      </c>
      <c r="F617" s="28" t="s">
        <v>969</v>
      </c>
      <c r="G617" s="28" t="s">
        <v>970</v>
      </c>
      <c r="H617" s="28" t="s">
        <v>384</v>
      </c>
      <c r="I617" s="28">
        <v>5</v>
      </c>
      <c r="J617" s="30">
        <v>4.9000000000000002E-2</v>
      </c>
      <c r="K617" s="28" t="s">
        <v>271</v>
      </c>
      <c r="L617" s="31">
        <v>42856</v>
      </c>
      <c r="M617" s="28">
        <v>5</v>
      </c>
      <c r="N617" s="32" t="s">
        <v>191</v>
      </c>
      <c r="O617" s="28" t="s">
        <v>244</v>
      </c>
      <c r="P617" s="28" t="s">
        <v>1893</v>
      </c>
      <c r="Q617" s="28" t="s">
        <v>1894</v>
      </c>
      <c r="R617" s="28" t="s">
        <v>1895</v>
      </c>
    </row>
    <row r="618" spans="1:18" hidden="1">
      <c r="A618" s="28">
        <v>6</v>
      </c>
      <c r="B618" s="29" t="s">
        <v>365</v>
      </c>
      <c r="C618" s="29" t="s">
        <v>366</v>
      </c>
      <c r="D618" s="29" t="s">
        <v>1887</v>
      </c>
      <c r="E618" s="29" t="s">
        <v>172</v>
      </c>
      <c r="F618" s="28" t="s">
        <v>969</v>
      </c>
      <c r="G618" s="28" t="s">
        <v>1000</v>
      </c>
      <c r="H618" s="28" t="s">
        <v>384</v>
      </c>
      <c r="I618" s="28">
        <v>9</v>
      </c>
      <c r="J618" s="30">
        <v>3.4000000000000002E-2</v>
      </c>
      <c r="K618" s="28" t="s">
        <v>1896</v>
      </c>
      <c r="L618" s="31">
        <v>43132</v>
      </c>
      <c r="M618" s="28">
        <v>2</v>
      </c>
      <c r="N618" s="32" t="s">
        <v>176</v>
      </c>
      <c r="O618" s="28" t="s">
        <v>1060</v>
      </c>
      <c r="P618" s="28" t="s">
        <v>1897</v>
      </c>
      <c r="Q618" s="28" t="s">
        <v>1898</v>
      </c>
      <c r="R618" s="28" t="s">
        <v>1275</v>
      </c>
    </row>
    <row r="619" spans="1:18" hidden="1">
      <c r="A619" s="28">
        <v>6</v>
      </c>
      <c r="B619" s="29" t="s">
        <v>365</v>
      </c>
      <c r="C619" s="29" t="s">
        <v>366</v>
      </c>
      <c r="D619" s="29" t="s">
        <v>1887</v>
      </c>
      <c r="E619" s="29" t="s">
        <v>172</v>
      </c>
      <c r="F619" s="28" t="s">
        <v>969</v>
      </c>
      <c r="G619" s="28" t="s">
        <v>970</v>
      </c>
      <c r="H619" s="28" t="s">
        <v>384</v>
      </c>
      <c r="I619" s="28">
        <v>5</v>
      </c>
      <c r="J619" s="30">
        <v>4.9000000000000002E-2</v>
      </c>
      <c r="K619" s="28" t="s">
        <v>475</v>
      </c>
      <c r="L619" s="31">
        <v>43191</v>
      </c>
      <c r="M619" s="28">
        <v>4</v>
      </c>
      <c r="N619" s="32" t="s">
        <v>191</v>
      </c>
      <c r="O619" s="28" t="s">
        <v>185</v>
      </c>
      <c r="P619" s="28" t="s">
        <v>1899</v>
      </c>
      <c r="Q619" s="28" t="s">
        <v>1328</v>
      </c>
      <c r="R619" s="28" t="s">
        <v>1900</v>
      </c>
    </row>
    <row r="620" spans="1:18" hidden="1">
      <c r="A620" s="28">
        <v>6</v>
      </c>
      <c r="B620" s="29" t="s">
        <v>365</v>
      </c>
      <c r="C620" s="29" t="s">
        <v>366</v>
      </c>
      <c r="D620" s="29" t="s">
        <v>1887</v>
      </c>
      <c r="E620" s="29" t="s">
        <v>172</v>
      </c>
      <c r="F620" s="28" t="s">
        <v>969</v>
      </c>
      <c r="G620" s="28" t="s">
        <v>970</v>
      </c>
      <c r="H620" s="28" t="s">
        <v>384</v>
      </c>
      <c r="I620" s="28">
        <v>5</v>
      </c>
      <c r="J620" s="30">
        <v>4.9000000000000002E-2</v>
      </c>
      <c r="K620" s="28" t="s">
        <v>405</v>
      </c>
      <c r="L620" s="31">
        <v>43221</v>
      </c>
      <c r="M620" s="28">
        <v>5</v>
      </c>
      <c r="N620" s="32" t="s">
        <v>191</v>
      </c>
      <c r="O620" s="28" t="s">
        <v>185</v>
      </c>
      <c r="P620" s="28" t="s">
        <v>1901</v>
      </c>
      <c r="Q620" s="28" t="s">
        <v>1886</v>
      </c>
      <c r="R620" s="28" t="s">
        <v>1265</v>
      </c>
    </row>
    <row r="621" spans="1:18" hidden="1">
      <c r="A621" s="28">
        <v>6</v>
      </c>
      <c r="B621" s="29" t="s">
        <v>365</v>
      </c>
      <c r="C621" s="29" t="s">
        <v>366</v>
      </c>
      <c r="D621" s="29" t="s">
        <v>1887</v>
      </c>
      <c r="E621" s="29" t="s">
        <v>172</v>
      </c>
      <c r="F621" s="28" t="s">
        <v>969</v>
      </c>
      <c r="G621" s="28" t="s">
        <v>1000</v>
      </c>
      <c r="H621" s="28" t="s">
        <v>384</v>
      </c>
      <c r="I621" s="28">
        <v>9</v>
      </c>
      <c r="J621" s="30">
        <v>3.4000000000000002E-2</v>
      </c>
      <c r="K621" s="28" t="s">
        <v>278</v>
      </c>
      <c r="L621" s="31">
        <v>43525</v>
      </c>
      <c r="M621" s="28">
        <v>3</v>
      </c>
      <c r="N621" s="32" t="s">
        <v>191</v>
      </c>
      <c r="O621" s="28" t="s">
        <v>185</v>
      </c>
      <c r="P621" s="28" t="s">
        <v>1902</v>
      </c>
      <c r="Q621" s="28" t="s">
        <v>1903</v>
      </c>
      <c r="R621" s="28" t="s">
        <v>1904</v>
      </c>
    </row>
    <row r="622" spans="1:18" hidden="1">
      <c r="A622" s="28">
        <v>6</v>
      </c>
      <c r="B622" s="29" t="s">
        <v>365</v>
      </c>
      <c r="C622" s="29" t="s">
        <v>366</v>
      </c>
      <c r="D622" s="29" t="s">
        <v>1887</v>
      </c>
      <c r="E622" s="29" t="s">
        <v>172</v>
      </c>
      <c r="F622" s="28" t="s">
        <v>969</v>
      </c>
      <c r="G622" s="28" t="s">
        <v>1000</v>
      </c>
      <c r="H622" s="28" t="s">
        <v>384</v>
      </c>
      <c r="I622" s="28">
        <v>9</v>
      </c>
      <c r="J622" s="30">
        <v>3.4000000000000002E-2</v>
      </c>
      <c r="K622" s="28" t="s">
        <v>411</v>
      </c>
      <c r="L622" s="31">
        <v>43556</v>
      </c>
      <c r="M622" s="28">
        <v>4</v>
      </c>
      <c r="N622" s="32" t="s">
        <v>191</v>
      </c>
      <c r="O622" s="28" t="s">
        <v>204</v>
      </c>
      <c r="P622" s="28" t="s">
        <v>1905</v>
      </c>
      <c r="Q622" s="28" t="s">
        <v>1906</v>
      </c>
      <c r="R622" s="28" t="s">
        <v>1334</v>
      </c>
    </row>
    <row r="623" spans="1:18" hidden="1">
      <c r="A623" s="28">
        <v>6</v>
      </c>
      <c r="B623" s="29" t="s">
        <v>365</v>
      </c>
      <c r="C623" s="29" t="s">
        <v>366</v>
      </c>
      <c r="D623" s="29" t="s">
        <v>1887</v>
      </c>
      <c r="E623" s="29" t="s">
        <v>172</v>
      </c>
      <c r="F623" s="28" t="s">
        <v>969</v>
      </c>
      <c r="G623" s="28" t="s">
        <v>970</v>
      </c>
      <c r="H623" s="28" t="s">
        <v>384</v>
      </c>
      <c r="I623" s="28">
        <v>5</v>
      </c>
      <c r="J623" s="30">
        <v>4.9000000000000002E-2</v>
      </c>
      <c r="K623" s="28" t="s">
        <v>844</v>
      </c>
      <c r="L623" s="31">
        <v>43586</v>
      </c>
      <c r="M623" s="28">
        <v>5</v>
      </c>
      <c r="N623" s="32" t="s">
        <v>191</v>
      </c>
      <c r="O623" s="28" t="s">
        <v>185</v>
      </c>
      <c r="P623" s="28" t="s">
        <v>1907</v>
      </c>
      <c r="Q623" s="28" t="s">
        <v>1908</v>
      </c>
      <c r="R623" s="28" t="s">
        <v>1895</v>
      </c>
    </row>
    <row r="624" spans="1:18" hidden="1">
      <c r="A624" s="28">
        <v>6</v>
      </c>
      <c r="B624" s="29" t="s">
        <v>365</v>
      </c>
      <c r="C624" s="29" t="s">
        <v>366</v>
      </c>
      <c r="D624" s="29" t="s">
        <v>1887</v>
      </c>
      <c r="E624" s="29" t="s">
        <v>172</v>
      </c>
      <c r="F624" s="28" t="s">
        <v>969</v>
      </c>
      <c r="G624" s="28" t="s">
        <v>970</v>
      </c>
      <c r="H624" s="28" t="s">
        <v>384</v>
      </c>
      <c r="I624" s="28">
        <v>5</v>
      </c>
      <c r="J624" s="30">
        <v>4.9000000000000002E-2</v>
      </c>
      <c r="K624" s="28" t="s">
        <v>397</v>
      </c>
      <c r="L624" s="31">
        <v>43739</v>
      </c>
      <c r="M624" s="28">
        <v>10</v>
      </c>
      <c r="N624" s="32" t="s">
        <v>191</v>
      </c>
      <c r="O624" s="28" t="s">
        <v>185</v>
      </c>
      <c r="P624" s="28" t="s">
        <v>1909</v>
      </c>
      <c r="Q624" s="28" t="s">
        <v>1910</v>
      </c>
      <c r="R624" s="28" t="s">
        <v>1900</v>
      </c>
    </row>
    <row r="625" spans="1:18" hidden="1">
      <c r="A625" s="28">
        <v>6</v>
      </c>
      <c r="B625" s="29" t="s">
        <v>365</v>
      </c>
      <c r="C625" s="29" t="s">
        <v>366</v>
      </c>
      <c r="D625" s="29" t="s">
        <v>1887</v>
      </c>
      <c r="E625" s="29" t="s">
        <v>172</v>
      </c>
      <c r="F625" s="28" t="s">
        <v>969</v>
      </c>
      <c r="G625" s="28" t="s">
        <v>970</v>
      </c>
      <c r="H625" s="28" t="s">
        <v>384</v>
      </c>
      <c r="I625" s="28">
        <v>5</v>
      </c>
      <c r="J625" s="30">
        <v>4.9000000000000002E-2</v>
      </c>
      <c r="K625" s="28" t="s">
        <v>328</v>
      </c>
      <c r="L625" s="31">
        <v>43891</v>
      </c>
      <c r="M625" s="28">
        <v>3</v>
      </c>
      <c r="N625" s="32" t="s">
        <v>191</v>
      </c>
      <c r="O625" s="28" t="s">
        <v>185</v>
      </c>
      <c r="P625" s="28" t="s">
        <v>1911</v>
      </c>
      <c r="Q625" s="28" t="s">
        <v>1912</v>
      </c>
      <c r="R625" s="28" t="s">
        <v>1265</v>
      </c>
    </row>
    <row r="626" spans="1:18" hidden="1">
      <c r="A626" s="28">
        <v>6</v>
      </c>
      <c r="B626" s="29" t="s">
        <v>365</v>
      </c>
      <c r="C626" s="29" t="s">
        <v>366</v>
      </c>
      <c r="D626" s="29" t="s">
        <v>1887</v>
      </c>
      <c r="E626" s="29" t="s">
        <v>172</v>
      </c>
      <c r="F626" s="28" t="s">
        <v>969</v>
      </c>
      <c r="G626" s="28" t="s">
        <v>970</v>
      </c>
      <c r="H626" s="28" t="s">
        <v>384</v>
      </c>
      <c r="I626" s="28">
        <v>5</v>
      </c>
      <c r="J626" s="30">
        <v>4.9000000000000002E-2</v>
      </c>
      <c r="K626" s="28" t="s">
        <v>643</v>
      </c>
      <c r="L626" s="31">
        <v>44013</v>
      </c>
      <c r="M626" s="28">
        <v>7</v>
      </c>
      <c r="N626" s="32" t="s">
        <v>184</v>
      </c>
      <c r="O626" s="28" t="s">
        <v>185</v>
      </c>
      <c r="P626" s="28" t="s">
        <v>1913</v>
      </c>
      <c r="Q626" s="28" t="s">
        <v>1886</v>
      </c>
      <c r="R626" s="28" t="s">
        <v>1265</v>
      </c>
    </row>
    <row r="627" spans="1:18" hidden="1">
      <c r="A627" s="28">
        <v>7</v>
      </c>
      <c r="B627" s="29" t="s">
        <v>776</v>
      </c>
      <c r="C627" s="29" t="s">
        <v>777</v>
      </c>
      <c r="D627" s="29" t="s">
        <v>1914</v>
      </c>
      <c r="E627" s="29" t="s">
        <v>172</v>
      </c>
      <c r="F627" s="28" t="s">
        <v>1245</v>
      </c>
      <c r="G627" s="28" t="s">
        <v>1000</v>
      </c>
      <c r="H627" s="28" t="s">
        <v>384</v>
      </c>
      <c r="I627" s="28">
        <v>9</v>
      </c>
      <c r="J627" s="30">
        <v>3.4000000000000002E-2</v>
      </c>
      <c r="K627" s="28" t="s">
        <v>248</v>
      </c>
      <c r="L627" s="31">
        <v>43070</v>
      </c>
      <c r="M627" s="28">
        <v>12</v>
      </c>
      <c r="N627" s="32" t="s">
        <v>176</v>
      </c>
      <c r="O627" s="28" t="s">
        <v>185</v>
      </c>
      <c r="P627" s="28" t="s">
        <v>1915</v>
      </c>
      <c r="Q627" s="28" t="s">
        <v>1051</v>
      </c>
      <c r="R627" s="28" t="s">
        <v>1319</v>
      </c>
    </row>
    <row r="628" spans="1:18" hidden="1">
      <c r="A628" s="28">
        <v>7</v>
      </c>
      <c r="B628" s="29" t="s">
        <v>776</v>
      </c>
      <c r="C628" s="29" t="s">
        <v>777</v>
      </c>
      <c r="D628" s="29" t="s">
        <v>1914</v>
      </c>
      <c r="E628" s="29" t="s">
        <v>172</v>
      </c>
      <c r="F628" s="28" t="s">
        <v>969</v>
      </c>
      <c r="G628" s="28" t="s">
        <v>1000</v>
      </c>
      <c r="H628" s="28" t="s">
        <v>384</v>
      </c>
      <c r="I628" s="28">
        <v>9</v>
      </c>
      <c r="J628" s="30">
        <v>3.4000000000000002E-2</v>
      </c>
      <c r="K628" s="28" t="s">
        <v>405</v>
      </c>
      <c r="L628" s="31">
        <v>43221</v>
      </c>
      <c r="M628" s="28">
        <v>5</v>
      </c>
      <c r="N628" s="32" t="s">
        <v>191</v>
      </c>
      <c r="O628" s="28" t="s">
        <v>1060</v>
      </c>
      <c r="P628" s="28" t="s">
        <v>1916</v>
      </c>
      <c r="Q628" s="28" t="s">
        <v>1917</v>
      </c>
      <c r="R628" s="28" t="s">
        <v>1319</v>
      </c>
    </row>
    <row r="629" spans="1:18" hidden="1">
      <c r="A629" s="28">
        <v>7</v>
      </c>
      <c r="B629" s="29" t="s">
        <v>776</v>
      </c>
      <c r="C629" s="29" t="s">
        <v>777</v>
      </c>
      <c r="D629" s="29" t="s">
        <v>1914</v>
      </c>
      <c r="E629" s="29" t="s">
        <v>172</v>
      </c>
      <c r="F629" s="28" t="s">
        <v>969</v>
      </c>
      <c r="G629" s="28" t="s">
        <v>1000</v>
      </c>
      <c r="H629" s="28" t="s">
        <v>384</v>
      </c>
      <c r="I629" s="28">
        <v>9</v>
      </c>
      <c r="J629" s="30">
        <v>3.4000000000000002E-2</v>
      </c>
      <c r="K629" s="28" t="s">
        <v>405</v>
      </c>
      <c r="L629" s="31">
        <v>43221</v>
      </c>
      <c r="M629" s="28">
        <v>5</v>
      </c>
      <c r="N629" s="32" t="s">
        <v>191</v>
      </c>
      <c r="O629" s="28" t="s">
        <v>185</v>
      </c>
      <c r="P629" s="28" t="s">
        <v>1918</v>
      </c>
      <c r="Q629" s="28" t="s">
        <v>1051</v>
      </c>
      <c r="R629" s="28" t="s">
        <v>1319</v>
      </c>
    </row>
    <row r="630" spans="1:18" hidden="1">
      <c r="A630" s="28">
        <v>7</v>
      </c>
      <c r="B630" s="29" t="s">
        <v>776</v>
      </c>
      <c r="C630" s="29" t="s">
        <v>777</v>
      </c>
      <c r="D630" s="29" t="s">
        <v>1914</v>
      </c>
      <c r="E630" s="29" t="s">
        <v>172</v>
      </c>
      <c r="F630" s="28" t="s">
        <v>969</v>
      </c>
      <c r="G630" s="28" t="s">
        <v>1000</v>
      </c>
      <c r="H630" s="28" t="s">
        <v>384</v>
      </c>
      <c r="I630" s="28">
        <v>9</v>
      </c>
      <c r="J630" s="30">
        <v>3.4000000000000002E-2</v>
      </c>
      <c r="K630" s="28" t="s">
        <v>962</v>
      </c>
      <c r="L630" s="31">
        <v>44348</v>
      </c>
      <c r="M630" s="28">
        <v>6</v>
      </c>
      <c r="N630" s="32" t="s">
        <v>184</v>
      </c>
      <c r="O630" s="28" t="s">
        <v>185</v>
      </c>
      <c r="P630" s="28" t="s">
        <v>1919</v>
      </c>
      <c r="Q630" s="28" t="s">
        <v>1051</v>
      </c>
      <c r="R630" s="28" t="s">
        <v>1319</v>
      </c>
    </row>
    <row r="631" spans="1:18" hidden="1">
      <c r="A631" s="28">
        <v>7</v>
      </c>
      <c r="B631" s="29" t="s">
        <v>776</v>
      </c>
      <c r="C631" s="29" t="s">
        <v>777</v>
      </c>
      <c r="D631" s="29" t="s">
        <v>778</v>
      </c>
      <c r="E631" s="29" t="s">
        <v>172</v>
      </c>
      <c r="F631" s="28" t="s">
        <v>969</v>
      </c>
      <c r="G631" s="28" t="s">
        <v>1000</v>
      </c>
      <c r="H631" s="28" t="s">
        <v>384</v>
      </c>
      <c r="I631" s="28">
        <v>9</v>
      </c>
      <c r="J631" s="30">
        <v>3.4000000000000002E-2</v>
      </c>
      <c r="K631" s="28" t="s">
        <v>243</v>
      </c>
      <c r="L631" s="31">
        <v>42461</v>
      </c>
      <c r="M631" s="28">
        <v>4</v>
      </c>
      <c r="N631" s="32" t="s">
        <v>191</v>
      </c>
      <c r="O631" s="28" t="s">
        <v>185</v>
      </c>
      <c r="P631" s="28" t="s">
        <v>1920</v>
      </c>
      <c r="Q631" s="28" t="s">
        <v>1051</v>
      </c>
      <c r="R631" s="28" t="s">
        <v>1265</v>
      </c>
    </row>
    <row r="632" spans="1:18" hidden="1">
      <c r="A632" s="28">
        <v>7</v>
      </c>
      <c r="B632" s="29" t="s">
        <v>776</v>
      </c>
      <c r="C632" s="29" t="s">
        <v>777</v>
      </c>
      <c r="D632" s="29" t="s">
        <v>778</v>
      </c>
      <c r="E632" s="29" t="s">
        <v>172</v>
      </c>
      <c r="F632" s="28" t="s">
        <v>1245</v>
      </c>
      <c r="G632" s="28" t="s">
        <v>1246</v>
      </c>
      <c r="H632" s="28" t="s">
        <v>174</v>
      </c>
      <c r="I632" s="28" t="s">
        <v>174</v>
      </c>
      <c r="J632" s="30" t="s">
        <v>174</v>
      </c>
      <c r="K632" s="28" t="s">
        <v>267</v>
      </c>
      <c r="L632" s="31">
        <v>42583</v>
      </c>
      <c r="M632" s="28">
        <v>8</v>
      </c>
      <c r="N632" s="32" t="s">
        <v>184</v>
      </c>
      <c r="O632" s="28" t="s">
        <v>185</v>
      </c>
      <c r="P632" s="28" t="s">
        <v>1921</v>
      </c>
      <c r="Q632" s="28" t="s">
        <v>1051</v>
      </c>
      <c r="R632" s="28" t="s">
        <v>1265</v>
      </c>
    </row>
    <row r="633" spans="1:18" hidden="1">
      <c r="A633" s="28">
        <v>7</v>
      </c>
      <c r="B633" s="29" t="s">
        <v>776</v>
      </c>
      <c r="C633" s="29" t="s">
        <v>777</v>
      </c>
      <c r="D633" s="29" t="s">
        <v>778</v>
      </c>
      <c r="E633" s="29" t="s">
        <v>172</v>
      </c>
      <c r="F633" s="28" t="s">
        <v>1245</v>
      </c>
      <c r="G633" s="28" t="s">
        <v>1246</v>
      </c>
      <c r="H633" s="28" t="s">
        <v>174</v>
      </c>
      <c r="I633" s="28" t="s">
        <v>174</v>
      </c>
      <c r="J633" s="30" t="s">
        <v>174</v>
      </c>
      <c r="K633" s="28" t="s">
        <v>401</v>
      </c>
      <c r="L633" s="31">
        <v>42705</v>
      </c>
      <c r="M633" s="28">
        <v>12</v>
      </c>
      <c r="N633" s="32" t="s">
        <v>176</v>
      </c>
      <c r="O633" s="28" t="s">
        <v>185</v>
      </c>
      <c r="P633" s="28" t="s">
        <v>1922</v>
      </c>
      <c r="Q633" s="28" t="s">
        <v>1051</v>
      </c>
      <c r="R633" s="28" t="s">
        <v>1265</v>
      </c>
    </row>
    <row r="634" spans="1:18" hidden="1">
      <c r="A634" s="28">
        <v>7</v>
      </c>
      <c r="B634" s="29" t="s">
        <v>776</v>
      </c>
      <c r="C634" s="29" t="s">
        <v>777</v>
      </c>
      <c r="D634" s="29" t="s">
        <v>778</v>
      </c>
      <c r="E634" s="29" t="s">
        <v>172</v>
      </c>
      <c r="F634" s="28" t="s">
        <v>969</v>
      </c>
      <c r="G634" s="28" t="s">
        <v>1000</v>
      </c>
      <c r="H634" s="28" t="s">
        <v>384</v>
      </c>
      <c r="I634" s="28">
        <v>9</v>
      </c>
      <c r="J634" s="30">
        <v>3.4000000000000002E-2</v>
      </c>
      <c r="K634" s="28" t="s">
        <v>587</v>
      </c>
      <c r="L634" s="31">
        <v>42736</v>
      </c>
      <c r="M634" s="28">
        <v>1</v>
      </c>
      <c r="N634" s="32" t="s">
        <v>176</v>
      </c>
      <c r="O634" s="28" t="s">
        <v>185</v>
      </c>
      <c r="P634" s="28" t="s">
        <v>1923</v>
      </c>
      <c r="Q634" s="28" t="s">
        <v>1051</v>
      </c>
      <c r="R634" s="28" t="s">
        <v>1265</v>
      </c>
    </row>
    <row r="635" spans="1:18" hidden="1">
      <c r="A635" s="28">
        <v>7</v>
      </c>
      <c r="B635" s="29" t="s">
        <v>776</v>
      </c>
      <c r="C635" s="29" t="s">
        <v>777</v>
      </c>
      <c r="D635" s="29" t="s">
        <v>778</v>
      </c>
      <c r="E635" s="29" t="s">
        <v>172</v>
      </c>
      <c r="F635" s="28" t="s">
        <v>969</v>
      </c>
      <c r="G635" s="28" t="s">
        <v>1007</v>
      </c>
      <c r="H635" s="28" t="s">
        <v>174</v>
      </c>
      <c r="I635" s="28" t="s">
        <v>174</v>
      </c>
      <c r="J635" s="30" t="s">
        <v>174</v>
      </c>
      <c r="K635" s="28" t="s">
        <v>435</v>
      </c>
      <c r="L635" s="31">
        <v>43040</v>
      </c>
      <c r="M635" s="28">
        <v>11</v>
      </c>
      <c r="N635" s="32" t="s">
        <v>191</v>
      </c>
      <c r="O635" s="28" t="s">
        <v>185</v>
      </c>
      <c r="P635" s="28" t="s">
        <v>1924</v>
      </c>
      <c r="Q635" s="28" t="s">
        <v>1051</v>
      </c>
      <c r="R635" s="28" t="s">
        <v>1265</v>
      </c>
    </row>
    <row r="636" spans="1:18" hidden="1">
      <c r="A636" s="28">
        <v>7</v>
      </c>
      <c r="B636" s="29" t="s">
        <v>776</v>
      </c>
      <c r="C636" s="29" t="s">
        <v>777</v>
      </c>
      <c r="D636" s="29" t="s">
        <v>778</v>
      </c>
      <c r="E636" s="29" t="s">
        <v>172</v>
      </c>
      <c r="F636" s="28" t="s">
        <v>969</v>
      </c>
      <c r="G636" s="28" t="s">
        <v>1007</v>
      </c>
      <c r="H636" s="28" t="s">
        <v>174</v>
      </c>
      <c r="I636" s="28" t="s">
        <v>174</v>
      </c>
      <c r="J636" s="30" t="s">
        <v>174</v>
      </c>
      <c r="K636" s="28" t="s">
        <v>248</v>
      </c>
      <c r="L636" s="31">
        <v>43070</v>
      </c>
      <c r="M636" s="28">
        <v>12</v>
      </c>
      <c r="N636" s="32" t="s">
        <v>176</v>
      </c>
      <c r="O636" s="28" t="s">
        <v>185</v>
      </c>
      <c r="P636" s="28" t="s">
        <v>1925</v>
      </c>
      <c r="Q636" s="28" t="s">
        <v>1051</v>
      </c>
      <c r="R636" s="28" t="s">
        <v>1265</v>
      </c>
    </row>
    <row r="637" spans="1:18" hidden="1">
      <c r="A637" s="28">
        <v>7</v>
      </c>
      <c r="B637" s="29" t="s">
        <v>776</v>
      </c>
      <c r="C637" s="29" t="s">
        <v>777</v>
      </c>
      <c r="D637" s="29" t="s">
        <v>778</v>
      </c>
      <c r="E637" s="29" t="s">
        <v>172</v>
      </c>
      <c r="F637" s="28" t="s">
        <v>1245</v>
      </c>
      <c r="G637" s="28" t="s">
        <v>1246</v>
      </c>
      <c r="H637" s="28" t="s">
        <v>174</v>
      </c>
      <c r="I637" s="28" t="s">
        <v>174</v>
      </c>
      <c r="J637" s="30" t="s">
        <v>174</v>
      </c>
      <c r="K637" s="28" t="s">
        <v>475</v>
      </c>
      <c r="L637" s="31">
        <v>43191</v>
      </c>
      <c r="M637" s="28">
        <v>4</v>
      </c>
      <c r="N637" s="32" t="s">
        <v>191</v>
      </c>
      <c r="O637" s="28" t="s">
        <v>185</v>
      </c>
      <c r="P637" s="28" t="s">
        <v>1926</v>
      </c>
      <c r="Q637" s="28" t="s">
        <v>1051</v>
      </c>
      <c r="R637" s="28" t="s">
        <v>1265</v>
      </c>
    </row>
    <row r="638" spans="1:18" hidden="1">
      <c r="A638" s="28">
        <v>7</v>
      </c>
      <c r="B638" s="29" t="s">
        <v>776</v>
      </c>
      <c r="C638" s="29" t="s">
        <v>777</v>
      </c>
      <c r="D638" s="29" t="s">
        <v>778</v>
      </c>
      <c r="E638" s="29" t="s">
        <v>172</v>
      </c>
      <c r="F638" s="28" t="s">
        <v>1245</v>
      </c>
      <c r="G638" s="28" t="s">
        <v>1246</v>
      </c>
      <c r="H638" s="28" t="s">
        <v>174</v>
      </c>
      <c r="I638" s="28" t="s">
        <v>174</v>
      </c>
      <c r="J638" s="30" t="s">
        <v>174</v>
      </c>
      <c r="K638" s="28" t="s">
        <v>405</v>
      </c>
      <c r="L638" s="31">
        <v>43221</v>
      </c>
      <c r="M638" s="28">
        <v>5</v>
      </c>
      <c r="N638" s="32" t="s">
        <v>191</v>
      </c>
      <c r="O638" s="28" t="s">
        <v>185</v>
      </c>
      <c r="P638" s="28" t="s">
        <v>1927</v>
      </c>
      <c r="Q638" s="28" t="s">
        <v>1051</v>
      </c>
      <c r="R638" s="28" t="s">
        <v>1265</v>
      </c>
    </row>
    <row r="639" spans="1:18" hidden="1">
      <c r="A639" s="28">
        <v>7</v>
      </c>
      <c r="B639" s="29" t="s">
        <v>776</v>
      </c>
      <c r="C639" s="29" t="s">
        <v>777</v>
      </c>
      <c r="D639" s="29" t="s">
        <v>778</v>
      </c>
      <c r="E639" s="29" t="s">
        <v>172</v>
      </c>
      <c r="F639" s="28" t="s">
        <v>1245</v>
      </c>
      <c r="G639" s="28" t="s">
        <v>1246</v>
      </c>
      <c r="H639" s="28" t="s">
        <v>174</v>
      </c>
      <c r="I639" s="28" t="s">
        <v>174</v>
      </c>
      <c r="J639" s="30" t="s">
        <v>174</v>
      </c>
      <c r="K639" s="28" t="s">
        <v>405</v>
      </c>
      <c r="L639" s="31">
        <v>43221</v>
      </c>
      <c r="M639" s="28">
        <v>5</v>
      </c>
      <c r="N639" s="32" t="s">
        <v>191</v>
      </c>
      <c r="O639" s="28" t="s">
        <v>185</v>
      </c>
      <c r="P639" s="28" t="s">
        <v>1928</v>
      </c>
      <c r="Q639" s="28" t="s">
        <v>1051</v>
      </c>
      <c r="R639" s="28" t="s">
        <v>1265</v>
      </c>
    </row>
    <row r="640" spans="1:18" hidden="1">
      <c r="A640" s="28">
        <v>7</v>
      </c>
      <c r="B640" s="29" t="s">
        <v>776</v>
      </c>
      <c r="C640" s="29" t="s">
        <v>777</v>
      </c>
      <c r="D640" s="29" t="s">
        <v>778</v>
      </c>
      <c r="E640" s="29" t="s">
        <v>172</v>
      </c>
      <c r="F640" s="28" t="s">
        <v>969</v>
      </c>
      <c r="G640" s="28" t="s">
        <v>1000</v>
      </c>
      <c r="H640" s="28" t="s">
        <v>384</v>
      </c>
      <c r="I640" s="28">
        <v>9</v>
      </c>
      <c r="J640" s="30">
        <v>3.4000000000000002E-2</v>
      </c>
      <c r="K640" s="28" t="s">
        <v>405</v>
      </c>
      <c r="L640" s="31">
        <v>43221</v>
      </c>
      <c r="M640" s="28">
        <v>5</v>
      </c>
      <c r="N640" s="32" t="s">
        <v>191</v>
      </c>
      <c r="O640" s="28" t="s">
        <v>185</v>
      </c>
      <c r="P640" s="28" t="s">
        <v>1929</v>
      </c>
      <c r="Q640" s="28" t="s">
        <v>1051</v>
      </c>
      <c r="R640" s="28" t="s">
        <v>1265</v>
      </c>
    </row>
    <row r="641" spans="1:18" hidden="1">
      <c r="A641" s="28">
        <v>7</v>
      </c>
      <c r="B641" s="29" t="s">
        <v>776</v>
      </c>
      <c r="C641" s="29" t="s">
        <v>777</v>
      </c>
      <c r="D641" s="29" t="s">
        <v>778</v>
      </c>
      <c r="E641" s="29" t="s">
        <v>172</v>
      </c>
      <c r="F641" s="28" t="s">
        <v>969</v>
      </c>
      <c r="G641" s="28" t="s">
        <v>970</v>
      </c>
      <c r="H641" s="28" t="s">
        <v>384</v>
      </c>
      <c r="I641" s="28">
        <v>5</v>
      </c>
      <c r="J641" s="30">
        <v>4.9000000000000002E-2</v>
      </c>
      <c r="K641" s="28" t="s">
        <v>559</v>
      </c>
      <c r="L641" s="31">
        <v>43252</v>
      </c>
      <c r="M641" s="28">
        <v>6</v>
      </c>
      <c r="N641" s="32" t="s">
        <v>184</v>
      </c>
      <c r="O641" s="28" t="s">
        <v>185</v>
      </c>
      <c r="P641" s="28" t="s">
        <v>1930</v>
      </c>
      <c r="Q641" s="28" t="s">
        <v>1931</v>
      </c>
      <c r="R641" s="28" t="s">
        <v>1265</v>
      </c>
    </row>
    <row r="642" spans="1:18" hidden="1">
      <c r="A642" s="28">
        <v>7</v>
      </c>
      <c r="B642" s="29" t="s">
        <v>776</v>
      </c>
      <c r="C642" s="29" t="s">
        <v>777</v>
      </c>
      <c r="D642" s="29" t="s">
        <v>778</v>
      </c>
      <c r="E642" s="29" t="s">
        <v>172</v>
      </c>
      <c r="F642" s="28" t="s">
        <v>969</v>
      </c>
      <c r="G642" s="28" t="s">
        <v>1000</v>
      </c>
      <c r="H642" s="28" t="s">
        <v>384</v>
      </c>
      <c r="I642" s="28">
        <v>9</v>
      </c>
      <c r="J642" s="30">
        <v>3.4000000000000002E-2</v>
      </c>
      <c r="K642" s="28" t="s">
        <v>844</v>
      </c>
      <c r="L642" s="31">
        <v>43586</v>
      </c>
      <c r="M642" s="28">
        <v>5</v>
      </c>
      <c r="N642" s="32" t="s">
        <v>191</v>
      </c>
      <c r="O642" s="28" t="s">
        <v>185</v>
      </c>
      <c r="P642" s="28" t="s">
        <v>1932</v>
      </c>
      <c r="Q642" s="28" t="s">
        <v>1051</v>
      </c>
      <c r="R642" s="28" t="s">
        <v>1265</v>
      </c>
    </row>
    <row r="643" spans="1:18" hidden="1">
      <c r="A643" s="28">
        <v>7</v>
      </c>
      <c r="B643" s="29" t="s">
        <v>776</v>
      </c>
      <c r="C643" s="29" t="s">
        <v>777</v>
      </c>
      <c r="D643" s="29" t="s">
        <v>778</v>
      </c>
      <c r="E643" s="29" t="s">
        <v>172</v>
      </c>
      <c r="F643" s="28" t="s">
        <v>969</v>
      </c>
      <c r="G643" s="28" t="s">
        <v>1000</v>
      </c>
      <c r="H643" s="28" t="s">
        <v>384</v>
      </c>
      <c r="I643" s="28">
        <v>9</v>
      </c>
      <c r="J643" s="30">
        <v>3.4000000000000002E-2</v>
      </c>
      <c r="K643" s="28" t="s">
        <v>236</v>
      </c>
      <c r="L643" s="31">
        <v>43617</v>
      </c>
      <c r="M643" s="28">
        <v>6</v>
      </c>
      <c r="N643" s="32" t="s">
        <v>184</v>
      </c>
      <c r="O643" s="28" t="s">
        <v>204</v>
      </c>
      <c r="P643" s="28" t="s">
        <v>1933</v>
      </c>
      <c r="Q643" s="28" t="s">
        <v>1934</v>
      </c>
      <c r="R643" s="28" t="s">
        <v>1334</v>
      </c>
    </row>
    <row r="644" spans="1:18" hidden="1">
      <c r="A644" s="28">
        <v>7</v>
      </c>
      <c r="B644" s="29" t="s">
        <v>776</v>
      </c>
      <c r="C644" s="29" t="s">
        <v>777</v>
      </c>
      <c r="D644" s="29" t="s">
        <v>778</v>
      </c>
      <c r="E644" s="29" t="s">
        <v>172</v>
      </c>
      <c r="F644" s="28" t="s">
        <v>1245</v>
      </c>
      <c r="G644" s="28" t="s">
        <v>1246</v>
      </c>
      <c r="H644" s="28" t="s">
        <v>174</v>
      </c>
      <c r="I644" s="28" t="s">
        <v>174</v>
      </c>
      <c r="J644" s="30" t="s">
        <v>174</v>
      </c>
      <c r="K644" s="28" t="s">
        <v>442</v>
      </c>
      <c r="L644" s="31">
        <v>43647</v>
      </c>
      <c r="M644" s="28">
        <v>7</v>
      </c>
      <c r="N644" s="32" t="s">
        <v>184</v>
      </c>
      <c r="O644" s="28" t="s">
        <v>185</v>
      </c>
      <c r="P644" s="28" t="s">
        <v>1935</v>
      </c>
      <c r="Q644" s="28" t="s">
        <v>1051</v>
      </c>
      <c r="R644" s="28" t="s">
        <v>1265</v>
      </c>
    </row>
    <row r="645" spans="1:18" hidden="1">
      <c r="A645" s="28">
        <v>7</v>
      </c>
      <c r="B645" s="29" t="s">
        <v>776</v>
      </c>
      <c r="C645" s="29" t="s">
        <v>777</v>
      </c>
      <c r="D645" s="29" t="s">
        <v>778</v>
      </c>
      <c r="E645" s="29" t="s">
        <v>172</v>
      </c>
      <c r="F645" s="28" t="s">
        <v>969</v>
      </c>
      <c r="G645" s="28" t="s">
        <v>1000</v>
      </c>
      <c r="H645" s="28" t="s">
        <v>384</v>
      </c>
      <c r="I645" s="28">
        <v>9</v>
      </c>
      <c r="J645" s="30">
        <v>3.4000000000000002E-2</v>
      </c>
      <c r="K645" s="28" t="s">
        <v>520</v>
      </c>
      <c r="L645" s="31">
        <v>43800</v>
      </c>
      <c r="M645" s="28">
        <v>12</v>
      </c>
      <c r="N645" s="32" t="s">
        <v>176</v>
      </c>
      <c r="O645" s="28" t="s">
        <v>185</v>
      </c>
      <c r="P645" s="28" t="s">
        <v>1936</v>
      </c>
      <c r="Q645" s="28" t="s">
        <v>1051</v>
      </c>
      <c r="R645" s="28" t="s">
        <v>1265</v>
      </c>
    </row>
    <row r="646" spans="1:18" hidden="1">
      <c r="A646" s="28">
        <v>7</v>
      </c>
      <c r="B646" s="29" t="s">
        <v>776</v>
      </c>
      <c r="C646" s="29" t="s">
        <v>777</v>
      </c>
      <c r="D646" s="29" t="s">
        <v>778</v>
      </c>
      <c r="E646" s="29" t="s">
        <v>172</v>
      </c>
      <c r="F646" s="28" t="s">
        <v>969</v>
      </c>
      <c r="G646" s="28" t="s">
        <v>1000</v>
      </c>
      <c r="H646" s="28" t="s">
        <v>384</v>
      </c>
      <c r="I646" s="28">
        <v>9</v>
      </c>
      <c r="J646" s="30">
        <v>3.4000000000000002E-2</v>
      </c>
      <c r="K646" s="28" t="s">
        <v>504</v>
      </c>
      <c r="L646" s="31">
        <v>43922</v>
      </c>
      <c r="M646" s="28">
        <v>4</v>
      </c>
      <c r="N646" s="32" t="s">
        <v>191</v>
      </c>
      <c r="O646" s="28" t="s">
        <v>185</v>
      </c>
      <c r="P646" s="28" t="s">
        <v>1937</v>
      </c>
      <c r="Q646" s="28" t="s">
        <v>1051</v>
      </c>
      <c r="R646" s="28" t="s">
        <v>1265</v>
      </c>
    </row>
    <row r="647" spans="1:18" hidden="1">
      <c r="A647" s="28">
        <v>7</v>
      </c>
      <c r="B647" s="29" t="s">
        <v>776</v>
      </c>
      <c r="C647" s="29" t="s">
        <v>777</v>
      </c>
      <c r="D647" s="29" t="s">
        <v>778</v>
      </c>
      <c r="E647" s="29" t="s">
        <v>172</v>
      </c>
      <c r="F647" s="28" t="s">
        <v>969</v>
      </c>
      <c r="G647" s="28" t="s">
        <v>1007</v>
      </c>
      <c r="H647" s="28" t="s">
        <v>174</v>
      </c>
      <c r="I647" s="28" t="s">
        <v>174</v>
      </c>
      <c r="J647" s="30" t="s">
        <v>174</v>
      </c>
      <c r="K647" s="28" t="s">
        <v>415</v>
      </c>
      <c r="L647" s="31">
        <v>43952</v>
      </c>
      <c r="M647" s="28">
        <v>5</v>
      </c>
      <c r="N647" s="32" t="s">
        <v>191</v>
      </c>
      <c r="O647" s="28" t="s">
        <v>185</v>
      </c>
      <c r="P647" s="28" t="s">
        <v>1938</v>
      </c>
      <c r="Q647" s="28" t="s">
        <v>1051</v>
      </c>
      <c r="R647" s="28" t="s">
        <v>1522</v>
      </c>
    </row>
    <row r="648" spans="1:18" hidden="1">
      <c r="A648" s="28">
        <v>7</v>
      </c>
      <c r="B648" s="29" t="s">
        <v>776</v>
      </c>
      <c r="C648" s="29" t="s">
        <v>777</v>
      </c>
      <c r="D648" s="29" t="s">
        <v>778</v>
      </c>
      <c r="E648" s="29" t="s">
        <v>172</v>
      </c>
      <c r="F648" s="28" t="s">
        <v>969</v>
      </c>
      <c r="G648" s="28" t="s">
        <v>970</v>
      </c>
      <c r="H648" s="28" t="s">
        <v>384</v>
      </c>
      <c r="I648" s="28">
        <v>5</v>
      </c>
      <c r="J648" s="30">
        <v>4.9000000000000002E-2</v>
      </c>
      <c r="K648" s="28" t="s">
        <v>643</v>
      </c>
      <c r="L648" s="31">
        <v>44013</v>
      </c>
      <c r="M648" s="28">
        <v>7</v>
      </c>
      <c r="N648" s="32" t="s">
        <v>184</v>
      </c>
      <c r="O648" s="28" t="s">
        <v>1060</v>
      </c>
      <c r="P648" s="28" t="s">
        <v>1939</v>
      </c>
      <c r="Q648" s="28" t="s">
        <v>1940</v>
      </c>
      <c r="R648" s="28" t="s">
        <v>1265</v>
      </c>
    </row>
    <row r="649" spans="1:18" hidden="1">
      <c r="A649" s="28">
        <v>7</v>
      </c>
      <c r="B649" s="29" t="s">
        <v>776</v>
      </c>
      <c r="C649" s="29" t="s">
        <v>777</v>
      </c>
      <c r="D649" s="29" t="s">
        <v>778</v>
      </c>
      <c r="E649" s="29" t="s">
        <v>172</v>
      </c>
      <c r="F649" s="28" t="s">
        <v>969</v>
      </c>
      <c r="G649" s="28" t="s">
        <v>1000</v>
      </c>
      <c r="H649" s="28" t="s">
        <v>384</v>
      </c>
      <c r="I649" s="28">
        <v>9</v>
      </c>
      <c r="J649" s="30">
        <v>3.4000000000000002E-2</v>
      </c>
      <c r="K649" s="28" t="s">
        <v>190</v>
      </c>
      <c r="L649" s="31">
        <v>44287</v>
      </c>
      <c r="M649" s="28">
        <v>4</v>
      </c>
      <c r="N649" s="32" t="s">
        <v>191</v>
      </c>
      <c r="O649" s="28" t="s">
        <v>185</v>
      </c>
      <c r="P649" s="28" t="s">
        <v>1941</v>
      </c>
      <c r="Q649" s="28" t="s">
        <v>1051</v>
      </c>
      <c r="R649" s="28" t="s">
        <v>1265</v>
      </c>
    </row>
    <row r="650" spans="1:18" hidden="1">
      <c r="A650" s="28">
        <v>7</v>
      </c>
      <c r="B650" s="29" t="s">
        <v>776</v>
      </c>
      <c r="C650" s="29" t="s">
        <v>777</v>
      </c>
      <c r="D650" s="29" t="s">
        <v>778</v>
      </c>
      <c r="E650" s="29" t="s">
        <v>172</v>
      </c>
      <c r="F650" s="28" t="s">
        <v>969</v>
      </c>
      <c r="G650" s="28" t="s">
        <v>970</v>
      </c>
      <c r="H650" s="28" t="s">
        <v>384</v>
      </c>
      <c r="I650" s="28">
        <v>5</v>
      </c>
      <c r="J650" s="30">
        <v>4.9000000000000002E-2</v>
      </c>
      <c r="K650" s="28" t="s">
        <v>554</v>
      </c>
      <c r="L650" s="31">
        <v>44317</v>
      </c>
      <c r="M650" s="28">
        <v>5</v>
      </c>
      <c r="N650" s="32" t="s">
        <v>191</v>
      </c>
      <c r="O650" s="28" t="s">
        <v>185</v>
      </c>
      <c r="P650" s="28" t="s">
        <v>1942</v>
      </c>
      <c r="Q650" s="28" t="s">
        <v>1051</v>
      </c>
      <c r="R650" s="28" t="s">
        <v>1265</v>
      </c>
    </row>
    <row r="651" spans="1:18" hidden="1">
      <c r="A651" s="28">
        <v>7</v>
      </c>
      <c r="B651" s="29" t="s">
        <v>776</v>
      </c>
      <c r="C651" s="29" t="s">
        <v>777</v>
      </c>
      <c r="D651" s="29" t="s">
        <v>778</v>
      </c>
      <c r="E651" s="29" t="s">
        <v>172</v>
      </c>
      <c r="F651" s="28" t="s">
        <v>969</v>
      </c>
      <c r="G651" s="28" t="s">
        <v>1000</v>
      </c>
      <c r="H651" s="28" t="s">
        <v>384</v>
      </c>
      <c r="I651" s="28">
        <v>9</v>
      </c>
      <c r="J651" s="30">
        <v>3.4000000000000002E-2</v>
      </c>
      <c r="K651" s="28" t="s">
        <v>297</v>
      </c>
      <c r="L651" s="31">
        <v>44409</v>
      </c>
      <c r="M651" s="28">
        <v>8</v>
      </c>
      <c r="N651" s="32" t="s">
        <v>184</v>
      </c>
      <c r="O651" s="28" t="s">
        <v>185</v>
      </c>
      <c r="P651" s="28" t="s">
        <v>1943</v>
      </c>
      <c r="Q651" s="28" t="s">
        <v>1051</v>
      </c>
      <c r="R651" s="28" t="s">
        <v>1265</v>
      </c>
    </row>
    <row r="652" spans="1:18" hidden="1">
      <c r="A652" s="28">
        <v>7</v>
      </c>
      <c r="B652" s="29" t="s">
        <v>776</v>
      </c>
      <c r="C652" s="29" t="s">
        <v>777</v>
      </c>
      <c r="D652" s="29" t="s">
        <v>778</v>
      </c>
      <c r="E652" s="29" t="s">
        <v>172</v>
      </c>
      <c r="F652" s="28" t="s">
        <v>969</v>
      </c>
      <c r="G652" s="28" t="s">
        <v>1007</v>
      </c>
      <c r="H652" s="28" t="s">
        <v>174</v>
      </c>
      <c r="I652" s="28" t="s">
        <v>174</v>
      </c>
      <c r="J652" s="30" t="s">
        <v>174</v>
      </c>
      <c r="K652" s="28" t="s">
        <v>345</v>
      </c>
      <c r="L652" s="31">
        <v>44440</v>
      </c>
      <c r="M652" s="28">
        <v>9</v>
      </c>
      <c r="N652" s="32" t="s">
        <v>191</v>
      </c>
      <c r="O652" s="28" t="s">
        <v>185</v>
      </c>
      <c r="P652" s="28" t="s">
        <v>1944</v>
      </c>
      <c r="Q652" s="28" t="s">
        <v>1051</v>
      </c>
      <c r="R652" s="28" t="s">
        <v>1265</v>
      </c>
    </row>
    <row r="653" spans="1:18" hidden="1">
      <c r="A653" s="28">
        <v>7</v>
      </c>
      <c r="B653" s="29" t="s">
        <v>776</v>
      </c>
      <c r="C653" s="29" t="s">
        <v>777</v>
      </c>
      <c r="D653" s="29" t="s">
        <v>778</v>
      </c>
      <c r="E653" s="29" t="s">
        <v>172</v>
      </c>
      <c r="F653" s="28" t="s">
        <v>969</v>
      </c>
      <c r="G653" s="28" t="s">
        <v>1007</v>
      </c>
      <c r="H653" s="28" t="s">
        <v>174</v>
      </c>
      <c r="I653" s="28" t="s">
        <v>174</v>
      </c>
      <c r="J653" s="30" t="s">
        <v>174</v>
      </c>
      <c r="K653" s="28" t="s">
        <v>345</v>
      </c>
      <c r="L653" s="31">
        <v>44440</v>
      </c>
      <c r="M653" s="28">
        <v>9</v>
      </c>
      <c r="N653" s="32" t="s">
        <v>191</v>
      </c>
      <c r="O653" s="28" t="s">
        <v>185</v>
      </c>
      <c r="P653" s="28" t="s">
        <v>1945</v>
      </c>
      <c r="Q653" s="28" t="s">
        <v>1051</v>
      </c>
      <c r="R653" s="28" t="s">
        <v>1265</v>
      </c>
    </row>
    <row r="654" spans="1:18" hidden="1">
      <c r="A654" s="28">
        <v>7</v>
      </c>
      <c r="B654" s="29" t="s">
        <v>776</v>
      </c>
      <c r="C654" s="29" t="s">
        <v>1946</v>
      </c>
      <c r="D654" s="29" t="s">
        <v>1947</v>
      </c>
      <c r="E654" s="29" t="s">
        <v>172</v>
      </c>
      <c r="F654" s="28" t="s">
        <v>969</v>
      </c>
      <c r="G654" s="28" t="s">
        <v>975</v>
      </c>
      <c r="H654" s="28" t="s">
        <v>384</v>
      </c>
      <c r="I654" s="28">
        <v>12</v>
      </c>
      <c r="J654" s="30">
        <v>2.3E-2</v>
      </c>
      <c r="K654" s="28" t="s">
        <v>391</v>
      </c>
      <c r="L654" s="31">
        <v>42370</v>
      </c>
      <c r="M654" s="28">
        <v>1</v>
      </c>
      <c r="N654" s="32" t="s">
        <v>176</v>
      </c>
      <c r="O654" s="28" t="s">
        <v>185</v>
      </c>
      <c r="P654" s="28" t="s">
        <v>1948</v>
      </c>
      <c r="Q654" s="28" t="s">
        <v>1949</v>
      </c>
      <c r="R654" s="28" t="s">
        <v>1950</v>
      </c>
    </row>
    <row r="655" spans="1:18" hidden="1">
      <c r="A655" s="28">
        <v>7</v>
      </c>
      <c r="B655" s="29" t="s">
        <v>776</v>
      </c>
      <c r="C655" s="29" t="s">
        <v>1946</v>
      </c>
      <c r="D655" s="29" t="s">
        <v>1947</v>
      </c>
      <c r="E655" s="29" t="s">
        <v>172</v>
      </c>
      <c r="F655" s="28" t="s">
        <v>969</v>
      </c>
      <c r="G655" s="28" t="s">
        <v>1000</v>
      </c>
      <c r="H655" s="28" t="s">
        <v>384</v>
      </c>
      <c r="I655" s="28">
        <v>9</v>
      </c>
      <c r="J655" s="30">
        <v>3.4000000000000002E-2</v>
      </c>
      <c r="K655" s="28" t="s">
        <v>489</v>
      </c>
      <c r="L655" s="31">
        <v>42491</v>
      </c>
      <c r="M655" s="28">
        <v>5</v>
      </c>
      <c r="N655" s="32" t="s">
        <v>191</v>
      </c>
      <c r="O655" s="28" t="s">
        <v>953</v>
      </c>
      <c r="P655" s="28" t="s">
        <v>1951</v>
      </c>
      <c r="Q655" s="28" t="s">
        <v>1952</v>
      </c>
      <c r="R655" s="28" t="s">
        <v>1953</v>
      </c>
    </row>
    <row r="656" spans="1:18" hidden="1">
      <c r="A656" s="28">
        <v>7</v>
      </c>
      <c r="B656" s="29" t="s">
        <v>776</v>
      </c>
      <c r="C656" s="29" t="s">
        <v>1946</v>
      </c>
      <c r="D656" s="29" t="s">
        <v>1947</v>
      </c>
      <c r="E656" s="29" t="s">
        <v>172</v>
      </c>
      <c r="F656" s="28" t="s">
        <v>969</v>
      </c>
      <c r="G656" s="28" t="s">
        <v>1335</v>
      </c>
      <c r="H656" s="28" t="s">
        <v>174</v>
      </c>
      <c r="I656" s="28" t="s">
        <v>174</v>
      </c>
      <c r="J656" s="30" t="s">
        <v>174</v>
      </c>
      <c r="K656" s="28" t="s">
        <v>335</v>
      </c>
      <c r="L656" s="31">
        <v>42614</v>
      </c>
      <c r="M656" s="28">
        <v>9</v>
      </c>
      <c r="N656" s="32" t="s">
        <v>191</v>
      </c>
      <c r="O656" s="28" t="s">
        <v>1060</v>
      </c>
      <c r="P656" s="28" t="s">
        <v>1954</v>
      </c>
      <c r="Q656" s="28" t="s">
        <v>1955</v>
      </c>
      <c r="R656" s="28" t="s">
        <v>1338</v>
      </c>
    </row>
    <row r="657" spans="1:18" hidden="1">
      <c r="A657" s="28">
        <v>7</v>
      </c>
      <c r="B657" s="29" t="s">
        <v>776</v>
      </c>
      <c r="C657" s="29" t="s">
        <v>1946</v>
      </c>
      <c r="D657" s="29" t="s">
        <v>1947</v>
      </c>
      <c r="E657" s="29" t="s">
        <v>172</v>
      </c>
      <c r="F657" s="28" t="s">
        <v>1245</v>
      </c>
      <c r="G657" s="28" t="s">
        <v>1246</v>
      </c>
      <c r="H657" s="28" t="s">
        <v>174</v>
      </c>
      <c r="I657" s="28" t="s">
        <v>174</v>
      </c>
      <c r="J657" s="30" t="s">
        <v>174</v>
      </c>
      <c r="K657" s="28" t="s">
        <v>651</v>
      </c>
      <c r="L657" s="31">
        <v>42644</v>
      </c>
      <c r="M657" s="28">
        <v>10</v>
      </c>
      <c r="N657" s="32" t="s">
        <v>191</v>
      </c>
      <c r="O657" s="28" t="s">
        <v>185</v>
      </c>
      <c r="P657" s="28" t="s">
        <v>1956</v>
      </c>
      <c r="Q657" s="28" t="s">
        <v>1957</v>
      </c>
      <c r="R657" s="28" t="s">
        <v>1958</v>
      </c>
    </row>
    <row r="658" spans="1:18" hidden="1">
      <c r="A658" s="28">
        <v>7</v>
      </c>
      <c r="B658" s="29" t="s">
        <v>776</v>
      </c>
      <c r="C658" s="29" t="s">
        <v>1946</v>
      </c>
      <c r="D658" s="29" t="s">
        <v>1947</v>
      </c>
      <c r="E658" s="29" t="s">
        <v>172</v>
      </c>
      <c r="F658" s="28" t="s">
        <v>969</v>
      </c>
      <c r="G658" s="28" t="s">
        <v>1000</v>
      </c>
      <c r="H658" s="28" t="s">
        <v>384</v>
      </c>
      <c r="I658" s="28">
        <v>9</v>
      </c>
      <c r="J658" s="30">
        <v>3.4000000000000002E-2</v>
      </c>
      <c r="K658" s="28" t="s">
        <v>587</v>
      </c>
      <c r="L658" s="31">
        <v>42736</v>
      </c>
      <c r="M658" s="28">
        <v>1</v>
      </c>
      <c r="N658" s="32" t="s">
        <v>176</v>
      </c>
      <c r="O658" s="28" t="s">
        <v>185</v>
      </c>
      <c r="P658" s="28" t="s">
        <v>1959</v>
      </c>
      <c r="Q658" s="28" t="s">
        <v>1051</v>
      </c>
      <c r="R658" s="28" t="s">
        <v>1319</v>
      </c>
    </row>
    <row r="659" spans="1:18" hidden="1">
      <c r="A659" s="28">
        <v>7</v>
      </c>
      <c r="B659" s="29" t="s">
        <v>776</v>
      </c>
      <c r="C659" s="29" t="s">
        <v>1946</v>
      </c>
      <c r="D659" s="29" t="s">
        <v>1947</v>
      </c>
      <c r="E659" s="29" t="s">
        <v>172</v>
      </c>
      <c r="F659" s="28" t="s">
        <v>1245</v>
      </c>
      <c r="G659" s="28" t="s">
        <v>1246</v>
      </c>
      <c r="H659" s="28" t="s">
        <v>174</v>
      </c>
      <c r="I659" s="28" t="s">
        <v>174</v>
      </c>
      <c r="J659" s="30" t="s">
        <v>174</v>
      </c>
      <c r="K659" s="28" t="s">
        <v>289</v>
      </c>
      <c r="L659" s="31">
        <v>42795</v>
      </c>
      <c r="M659" s="28">
        <v>3</v>
      </c>
      <c r="N659" s="32" t="s">
        <v>191</v>
      </c>
      <c r="O659" s="28" t="s">
        <v>185</v>
      </c>
      <c r="P659" s="28" t="s">
        <v>1960</v>
      </c>
      <c r="Q659" s="28" t="s">
        <v>1957</v>
      </c>
      <c r="R659" s="28" t="s">
        <v>1958</v>
      </c>
    </row>
    <row r="660" spans="1:18" hidden="1">
      <c r="A660" s="28">
        <v>7</v>
      </c>
      <c r="B660" s="29" t="s">
        <v>776</v>
      </c>
      <c r="C660" s="29" t="s">
        <v>1946</v>
      </c>
      <c r="D660" s="29" t="s">
        <v>1947</v>
      </c>
      <c r="E660" s="29" t="s">
        <v>172</v>
      </c>
      <c r="F660" s="28" t="s">
        <v>969</v>
      </c>
      <c r="G660" s="28" t="s">
        <v>1007</v>
      </c>
      <c r="H660" s="28" t="s">
        <v>174</v>
      </c>
      <c r="I660" s="28" t="s">
        <v>174</v>
      </c>
      <c r="J660" s="30" t="s">
        <v>174</v>
      </c>
      <c r="K660" s="28" t="s">
        <v>769</v>
      </c>
      <c r="L660" s="31">
        <v>42826</v>
      </c>
      <c r="M660" s="28">
        <v>4</v>
      </c>
      <c r="N660" s="32" t="s">
        <v>191</v>
      </c>
      <c r="O660" s="28" t="s">
        <v>794</v>
      </c>
      <c r="P660" s="28" t="s">
        <v>1961</v>
      </c>
      <c r="Q660" s="28" t="s">
        <v>1962</v>
      </c>
      <c r="R660" s="28" t="s">
        <v>1963</v>
      </c>
    </row>
    <row r="661" spans="1:18" hidden="1">
      <c r="A661" s="28">
        <v>7</v>
      </c>
      <c r="B661" s="29" t="s">
        <v>776</v>
      </c>
      <c r="C661" s="29" t="s">
        <v>1946</v>
      </c>
      <c r="D661" s="29" t="s">
        <v>1947</v>
      </c>
      <c r="E661" s="29" t="s">
        <v>172</v>
      </c>
      <c r="F661" s="28" t="s">
        <v>969</v>
      </c>
      <c r="G661" s="28" t="s">
        <v>1007</v>
      </c>
      <c r="H661" s="28" t="s">
        <v>174</v>
      </c>
      <c r="I661" s="28" t="s">
        <v>174</v>
      </c>
      <c r="J661" s="30" t="s">
        <v>174</v>
      </c>
      <c r="K661" s="28" t="s">
        <v>271</v>
      </c>
      <c r="L661" s="31">
        <v>42856</v>
      </c>
      <c r="M661" s="28">
        <v>5</v>
      </c>
      <c r="N661" s="32" t="s">
        <v>191</v>
      </c>
      <c r="O661" s="28" t="s">
        <v>953</v>
      </c>
      <c r="P661" s="28" t="s">
        <v>1964</v>
      </c>
      <c r="Q661" s="28" t="s">
        <v>1965</v>
      </c>
      <c r="R661" s="28" t="s">
        <v>1966</v>
      </c>
    </row>
    <row r="662" spans="1:18" hidden="1">
      <c r="A662" s="28">
        <v>7</v>
      </c>
      <c r="B662" s="29" t="s">
        <v>776</v>
      </c>
      <c r="C662" s="29" t="s">
        <v>1946</v>
      </c>
      <c r="D662" s="29" t="s">
        <v>1947</v>
      </c>
      <c r="E662" s="29" t="s">
        <v>172</v>
      </c>
      <c r="F662" s="28" t="s">
        <v>969</v>
      </c>
      <c r="G662" s="28" t="s">
        <v>1000</v>
      </c>
      <c r="H662" s="28" t="s">
        <v>384</v>
      </c>
      <c r="I662" s="28">
        <v>9</v>
      </c>
      <c r="J662" s="30">
        <v>3.4000000000000002E-2</v>
      </c>
      <c r="K662" s="28" t="s">
        <v>813</v>
      </c>
      <c r="L662" s="31">
        <v>43009</v>
      </c>
      <c r="M662" s="28">
        <v>10</v>
      </c>
      <c r="N662" s="32" t="s">
        <v>191</v>
      </c>
      <c r="O662" s="28" t="s">
        <v>185</v>
      </c>
      <c r="P662" s="28" t="s">
        <v>1967</v>
      </c>
      <c r="Q662" s="28" t="s">
        <v>1051</v>
      </c>
      <c r="R662" s="28" t="s">
        <v>1319</v>
      </c>
    </row>
    <row r="663" spans="1:18" hidden="1">
      <c r="A663" s="28">
        <v>7</v>
      </c>
      <c r="B663" s="29" t="s">
        <v>776</v>
      </c>
      <c r="C663" s="29" t="s">
        <v>1946</v>
      </c>
      <c r="D663" s="29" t="s">
        <v>1947</v>
      </c>
      <c r="E663" s="29" t="s">
        <v>172</v>
      </c>
      <c r="F663" s="28" t="s">
        <v>969</v>
      </c>
      <c r="G663" s="28" t="s">
        <v>1000</v>
      </c>
      <c r="H663" s="28" t="s">
        <v>384</v>
      </c>
      <c r="I663" s="28">
        <v>9</v>
      </c>
      <c r="J663" s="30">
        <v>3.4000000000000002E-2</v>
      </c>
      <c r="K663" s="28" t="s">
        <v>435</v>
      </c>
      <c r="L663" s="31">
        <v>43040</v>
      </c>
      <c r="M663" s="28">
        <v>11</v>
      </c>
      <c r="N663" s="32" t="s">
        <v>191</v>
      </c>
      <c r="O663" s="28" t="s">
        <v>185</v>
      </c>
      <c r="P663" s="28" t="s">
        <v>1968</v>
      </c>
      <c r="Q663" s="28" t="s">
        <v>1969</v>
      </c>
      <c r="R663" s="28" t="s">
        <v>1294</v>
      </c>
    </row>
    <row r="664" spans="1:18" hidden="1">
      <c r="A664" s="28">
        <v>7</v>
      </c>
      <c r="B664" s="29" t="s">
        <v>776</v>
      </c>
      <c r="C664" s="29" t="s">
        <v>1946</v>
      </c>
      <c r="D664" s="29" t="s">
        <v>1947</v>
      </c>
      <c r="E664" s="29" t="s">
        <v>172</v>
      </c>
      <c r="F664" s="28" t="s">
        <v>969</v>
      </c>
      <c r="G664" s="28" t="s">
        <v>970</v>
      </c>
      <c r="H664" s="28" t="s">
        <v>384</v>
      </c>
      <c r="I664" s="28">
        <v>5</v>
      </c>
      <c r="J664" s="30">
        <v>4.9000000000000002E-2</v>
      </c>
      <c r="K664" s="28" t="s">
        <v>678</v>
      </c>
      <c r="L664" s="31">
        <v>43344</v>
      </c>
      <c r="M664" s="28">
        <v>9</v>
      </c>
      <c r="N664" s="32" t="s">
        <v>191</v>
      </c>
      <c r="O664" s="28" t="s">
        <v>185</v>
      </c>
      <c r="P664" s="28" t="s">
        <v>1970</v>
      </c>
      <c r="Q664" s="28" t="s">
        <v>1051</v>
      </c>
      <c r="R664" s="28" t="s">
        <v>1265</v>
      </c>
    </row>
    <row r="665" spans="1:18" hidden="1">
      <c r="A665" s="28">
        <v>7</v>
      </c>
      <c r="B665" s="29" t="s">
        <v>776</v>
      </c>
      <c r="C665" s="29" t="s">
        <v>1946</v>
      </c>
      <c r="D665" s="29" t="s">
        <v>1947</v>
      </c>
      <c r="E665" s="29" t="s">
        <v>172</v>
      </c>
      <c r="F665" s="28" t="s">
        <v>969</v>
      </c>
      <c r="G665" s="28" t="s">
        <v>1007</v>
      </c>
      <c r="H665" s="28" t="s">
        <v>174</v>
      </c>
      <c r="I665" s="28" t="s">
        <v>174</v>
      </c>
      <c r="J665" s="30" t="s">
        <v>174</v>
      </c>
      <c r="K665" s="28" t="s">
        <v>293</v>
      </c>
      <c r="L665" s="31">
        <v>43374</v>
      </c>
      <c r="M665" s="28">
        <v>10</v>
      </c>
      <c r="N665" s="32" t="s">
        <v>191</v>
      </c>
      <c r="O665" s="28" t="s">
        <v>185</v>
      </c>
      <c r="P665" s="28" t="s">
        <v>1971</v>
      </c>
      <c r="Q665" s="28" t="s">
        <v>1969</v>
      </c>
      <c r="R665" s="28" t="s">
        <v>1294</v>
      </c>
    </row>
    <row r="666" spans="1:18" hidden="1">
      <c r="A666" s="28">
        <v>7</v>
      </c>
      <c r="B666" s="29" t="s">
        <v>776</v>
      </c>
      <c r="C666" s="29" t="s">
        <v>1946</v>
      </c>
      <c r="D666" s="29" t="s">
        <v>1947</v>
      </c>
      <c r="E666" s="29" t="s">
        <v>172</v>
      </c>
      <c r="F666" s="28" t="s">
        <v>1245</v>
      </c>
      <c r="G666" s="28" t="s">
        <v>1246</v>
      </c>
      <c r="H666" s="28" t="s">
        <v>174</v>
      </c>
      <c r="I666" s="28" t="s">
        <v>174</v>
      </c>
      <c r="J666" s="30" t="s">
        <v>174</v>
      </c>
      <c r="K666" s="28" t="s">
        <v>361</v>
      </c>
      <c r="L666" s="31">
        <v>43435</v>
      </c>
      <c r="M666" s="28">
        <v>12</v>
      </c>
      <c r="N666" s="32" t="s">
        <v>176</v>
      </c>
      <c r="O666" s="28" t="s">
        <v>185</v>
      </c>
      <c r="P666" s="28" t="s">
        <v>1972</v>
      </c>
      <c r="Q666" s="28" t="s">
        <v>1051</v>
      </c>
      <c r="R666" s="28" t="s">
        <v>1265</v>
      </c>
    </row>
    <row r="667" spans="1:18" hidden="1">
      <c r="A667" s="28">
        <v>7</v>
      </c>
      <c r="B667" s="29" t="s">
        <v>776</v>
      </c>
      <c r="C667" s="29" t="s">
        <v>1946</v>
      </c>
      <c r="D667" s="29" t="s">
        <v>1947</v>
      </c>
      <c r="E667" s="29" t="s">
        <v>172</v>
      </c>
      <c r="F667" s="28" t="s">
        <v>1245</v>
      </c>
      <c r="G667" s="28" t="s">
        <v>1246</v>
      </c>
      <c r="H667" s="28" t="s">
        <v>174</v>
      </c>
      <c r="I667" s="28" t="s">
        <v>174</v>
      </c>
      <c r="J667" s="30" t="s">
        <v>174</v>
      </c>
      <c r="K667" s="28" t="s">
        <v>1136</v>
      </c>
      <c r="L667" s="31">
        <v>43497</v>
      </c>
      <c r="M667" s="28">
        <v>2</v>
      </c>
      <c r="N667" s="32" t="s">
        <v>176</v>
      </c>
      <c r="O667" s="28" t="s">
        <v>185</v>
      </c>
      <c r="P667" s="28" t="s">
        <v>1973</v>
      </c>
      <c r="Q667" s="28" t="s">
        <v>1969</v>
      </c>
      <c r="R667" s="28" t="s">
        <v>1294</v>
      </c>
    </row>
    <row r="668" spans="1:18" hidden="1">
      <c r="A668" s="28">
        <v>7</v>
      </c>
      <c r="B668" s="29" t="s">
        <v>776</v>
      </c>
      <c r="C668" s="29" t="s">
        <v>1946</v>
      </c>
      <c r="D668" s="29" t="s">
        <v>1947</v>
      </c>
      <c r="E668" s="29" t="s">
        <v>172</v>
      </c>
      <c r="F668" s="28" t="s">
        <v>969</v>
      </c>
      <c r="G668" s="28" t="s">
        <v>970</v>
      </c>
      <c r="H668" s="28" t="s">
        <v>384</v>
      </c>
      <c r="I668" s="28">
        <v>5</v>
      </c>
      <c r="J668" s="30">
        <v>4.9000000000000002E-2</v>
      </c>
      <c r="K668" s="28" t="s">
        <v>844</v>
      </c>
      <c r="L668" s="31">
        <v>43586</v>
      </c>
      <c r="M668" s="28">
        <v>5</v>
      </c>
      <c r="N668" s="32" t="s">
        <v>191</v>
      </c>
      <c r="O668" s="28" t="s">
        <v>185</v>
      </c>
      <c r="P668" s="28" t="s">
        <v>1974</v>
      </c>
      <c r="Q668" s="28" t="s">
        <v>1051</v>
      </c>
      <c r="R668" s="28" t="s">
        <v>1265</v>
      </c>
    </row>
    <row r="669" spans="1:18" hidden="1">
      <c r="A669" s="28">
        <v>7</v>
      </c>
      <c r="B669" s="29" t="s">
        <v>776</v>
      </c>
      <c r="C669" s="29" t="s">
        <v>1946</v>
      </c>
      <c r="D669" s="29" t="s">
        <v>1947</v>
      </c>
      <c r="E669" s="29" t="s">
        <v>172</v>
      </c>
      <c r="F669" s="28" t="s">
        <v>969</v>
      </c>
      <c r="G669" s="28" t="s">
        <v>1000</v>
      </c>
      <c r="H669" s="28" t="s">
        <v>384</v>
      </c>
      <c r="I669" s="28">
        <v>9</v>
      </c>
      <c r="J669" s="30">
        <v>3.4000000000000002E-2</v>
      </c>
      <c r="K669" s="28" t="s">
        <v>183</v>
      </c>
      <c r="L669" s="31">
        <v>43983</v>
      </c>
      <c r="M669" s="28">
        <v>6</v>
      </c>
      <c r="N669" s="32" t="s">
        <v>184</v>
      </c>
      <c r="O669" s="28" t="s">
        <v>185</v>
      </c>
      <c r="P669" s="28" t="s">
        <v>1975</v>
      </c>
      <c r="Q669" s="28" t="s">
        <v>1051</v>
      </c>
      <c r="R669" s="28" t="s">
        <v>1319</v>
      </c>
    </row>
    <row r="670" spans="1:18" hidden="1">
      <c r="A670" s="28">
        <v>7</v>
      </c>
      <c r="B670" s="29" t="s">
        <v>776</v>
      </c>
      <c r="C670" s="29" t="s">
        <v>1946</v>
      </c>
      <c r="D670" s="29" t="s">
        <v>1947</v>
      </c>
      <c r="E670" s="29" t="s">
        <v>172</v>
      </c>
      <c r="F670" s="28" t="s">
        <v>969</v>
      </c>
      <c r="G670" s="28" t="s">
        <v>970</v>
      </c>
      <c r="H670" s="28" t="s">
        <v>384</v>
      </c>
      <c r="I670" s="28">
        <v>5</v>
      </c>
      <c r="J670" s="30">
        <v>4.9000000000000002E-2</v>
      </c>
      <c r="K670" s="28" t="s">
        <v>643</v>
      </c>
      <c r="L670" s="31">
        <v>44013</v>
      </c>
      <c r="M670" s="28">
        <v>7</v>
      </c>
      <c r="N670" s="32" t="s">
        <v>184</v>
      </c>
      <c r="O670" s="28" t="s">
        <v>185</v>
      </c>
      <c r="P670" s="28" t="s">
        <v>1976</v>
      </c>
      <c r="Q670" s="28" t="s">
        <v>1051</v>
      </c>
      <c r="R670" s="28" t="s">
        <v>1265</v>
      </c>
    </row>
    <row r="671" spans="1:18" hidden="1">
      <c r="A671" s="28">
        <v>7</v>
      </c>
      <c r="B671" s="29" t="s">
        <v>776</v>
      </c>
      <c r="C671" s="29" t="s">
        <v>1946</v>
      </c>
      <c r="D671" s="29" t="s">
        <v>1947</v>
      </c>
      <c r="E671" s="29" t="s">
        <v>172</v>
      </c>
      <c r="F671" s="28" t="s">
        <v>969</v>
      </c>
      <c r="G671" s="28" t="s">
        <v>1000</v>
      </c>
      <c r="H671" s="28" t="s">
        <v>384</v>
      </c>
      <c r="I671" s="28">
        <v>9</v>
      </c>
      <c r="J671" s="30">
        <v>3.4000000000000002E-2</v>
      </c>
      <c r="K671" s="28" t="s">
        <v>218</v>
      </c>
      <c r="L671" s="31">
        <v>44044</v>
      </c>
      <c r="M671" s="28">
        <v>8</v>
      </c>
      <c r="N671" s="32" t="s">
        <v>184</v>
      </c>
      <c r="O671" s="28" t="s">
        <v>185</v>
      </c>
      <c r="P671" s="28" t="s">
        <v>1977</v>
      </c>
      <c r="Q671" s="28" t="s">
        <v>1978</v>
      </c>
      <c r="R671" s="28" t="s">
        <v>1979</v>
      </c>
    </row>
    <row r="672" spans="1:18" hidden="1">
      <c r="A672" s="28">
        <v>7</v>
      </c>
      <c r="B672" s="29" t="s">
        <v>776</v>
      </c>
      <c r="C672" s="29" t="s">
        <v>1946</v>
      </c>
      <c r="D672" s="29" t="s">
        <v>1947</v>
      </c>
      <c r="E672" s="29" t="s">
        <v>172</v>
      </c>
      <c r="F672" s="28" t="s">
        <v>1245</v>
      </c>
      <c r="G672" s="28" t="s">
        <v>1246</v>
      </c>
      <c r="H672" s="28" t="s">
        <v>174</v>
      </c>
      <c r="I672" s="28" t="s">
        <v>174</v>
      </c>
      <c r="J672" s="30" t="s">
        <v>174</v>
      </c>
      <c r="K672" s="28" t="s">
        <v>632</v>
      </c>
      <c r="L672" s="31">
        <v>44378</v>
      </c>
      <c r="M672" s="28">
        <v>7</v>
      </c>
      <c r="N672" s="32" t="s">
        <v>184</v>
      </c>
      <c r="O672" s="28" t="s">
        <v>204</v>
      </c>
      <c r="P672" s="28" t="s">
        <v>1980</v>
      </c>
      <c r="Q672" s="28" t="s">
        <v>1981</v>
      </c>
      <c r="R672" s="28" t="s">
        <v>1982</v>
      </c>
    </row>
    <row r="673" spans="1:18" hidden="1">
      <c r="A673" s="28">
        <v>7</v>
      </c>
      <c r="B673" s="29" t="s">
        <v>776</v>
      </c>
      <c r="C673" s="29" t="s">
        <v>1946</v>
      </c>
      <c r="D673" s="29" t="s">
        <v>1947</v>
      </c>
      <c r="E673" s="29" t="s">
        <v>172</v>
      </c>
      <c r="F673" s="28" t="s">
        <v>1245</v>
      </c>
      <c r="G673" s="28" t="s">
        <v>1246</v>
      </c>
      <c r="H673" s="28" t="s">
        <v>174</v>
      </c>
      <c r="I673" s="28" t="s">
        <v>174</v>
      </c>
      <c r="J673" s="30" t="s">
        <v>174</v>
      </c>
      <c r="K673" s="28" t="s">
        <v>632</v>
      </c>
      <c r="L673" s="31">
        <v>44378</v>
      </c>
      <c r="M673" s="28">
        <v>7</v>
      </c>
      <c r="N673" s="32" t="s">
        <v>184</v>
      </c>
      <c r="O673" s="28" t="s">
        <v>185</v>
      </c>
      <c r="P673" s="28" t="s">
        <v>1983</v>
      </c>
      <c r="Q673" s="28" t="s">
        <v>1969</v>
      </c>
      <c r="R673" s="28" t="s">
        <v>1294</v>
      </c>
    </row>
    <row r="674" spans="1:18" hidden="1">
      <c r="A674" s="28">
        <v>8</v>
      </c>
      <c r="B674" s="29" t="s">
        <v>371</v>
      </c>
      <c r="C674" s="29" t="s">
        <v>787</v>
      </c>
      <c r="D674" s="29" t="s">
        <v>788</v>
      </c>
      <c r="E674" s="29" t="s">
        <v>374</v>
      </c>
      <c r="F674" s="28" t="s">
        <v>969</v>
      </c>
      <c r="G674" s="28" t="s">
        <v>1007</v>
      </c>
      <c r="H674" s="28" t="s">
        <v>174</v>
      </c>
      <c r="I674" s="28" t="s">
        <v>174</v>
      </c>
      <c r="J674" s="30" t="s">
        <v>174</v>
      </c>
      <c r="K674" s="28" t="s">
        <v>1984</v>
      </c>
      <c r="L674" s="31">
        <v>43344</v>
      </c>
      <c r="M674" s="28">
        <v>9</v>
      </c>
      <c r="N674" s="32" t="s">
        <v>191</v>
      </c>
      <c r="O674" s="28" t="s">
        <v>204</v>
      </c>
      <c r="P674" s="28" t="s">
        <v>1985</v>
      </c>
      <c r="Q674" s="28" t="s">
        <v>1986</v>
      </c>
      <c r="R674" s="28" t="s">
        <v>1987</v>
      </c>
    </row>
    <row r="675" spans="1:18" hidden="1">
      <c r="A675" s="28">
        <v>8</v>
      </c>
      <c r="B675" s="29" t="s">
        <v>371</v>
      </c>
      <c r="C675" s="29" t="s">
        <v>787</v>
      </c>
      <c r="D675" s="29" t="s">
        <v>1988</v>
      </c>
      <c r="E675" s="29" t="s">
        <v>374</v>
      </c>
      <c r="F675" s="28" t="s">
        <v>969</v>
      </c>
      <c r="G675" s="28" t="s">
        <v>1335</v>
      </c>
      <c r="H675" s="28" t="s">
        <v>174</v>
      </c>
      <c r="I675" s="28" t="s">
        <v>174</v>
      </c>
      <c r="J675" s="30" t="s">
        <v>174</v>
      </c>
      <c r="K675" s="28" t="s">
        <v>479</v>
      </c>
      <c r="L675" s="31">
        <v>43770</v>
      </c>
      <c r="M675" s="28">
        <v>11</v>
      </c>
      <c r="N675" s="32" t="s">
        <v>191</v>
      </c>
      <c r="O675" s="28" t="s">
        <v>204</v>
      </c>
      <c r="P675" s="28" t="s">
        <v>1989</v>
      </c>
      <c r="Q675" s="28" t="s">
        <v>1990</v>
      </c>
      <c r="R675" s="28" t="s">
        <v>1991</v>
      </c>
    </row>
    <row r="676" spans="1:18" hidden="1">
      <c r="A676" s="28">
        <v>9</v>
      </c>
      <c r="B676" s="29" t="s">
        <v>1992</v>
      </c>
      <c r="C676" s="29" t="s">
        <v>1993</v>
      </c>
      <c r="D676" s="29" t="s">
        <v>1994</v>
      </c>
      <c r="E676" s="29" t="s">
        <v>374</v>
      </c>
      <c r="F676" s="28" t="s">
        <v>969</v>
      </c>
      <c r="G676" s="28" t="s">
        <v>1000</v>
      </c>
      <c r="H676" s="28" t="s">
        <v>384</v>
      </c>
      <c r="I676" s="28">
        <v>9</v>
      </c>
      <c r="J676" s="30">
        <v>3.4000000000000002E-2</v>
      </c>
      <c r="K676" s="28" t="s">
        <v>752</v>
      </c>
      <c r="L676" s="31">
        <v>43709</v>
      </c>
      <c r="M676" s="28">
        <v>9</v>
      </c>
      <c r="N676" s="32" t="s">
        <v>191</v>
      </c>
      <c r="O676" s="28" t="s">
        <v>1060</v>
      </c>
      <c r="P676" s="28" t="s">
        <v>1995</v>
      </c>
      <c r="Q676" s="28" t="s">
        <v>1996</v>
      </c>
      <c r="R676" s="28" t="s">
        <v>1997</v>
      </c>
    </row>
    <row r="677" spans="1:18" hidden="1">
      <c r="A677" s="28">
        <v>9</v>
      </c>
      <c r="B677" s="29" t="s">
        <v>1992</v>
      </c>
      <c r="C677" s="29" t="s">
        <v>1998</v>
      </c>
      <c r="D677" s="29" t="s">
        <v>1999</v>
      </c>
      <c r="E677" s="29" t="s">
        <v>374</v>
      </c>
      <c r="F677" s="28" t="s">
        <v>969</v>
      </c>
      <c r="G677" s="28" t="s">
        <v>1007</v>
      </c>
      <c r="H677" s="28" t="s">
        <v>174</v>
      </c>
      <c r="I677" s="28" t="s">
        <v>174</v>
      </c>
      <c r="J677" s="30" t="s">
        <v>174</v>
      </c>
      <c r="K677" s="28" t="s">
        <v>752</v>
      </c>
      <c r="L677" s="31">
        <v>43709</v>
      </c>
      <c r="M677" s="28">
        <v>9</v>
      </c>
      <c r="N677" s="32" t="s">
        <v>191</v>
      </c>
      <c r="O677" s="28" t="s">
        <v>794</v>
      </c>
      <c r="P677" s="28" t="s">
        <v>2000</v>
      </c>
      <c r="Q677" s="28" t="s">
        <v>2001</v>
      </c>
      <c r="R677" s="28" t="s">
        <v>2002</v>
      </c>
    </row>
    <row r="678" spans="1:18" hidden="1">
      <c r="A678" s="28">
        <v>9</v>
      </c>
      <c r="B678" s="29" t="s">
        <v>1992</v>
      </c>
      <c r="C678" s="29" t="s">
        <v>2003</v>
      </c>
      <c r="D678" s="29" t="s">
        <v>2004</v>
      </c>
      <c r="E678" s="29" t="s">
        <v>374</v>
      </c>
      <c r="F678" s="28" t="s">
        <v>969</v>
      </c>
      <c r="G678" s="28" t="s">
        <v>970</v>
      </c>
      <c r="H678" s="28" t="s">
        <v>384</v>
      </c>
      <c r="I678" s="28">
        <v>5</v>
      </c>
      <c r="J678" s="30">
        <v>4.9000000000000002E-2</v>
      </c>
      <c r="K678" s="28" t="s">
        <v>678</v>
      </c>
      <c r="L678" s="31">
        <v>43344</v>
      </c>
      <c r="M678" s="28">
        <v>9</v>
      </c>
      <c r="N678" s="32" t="s">
        <v>191</v>
      </c>
      <c r="O678" s="28" t="s">
        <v>185</v>
      </c>
      <c r="P678" s="28" t="s">
        <v>2005</v>
      </c>
      <c r="Q678" s="28" t="s">
        <v>1051</v>
      </c>
      <c r="R678" s="28" t="s">
        <v>1265</v>
      </c>
    </row>
    <row r="679" spans="1:18" hidden="1">
      <c r="A679" s="28">
        <v>9</v>
      </c>
      <c r="B679" s="29" t="s">
        <v>1992</v>
      </c>
      <c r="C679" s="29" t="s">
        <v>2006</v>
      </c>
      <c r="D679" s="29" t="s">
        <v>2007</v>
      </c>
      <c r="E679" s="29" t="s">
        <v>374</v>
      </c>
      <c r="F679" s="28" t="s">
        <v>969</v>
      </c>
      <c r="G679" s="28" t="s">
        <v>1007</v>
      </c>
      <c r="H679" s="28" t="s">
        <v>174</v>
      </c>
      <c r="I679" s="28" t="s">
        <v>174</v>
      </c>
      <c r="J679" s="30" t="s">
        <v>174</v>
      </c>
      <c r="K679" s="28" t="s">
        <v>183</v>
      </c>
      <c r="L679" s="31">
        <v>43983</v>
      </c>
      <c r="M679" s="28">
        <v>6</v>
      </c>
      <c r="N679" s="32" t="s">
        <v>184</v>
      </c>
      <c r="O679" s="28" t="s">
        <v>794</v>
      </c>
      <c r="P679" s="28" t="s">
        <v>2008</v>
      </c>
      <c r="Q679" s="28" t="s">
        <v>2001</v>
      </c>
      <c r="R679" s="28" t="s">
        <v>2002</v>
      </c>
    </row>
    <row r="680" spans="1:18" hidden="1">
      <c r="A680" s="28">
        <v>1</v>
      </c>
      <c r="B680" s="29" t="s">
        <v>379</v>
      </c>
      <c r="C680" s="29" t="s">
        <v>1048</v>
      </c>
      <c r="D680" s="29" t="s">
        <v>1049</v>
      </c>
      <c r="E680" s="29" t="s">
        <v>172</v>
      </c>
      <c r="F680" s="28" t="s">
        <v>2009</v>
      </c>
      <c r="G680" s="28" t="s">
        <v>2010</v>
      </c>
      <c r="H680" s="28" t="s">
        <v>174</v>
      </c>
      <c r="I680" s="28" t="s">
        <v>174</v>
      </c>
      <c r="J680" s="30" t="s">
        <v>174</v>
      </c>
      <c r="K680" s="28" t="s">
        <v>742</v>
      </c>
      <c r="L680" s="31">
        <v>42948</v>
      </c>
      <c r="M680" s="28">
        <v>8</v>
      </c>
      <c r="N680" s="32" t="s">
        <v>184</v>
      </c>
      <c r="O680" s="28" t="s">
        <v>204</v>
      </c>
      <c r="P680" s="28" t="s">
        <v>2011</v>
      </c>
      <c r="Q680" s="28" t="s">
        <v>2012</v>
      </c>
      <c r="R680" s="28" t="s">
        <v>978</v>
      </c>
    </row>
    <row r="681" spans="1:18" hidden="1">
      <c r="A681" s="28">
        <v>1</v>
      </c>
      <c r="B681" s="29" t="s">
        <v>379</v>
      </c>
      <c r="C681" s="29" t="s">
        <v>1048</v>
      </c>
      <c r="D681" s="29" t="s">
        <v>1074</v>
      </c>
      <c r="E681" s="29" t="s">
        <v>172</v>
      </c>
      <c r="F681" s="28" t="s">
        <v>2009</v>
      </c>
      <c r="G681" s="28" t="s">
        <v>2013</v>
      </c>
      <c r="H681" s="28" t="s">
        <v>384</v>
      </c>
      <c r="I681" s="28">
        <v>2</v>
      </c>
      <c r="J681" s="30">
        <v>8.5000000000000006E-2</v>
      </c>
      <c r="K681" s="28" t="s">
        <v>435</v>
      </c>
      <c r="L681" s="31">
        <v>43040</v>
      </c>
      <c r="M681" s="28">
        <v>11</v>
      </c>
      <c r="N681" s="32" t="s">
        <v>191</v>
      </c>
      <c r="O681" s="28" t="s">
        <v>1060</v>
      </c>
      <c r="P681" s="28" t="s">
        <v>2014</v>
      </c>
      <c r="Q681" s="28" t="s">
        <v>2015</v>
      </c>
      <c r="R681" s="28" t="s">
        <v>2016</v>
      </c>
    </row>
    <row r="682" spans="1:18" hidden="1">
      <c r="A682" s="28">
        <v>1</v>
      </c>
      <c r="B682" s="29" t="s">
        <v>379</v>
      </c>
      <c r="C682" s="29" t="s">
        <v>395</v>
      </c>
      <c r="D682" s="29" t="s">
        <v>1081</v>
      </c>
      <c r="E682" s="29" t="s">
        <v>172</v>
      </c>
      <c r="F682" s="28" t="s">
        <v>2009</v>
      </c>
      <c r="G682" s="28" t="s">
        <v>2010</v>
      </c>
      <c r="H682" s="28" t="s">
        <v>174</v>
      </c>
      <c r="I682" s="28" t="s">
        <v>174</v>
      </c>
      <c r="J682" s="30" t="s">
        <v>174</v>
      </c>
      <c r="K682" s="28" t="s">
        <v>263</v>
      </c>
      <c r="L682" s="31">
        <v>42430</v>
      </c>
      <c r="M682" s="28">
        <v>3</v>
      </c>
      <c r="N682" s="32" t="s">
        <v>191</v>
      </c>
      <c r="O682" s="28" t="s">
        <v>794</v>
      </c>
      <c r="P682" s="28" t="s">
        <v>2017</v>
      </c>
      <c r="Q682" s="28" t="s">
        <v>2018</v>
      </c>
      <c r="R682" s="28" t="s">
        <v>2019</v>
      </c>
    </row>
    <row r="683" spans="1:18" hidden="1">
      <c r="A683" s="28">
        <v>1</v>
      </c>
      <c r="B683" s="29" t="s">
        <v>379</v>
      </c>
      <c r="C683" s="29" t="s">
        <v>395</v>
      </c>
      <c r="D683" s="29" t="s">
        <v>1081</v>
      </c>
      <c r="E683" s="29" t="s">
        <v>172</v>
      </c>
      <c r="F683" s="28" t="s">
        <v>2009</v>
      </c>
      <c r="G683" s="28" t="s">
        <v>2010</v>
      </c>
      <c r="H683" s="28" t="s">
        <v>174</v>
      </c>
      <c r="I683" s="28" t="s">
        <v>174</v>
      </c>
      <c r="J683" s="30" t="s">
        <v>174</v>
      </c>
      <c r="K683" s="28" t="s">
        <v>208</v>
      </c>
      <c r="L683" s="31">
        <v>43101</v>
      </c>
      <c r="M683" s="28">
        <v>1</v>
      </c>
      <c r="N683" s="32" t="s">
        <v>176</v>
      </c>
      <c r="O683" s="28" t="s">
        <v>794</v>
      </c>
      <c r="P683" s="28" t="s">
        <v>2020</v>
      </c>
      <c r="Q683" s="28" t="s">
        <v>2021</v>
      </c>
      <c r="R683" s="28" t="s">
        <v>2022</v>
      </c>
    </row>
    <row r="684" spans="1:18" hidden="1">
      <c r="A684" s="28">
        <v>1</v>
      </c>
      <c r="B684" s="29" t="s">
        <v>379</v>
      </c>
      <c r="C684" s="29" t="s">
        <v>395</v>
      </c>
      <c r="D684" s="29" t="s">
        <v>1081</v>
      </c>
      <c r="E684" s="29" t="s">
        <v>172</v>
      </c>
      <c r="F684" s="28" t="s">
        <v>2009</v>
      </c>
      <c r="G684" s="28" t="s">
        <v>2010</v>
      </c>
      <c r="H684" s="28" t="s">
        <v>174</v>
      </c>
      <c r="I684" s="28" t="s">
        <v>174</v>
      </c>
      <c r="J684" s="30" t="s">
        <v>174</v>
      </c>
      <c r="K684" s="28" t="s">
        <v>483</v>
      </c>
      <c r="L684" s="31">
        <v>44197</v>
      </c>
      <c r="M684" s="28">
        <v>1</v>
      </c>
      <c r="N684" s="32" t="s">
        <v>176</v>
      </c>
      <c r="O684" s="28" t="s">
        <v>177</v>
      </c>
      <c r="P684" s="28" t="s">
        <v>2023</v>
      </c>
      <c r="Q684" s="28" t="s">
        <v>1084</v>
      </c>
      <c r="R684" s="28" t="s">
        <v>1085</v>
      </c>
    </row>
    <row r="685" spans="1:18" hidden="1">
      <c r="A685" s="28">
        <v>1</v>
      </c>
      <c r="B685" s="29" t="s">
        <v>379</v>
      </c>
      <c r="C685" s="29" t="s">
        <v>1193</v>
      </c>
      <c r="D685" s="29" t="s">
        <v>1194</v>
      </c>
      <c r="E685" s="29" t="s">
        <v>172</v>
      </c>
      <c r="F685" s="28" t="s">
        <v>2009</v>
      </c>
      <c r="G685" s="28" t="s">
        <v>2013</v>
      </c>
      <c r="H685" s="28" t="s">
        <v>384</v>
      </c>
      <c r="I685" s="28">
        <v>2</v>
      </c>
      <c r="J685" s="30">
        <v>8.5000000000000006E-2</v>
      </c>
      <c r="K685" s="28" t="s">
        <v>435</v>
      </c>
      <c r="L685" s="31">
        <v>43040</v>
      </c>
      <c r="M685" s="28">
        <v>11</v>
      </c>
      <c r="N685" s="32" t="s">
        <v>191</v>
      </c>
      <c r="O685" s="28" t="s">
        <v>185</v>
      </c>
      <c r="P685" s="28" t="s">
        <v>2024</v>
      </c>
      <c r="Q685" s="28" t="s">
        <v>1051</v>
      </c>
      <c r="R685" s="28" t="s">
        <v>1200</v>
      </c>
    </row>
    <row r="686" spans="1:18" hidden="1">
      <c r="A686" s="28">
        <v>1</v>
      </c>
      <c r="B686" s="29" t="s">
        <v>379</v>
      </c>
      <c r="C686" s="29" t="s">
        <v>1193</v>
      </c>
      <c r="D686" s="29" t="s">
        <v>1203</v>
      </c>
      <c r="E686" s="29" t="s">
        <v>172</v>
      </c>
      <c r="F686" s="28" t="s">
        <v>2009</v>
      </c>
      <c r="G686" s="28" t="s">
        <v>2013</v>
      </c>
      <c r="H686" s="28" t="s">
        <v>384</v>
      </c>
      <c r="I686" s="28">
        <v>2</v>
      </c>
      <c r="J686" s="30">
        <v>8.5000000000000006E-2</v>
      </c>
      <c r="K686" s="28" t="s">
        <v>401</v>
      </c>
      <c r="L686" s="31">
        <v>42705</v>
      </c>
      <c r="M686" s="28">
        <v>12</v>
      </c>
      <c r="N686" s="32" t="s">
        <v>176</v>
      </c>
      <c r="O686" s="28" t="s">
        <v>794</v>
      </c>
      <c r="P686" s="28" t="s">
        <v>2025</v>
      </c>
      <c r="Q686" s="28" t="s">
        <v>2026</v>
      </c>
      <c r="R686" s="28" t="s">
        <v>2027</v>
      </c>
    </row>
    <row r="687" spans="1:18" hidden="1">
      <c r="A687" s="28">
        <v>11</v>
      </c>
      <c r="B687" s="29" t="s">
        <v>169</v>
      </c>
      <c r="C687" s="29" t="s">
        <v>170</v>
      </c>
      <c r="D687" s="29" t="s">
        <v>171</v>
      </c>
      <c r="E687" s="29" t="s">
        <v>172</v>
      </c>
      <c r="F687" s="28" t="s">
        <v>2009</v>
      </c>
      <c r="G687" s="28" t="s">
        <v>2028</v>
      </c>
      <c r="H687" s="28" t="s">
        <v>174</v>
      </c>
      <c r="I687" s="28" t="s">
        <v>174</v>
      </c>
      <c r="J687" s="30" t="s">
        <v>174</v>
      </c>
      <c r="K687" s="28" t="s">
        <v>328</v>
      </c>
      <c r="L687" s="31">
        <v>43891</v>
      </c>
      <c r="M687" s="28">
        <v>3</v>
      </c>
      <c r="N687" s="32" t="s">
        <v>191</v>
      </c>
      <c r="O687" s="28" t="s">
        <v>794</v>
      </c>
      <c r="P687" s="28" t="s">
        <v>2029</v>
      </c>
      <c r="Q687" s="28" t="s">
        <v>2030</v>
      </c>
      <c r="R687" s="28" t="s">
        <v>2031</v>
      </c>
    </row>
    <row r="688" spans="1:18" hidden="1">
      <c r="A688" s="28">
        <v>11</v>
      </c>
      <c r="B688" s="29" t="s">
        <v>169</v>
      </c>
      <c r="C688" s="29" t="s">
        <v>181</v>
      </c>
      <c r="D688" s="29" t="s">
        <v>182</v>
      </c>
      <c r="E688" s="29" t="s">
        <v>172</v>
      </c>
      <c r="F688" s="28" t="s">
        <v>2009</v>
      </c>
      <c r="G688" s="28" t="s">
        <v>2028</v>
      </c>
      <c r="H688" s="28" t="s">
        <v>174</v>
      </c>
      <c r="I688" s="28" t="s">
        <v>174</v>
      </c>
      <c r="J688" s="30" t="s">
        <v>174</v>
      </c>
      <c r="K688" s="28" t="s">
        <v>643</v>
      </c>
      <c r="L688" s="31">
        <v>44013</v>
      </c>
      <c r="M688" s="28">
        <v>7</v>
      </c>
      <c r="N688" s="32" t="s">
        <v>184</v>
      </c>
      <c r="O688" s="28" t="s">
        <v>185</v>
      </c>
      <c r="P688" s="28" t="s">
        <v>2032</v>
      </c>
      <c r="Q688" s="28" t="s">
        <v>2033</v>
      </c>
      <c r="R688" s="28" t="s">
        <v>2034</v>
      </c>
    </row>
    <row r="689" spans="1:18" hidden="1">
      <c r="A689" s="28">
        <v>11</v>
      </c>
      <c r="B689" s="29" t="s">
        <v>169</v>
      </c>
      <c r="C689" s="29" t="s">
        <v>181</v>
      </c>
      <c r="D689" s="29" t="s">
        <v>189</v>
      </c>
      <c r="E689" s="29" t="s">
        <v>172</v>
      </c>
      <c r="F689" s="28" t="s">
        <v>2009</v>
      </c>
      <c r="G689" s="28" t="s">
        <v>2035</v>
      </c>
      <c r="H689" s="28" t="s">
        <v>174</v>
      </c>
      <c r="I689" s="28" t="s">
        <v>174</v>
      </c>
      <c r="J689" s="30" t="s">
        <v>174</v>
      </c>
      <c r="K689" s="28" t="s">
        <v>2036</v>
      </c>
      <c r="L689" s="31">
        <v>43344</v>
      </c>
      <c r="M689" s="28">
        <v>9</v>
      </c>
      <c r="N689" s="32" t="s">
        <v>191</v>
      </c>
      <c r="O689" s="28" t="s">
        <v>185</v>
      </c>
      <c r="P689" s="28" t="s">
        <v>2037</v>
      </c>
      <c r="Q689" s="28" t="s">
        <v>187</v>
      </c>
      <c r="R689" s="28" t="s">
        <v>188</v>
      </c>
    </row>
    <row r="690" spans="1:18" hidden="1">
      <c r="A690" s="28">
        <v>11</v>
      </c>
      <c r="B690" s="29" t="s">
        <v>169</v>
      </c>
      <c r="C690" s="29" t="s">
        <v>181</v>
      </c>
      <c r="D690" s="29" t="s">
        <v>189</v>
      </c>
      <c r="E690" s="29" t="s">
        <v>172</v>
      </c>
      <c r="F690" s="28" t="s">
        <v>2009</v>
      </c>
      <c r="G690" s="28" t="s">
        <v>2035</v>
      </c>
      <c r="H690" s="28" t="s">
        <v>174</v>
      </c>
      <c r="I690" s="28" t="s">
        <v>174</v>
      </c>
      <c r="J690" s="30" t="s">
        <v>174</v>
      </c>
      <c r="K690" s="28" t="s">
        <v>214</v>
      </c>
      <c r="L690" s="31">
        <v>43466</v>
      </c>
      <c r="M690" s="28">
        <v>1</v>
      </c>
      <c r="N690" s="32" t="s">
        <v>176</v>
      </c>
      <c r="O690" s="28" t="s">
        <v>185</v>
      </c>
      <c r="P690" s="28" t="s">
        <v>2038</v>
      </c>
      <c r="Q690" s="28" t="s">
        <v>2039</v>
      </c>
      <c r="R690" s="28" t="s">
        <v>1326</v>
      </c>
    </row>
    <row r="691" spans="1:18" hidden="1">
      <c r="A691" s="28">
        <v>11</v>
      </c>
      <c r="B691" s="29" t="s">
        <v>169</v>
      </c>
      <c r="C691" s="29" t="s">
        <v>181</v>
      </c>
      <c r="D691" s="29" t="s">
        <v>189</v>
      </c>
      <c r="E691" s="29" t="s">
        <v>172</v>
      </c>
      <c r="F691" s="28" t="s">
        <v>2009</v>
      </c>
      <c r="G691" s="28" t="s">
        <v>2028</v>
      </c>
      <c r="H691" s="28" t="s">
        <v>174</v>
      </c>
      <c r="I691" s="28" t="s">
        <v>174</v>
      </c>
      <c r="J691" s="30" t="s">
        <v>174</v>
      </c>
      <c r="K691" s="28" t="s">
        <v>397</v>
      </c>
      <c r="L691" s="31">
        <v>43739</v>
      </c>
      <c r="M691" s="28">
        <v>10</v>
      </c>
      <c r="N691" s="32" t="s">
        <v>191</v>
      </c>
      <c r="O691" s="28" t="s">
        <v>177</v>
      </c>
      <c r="P691" s="28" t="s">
        <v>2040</v>
      </c>
      <c r="Q691" s="28" t="s">
        <v>2041</v>
      </c>
      <c r="R691" s="28" t="s">
        <v>2042</v>
      </c>
    </row>
    <row r="692" spans="1:18" hidden="1">
      <c r="A692" s="28">
        <v>11</v>
      </c>
      <c r="B692" s="29" t="s">
        <v>169</v>
      </c>
      <c r="C692" s="29" t="s">
        <v>181</v>
      </c>
      <c r="D692" s="29" t="s">
        <v>189</v>
      </c>
      <c r="E692" s="29" t="s">
        <v>172</v>
      </c>
      <c r="F692" s="28" t="s">
        <v>2009</v>
      </c>
      <c r="G692" s="28" t="s">
        <v>2028</v>
      </c>
      <c r="H692" s="28" t="s">
        <v>174</v>
      </c>
      <c r="I692" s="28" t="s">
        <v>174</v>
      </c>
      <c r="J692" s="30" t="s">
        <v>174</v>
      </c>
      <c r="K692" s="28" t="s">
        <v>341</v>
      </c>
      <c r="L692" s="31">
        <v>44228</v>
      </c>
      <c r="M692" s="28">
        <v>2</v>
      </c>
      <c r="N692" s="32" t="s">
        <v>176</v>
      </c>
      <c r="O692" s="28" t="s">
        <v>177</v>
      </c>
      <c r="P692" s="28" t="s">
        <v>2043</v>
      </c>
      <c r="Q692" s="28" t="s">
        <v>2044</v>
      </c>
      <c r="R692" s="28" t="s">
        <v>2045</v>
      </c>
    </row>
    <row r="693" spans="1:18" hidden="1">
      <c r="A693" s="28">
        <v>12</v>
      </c>
      <c r="B693" s="29" t="s">
        <v>195</v>
      </c>
      <c r="C693" s="29" t="s">
        <v>196</v>
      </c>
      <c r="D693" s="29" t="s">
        <v>197</v>
      </c>
      <c r="E693" s="29" t="s">
        <v>172</v>
      </c>
      <c r="F693" s="28" t="s">
        <v>2009</v>
      </c>
      <c r="G693" s="28" t="s">
        <v>2046</v>
      </c>
      <c r="H693" s="28" t="s">
        <v>384</v>
      </c>
      <c r="I693" s="28">
        <v>2</v>
      </c>
      <c r="J693" s="30">
        <v>8.5000000000000006E-2</v>
      </c>
      <c r="K693" s="28" t="s">
        <v>391</v>
      </c>
      <c r="L693" s="31">
        <v>42370</v>
      </c>
      <c r="M693" s="28">
        <v>1</v>
      </c>
      <c r="N693" s="32" t="s">
        <v>176</v>
      </c>
      <c r="O693" s="28" t="s">
        <v>204</v>
      </c>
      <c r="P693" s="28" t="s">
        <v>2047</v>
      </c>
      <c r="Q693" s="28" t="s">
        <v>2048</v>
      </c>
      <c r="R693" s="28" t="s">
        <v>2049</v>
      </c>
    </row>
    <row r="694" spans="1:18" hidden="1">
      <c r="A694" s="28">
        <v>12</v>
      </c>
      <c r="B694" s="29" t="s">
        <v>195</v>
      </c>
      <c r="C694" s="29" t="s">
        <v>196</v>
      </c>
      <c r="D694" s="29" t="s">
        <v>197</v>
      </c>
      <c r="E694" s="29" t="s">
        <v>172</v>
      </c>
      <c r="F694" s="28" t="s">
        <v>2009</v>
      </c>
      <c r="G694" s="28" t="s">
        <v>2046</v>
      </c>
      <c r="H694" s="28" t="s">
        <v>384</v>
      </c>
      <c r="I694" s="28">
        <v>2</v>
      </c>
      <c r="J694" s="30">
        <v>8.5000000000000006E-2</v>
      </c>
      <c r="K694" s="28" t="s">
        <v>243</v>
      </c>
      <c r="L694" s="31">
        <v>42461</v>
      </c>
      <c r="M694" s="28">
        <v>4</v>
      </c>
      <c r="N694" s="32" t="s">
        <v>191</v>
      </c>
      <c r="O694" s="28" t="s">
        <v>204</v>
      </c>
      <c r="P694" s="28" t="s">
        <v>2050</v>
      </c>
      <c r="Q694" s="28" t="s">
        <v>2048</v>
      </c>
      <c r="R694" s="28" t="s">
        <v>2049</v>
      </c>
    </row>
    <row r="695" spans="1:18" hidden="1">
      <c r="A695" s="28">
        <v>12</v>
      </c>
      <c r="B695" s="29" t="s">
        <v>195</v>
      </c>
      <c r="C695" s="29" t="s">
        <v>196</v>
      </c>
      <c r="D695" s="29" t="s">
        <v>197</v>
      </c>
      <c r="E695" s="29" t="s">
        <v>172</v>
      </c>
      <c r="F695" s="28" t="s">
        <v>2009</v>
      </c>
      <c r="G695" s="28" t="s">
        <v>2028</v>
      </c>
      <c r="H695" s="28" t="s">
        <v>174</v>
      </c>
      <c r="I695" s="28" t="s">
        <v>174</v>
      </c>
      <c r="J695" s="30" t="s">
        <v>174</v>
      </c>
      <c r="K695" s="28" t="s">
        <v>587</v>
      </c>
      <c r="L695" s="31">
        <v>42736</v>
      </c>
      <c r="M695" s="28">
        <v>1</v>
      </c>
      <c r="N695" s="32" t="s">
        <v>176</v>
      </c>
      <c r="O695" s="28" t="s">
        <v>185</v>
      </c>
      <c r="P695" s="28" t="s">
        <v>2051</v>
      </c>
      <c r="Q695" s="28" t="s">
        <v>2052</v>
      </c>
      <c r="R695" s="28" t="s">
        <v>2053</v>
      </c>
    </row>
    <row r="696" spans="1:18" hidden="1">
      <c r="A696" s="28">
        <v>12</v>
      </c>
      <c r="B696" s="29" t="s">
        <v>195</v>
      </c>
      <c r="C696" s="29" t="s">
        <v>196</v>
      </c>
      <c r="D696" s="29" t="s">
        <v>197</v>
      </c>
      <c r="E696" s="29" t="s">
        <v>172</v>
      </c>
      <c r="F696" s="28" t="s">
        <v>2009</v>
      </c>
      <c r="G696" s="28" t="s">
        <v>2028</v>
      </c>
      <c r="H696" s="28" t="s">
        <v>174</v>
      </c>
      <c r="I696" s="28" t="s">
        <v>174</v>
      </c>
      <c r="J696" s="30" t="s">
        <v>174</v>
      </c>
      <c r="K696" s="28" t="s">
        <v>198</v>
      </c>
      <c r="L696" s="31">
        <v>42767</v>
      </c>
      <c r="M696" s="28">
        <v>2</v>
      </c>
      <c r="N696" s="32" t="s">
        <v>176</v>
      </c>
      <c r="O696" s="28" t="s">
        <v>2054</v>
      </c>
      <c r="P696" s="28" t="s">
        <v>2055</v>
      </c>
      <c r="Q696" s="28" t="s">
        <v>2056</v>
      </c>
      <c r="R696" s="28" t="s">
        <v>2057</v>
      </c>
    </row>
    <row r="697" spans="1:18" hidden="1">
      <c r="A697" s="28">
        <v>12</v>
      </c>
      <c r="B697" s="29" t="s">
        <v>195</v>
      </c>
      <c r="C697" s="29" t="s">
        <v>196</v>
      </c>
      <c r="D697" s="29" t="s">
        <v>197</v>
      </c>
      <c r="E697" s="29" t="s">
        <v>172</v>
      </c>
      <c r="F697" s="28" t="s">
        <v>2009</v>
      </c>
      <c r="G697" s="28" t="s">
        <v>2028</v>
      </c>
      <c r="H697" s="28" t="s">
        <v>174</v>
      </c>
      <c r="I697" s="28" t="s">
        <v>174</v>
      </c>
      <c r="J697" s="30" t="s">
        <v>174</v>
      </c>
      <c r="K697" s="28" t="s">
        <v>198</v>
      </c>
      <c r="L697" s="31">
        <v>42767</v>
      </c>
      <c r="M697" s="28">
        <v>2</v>
      </c>
      <c r="N697" s="32" t="s">
        <v>176</v>
      </c>
      <c r="O697" s="28" t="s">
        <v>177</v>
      </c>
      <c r="P697" s="28" t="s">
        <v>2058</v>
      </c>
      <c r="Q697" s="28" t="s">
        <v>2059</v>
      </c>
      <c r="R697" s="28" t="s">
        <v>2060</v>
      </c>
    </row>
    <row r="698" spans="1:18" hidden="1">
      <c r="A698" s="28">
        <v>12</v>
      </c>
      <c r="B698" s="29" t="s">
        <v>195</v>
      </c>
      <c r="C698" s="29" t="s">
        <v>196</v>
      </c>
      <c r="D698" s="29" t="s">
        <v>197</v>
      </c>
      <c r="E698" s="29" t="s">
        <v>172</v>
      </c>
      <c r="F698" s="28" t="s">
        <v>2009</v>
      </c>
      <c r="G698" s="28" t="s">
        <v>2028</v>
      </c>
      <c r="H698" s="28" t="s">
        <v>174</v>
      </c>
      <c r="I698" s="28" t="s">
        <v>174</v>
      </c>
      <c r="J698" s="30" t="s">
        <v>174</v>
      </c>
      <c r="K698" s="28" t="s">
        <v>435</v>
      </c>
      <c r="L698" s="31">
        <v>43040</v>
      </c>
      <c r="M698" s="28">
        <v>11</v>
      </c>
      <c r="N698" s="32" t="s">
        <v>191</v>
      </c>
      <c r="O698" s="28" t="s">
        <v>185</v>
      </c>
      <c r="P698" s="28" t="s">
        <v>2061</v>
      </c>
      <c r="Q698" s="28" t="s">
        <v>2062</v>
      </c>
      <c r="R698" s="28" t="s">
        <v>2063</v>
      </c>
    </row>
    <row r="699" spans="1:18" hidden="1">
      <c r="A699" s="28">
        <v>12</v>
      </c>
      <c r="B699" s="29" t="s">
        <v>195</v>
      </c>
      <c r="C699" s="29" t="s">
        <v>196</v>
      </c>
      <c r="D699" s="29" t="s">
        <v>197</v>
      </c>
      <c r="E699" s="29" t="s">
        <v>172</v>
      </c>
      <c r="F699" s="28" t="s">
        <v>2009</v>
      </c>
      <c r="G699" s="28" t="s">
        <v>2046</v>
      </c>
      <c r="H699" s="28" t="s">
        <v>384</v>
      </c>
      <c r="I699" s="28">
        <v>2</v>
      </c>
      <c r="J699" s="30">
        <v>8.5000000000000006E-2</v>
      </c>
      <c r="K699" s="28" t="s">
        <v>473</v>
      </c>
      <c r="L699" s="31">
        <v>43160</v>
      </c>
      <c r="M699" s="28">
        <v>3</v>
      </c>
      <c r="N699" s="32" t="s">
        <v>191</v>
      </c>
      <c r="O699" s="28" t="s">
        <v>185</v>
      </c>
      <c r="P699" s="28" t="s">
        <v>2064</v>
      </c>
      <c r="Q699" s="28" t="s">
        <v>2065</v>
      </c>
      <c r="R699" s="28" t="s">
        <v>2066</v>
      </c>
    </row>
    <row r="700" spans="1:18" hidden="1">
      <c r="A700" s="28">
        <v>12</v>
      </c>
      <c r="B700" s="29" t="s">
        <v>195</v>
      </c>
      <c r="C700" s="29" t="s">
        <v>196</v>
      </c>
      <c r="D700" s="29" t="s">
        <v>197</v>
      </c>
      <c r="E700" s="29" t="s">
        <v>172</v>
      </c>
      <c r="F700" s="28" t="s">
        <v>2009</v>
      </c>
      <c r="G700" s="28" t="s">
        <v>2028</v>
      </c>
      <c r="H700" s="28" t="s">
        <v>174</v>
      </c>
      <c r="I700" s="28" t="s">
        <v>174</v>
      </c>
      <c r="J700" s="30" t="s">
        <v>174</v>
      </c>
      <c r="K700" s="28" t="s">
        <v>473</v>
      </c>
      <c r="L700" s="31">
        <v>43160</v>
      </c>
      <c r="M700" s="28">
        <v>3</v>
      </c>
      <c r="N700" s="32" t="s">
        <v>191</v>
      </c>
      <c r="O700" s="28" t="s">
        <v>177</v>
      </c>
      <c r="P700" s="28" t="s">
        <v>2067</v>
      </c>
      <c r="Q700" s="28" t="s">
        <v>2059</v>
      </c>
      <c r="R700" s="28" t="s">
        <v>2060</v>
      </c>
    </row>
    <row r="701" spans="1:18" hidden="1">
      <c r="A701" s="28">
        <v>12</v>
      </c>
      <c r="B701" s="29" t="s">
        <v>195</v>
      </c>
      <c r="C701" s="29" t="s">
        <v>196</v>
      </c>
      <c r="D701" s="29" t="s">
        <v>197</v>
      </c>
      <c r="E701" s="29" t="s">
        <v>172</v>
      </c>
      <c r="F701" s="28" t="s">
        <v>2009</v>
      </c>
      <c r="G701" s="28" t="s">
        <v>2028</v>
      </c>
      <c r="H701" s="28" t="s">
        <v>174</v>
      </c>
      <c r="I701" s="28" t="s">
        <v>174</v>
      </c>
      <c r="J701" s="30" t="s">
        <v>174</v>
      </c>
      <c r="K701" s="28" t="s">
        <v>475</v>
      </c>
      <c r="L701" s="31">
        <v>43191</v>
      </c>
      <c r="M701" s="28">
        <v>4</v>
      </c>
      <c r="N701" s="32" t="s">
        <v>191</v>
      </c>
      <c r="O701" s="28" t="s">
        <v>185</v>
      </c>
      <c r="P701" s="28" t="s">
        <v>2068</v>
      </c>
      <c r="Q701" s="28" t="s">
        <v>2062</v>
      </c>
      <c r="R701" s="28" t="s">
        <v>2063</v>
      </c>
    </row>
    <row r="702" spans="1:18" hidden="1">
      <c r="A702" s="28">
        <v>12</v>
      </c>
      <c r="B702" s="29" t="s">
        <v>195</v>
      </c>
      <c r="C702" s="29" t="s">
        <v>196</v>
      </c>
      <c r="D702" s="29" t="s">
        <v>197</v>
      </c>
      <c r="E702" s="29" t="s">
        <v>172</v>
      </c>
      <c r="F702" s="28" t="s">
        <v>2009</v>
      </c>
      <c r="G702" s="28" t="s">
        <v>2028</v>
      </c>
      <c r="H702" s="28" t="s">
        <v>174</v>
      </c>
      <c r="I702" s="28" t="s">
        <v>174</v>
      </c>
      <c r="J702" s="30" t="s">
        <v>174</v>
      </c>
      <c r="K702" s="28" t="s">
        <v>302</v>
      </c>
      <c r="L702" s="31">
        <v>43282</v>
      </c>
      <c r="M702" s="28">
        <v>7</v>
      </c>
      <c r="N702" s="32" t="s">
        <v>184</v>
      </c>
      <c r="O702" s="28" t="s">
        <v>185</v>
      </c>
      <c r="P702" s="28" t="s">
        <v>2069</v>
      </c>
      <c r="Q702" s="28" t="s">
        <v>2062</v>
      </c>
      <c r="R702" s="28" t="s">
        <v>2063</v>
      </c>
    </row>
    <row r="703" spans="1:18" hidden="1">
      <c r="A703" s="28">
        <v>12</v>
      </c>
      <c r="B703" s="29" t="s">
        <v>195</v>
      </c>
      <c r="C703" s="29" t="s">
        <v>196</v>
      </c>
      <c r="D703" s="29" t="s">
        <v>197</v>
      </c>
      <c r="E703" s="29" t="s">
        <v>172</v>
      </c>
      <c r="F703" s="28" t="s">
        <v>2009</v>
      </c>
      <c r="G703" s="28" t="s">
        <v>2046</v>
      </c>
      <c r="H703" s="28" t="s">
        <v>384</v>
      </c>
      <c r="I703" s="28">
        <v>2</v>
      </c>
      <c r="J703" s="30">
        <v>8.5000000000000006E-2</v>
      </c>
      <c r="K703" s="28" t="s">
        <v>212</v>
      </c>
      <c r="L703" s="31">
        <v>43313</v>
      </c>
      <c r="M703" s="28">
        <v>8</v>
      </c>
      <c r="N703" s="32" t="s">
        <v>184</v>
      </c>
      <c r="O703" s="28" t="s">
        <v>204</v>
      </c>
      <c r="P703" s="28" t="s">
        <v>2070</v>
      </c>
      <c r="Q703" s="28" t="s">
        <v>2071</v>
      </c>
      <c r="R703" s="28" t="s">
        <v>2072</v>
      </c>
    </row>
    <row r="704" spans="1:18" hidden="1">
      <c r="A704" s="28">
        <v>12</v>
      </c>
      <c r="B704" s="29" t="s">
        <v>195</v>
      </c>
      <c r="C704" s="29" t="s">
        <v>196</v>
      </c>
      <c r="D704" s="29" t="s">
        <v>197</v>
      </c>
      <c r="E704" s="29" t="s">
        <v>172</v>
      </c>
      <c r="F704" s="28" t="s">
        <v>2009</v>
      </c>
      <c r="G704" s="28" t="s">
        <v>2046</v>
      </c>
      <c r="H704" s="28" t="s">
        <v>384</v>
      </c>
      <c r="I704" s="28">
        <v>2</v>
      </c>
      <c r="J704" s="30">
        <v>8.5000000000000006E-2</v>
      </c>
      <c r="K704" s="28" t="s">
        <v>479</v>
      </c>
      <c r="L704" s="31">
        <v>43770</v>
      </c>
      <c r="M704" s="28">
        <v>11</v>
      </c>
      <c r="N704" s="32" t="s">
        <v>191</v>
      </c>
      <c r="O704" s="28" t="s">
        <v>204</v>
      </c>
      <c r="P704" s="28" t="s">
        <v>2073</v>
      </c>
      <c r="Q704" s="28" t="s">
        <v>1818</v>
      </c>
      <c r="R704" s="28" t="s">
        <v>1819</v>
      </c>
    </row>
    <row r="705" spans="1:18" hidden="1">
      <c r="A705" s="28">
        <v>12</v>
      </c>
      <c r="B705" s="29" t="s">
        <v>195</v>
      </c>
      <c r="C705" s="29" t="s">
        <v>196</v>
      </c>
      <c r="D705" s="29" t="s">
        <v>197</v>
      </c>
      <c r="E705" s="29" t="s">
        <v>172</v>
      </c>
      <c r="F705" s="28" t="s">
        <v>2009</v>
      </c>
      <c r="G705" s="28" t="s">
        <v>2028</v>
      </c>
      <c r="H705" s="28" t="s">
        <v>174</v>
      </c>
      <c r="I705" s="28" t="s">
        <v>174</v>
      </c>
      <c r="J705" s="30" t="s">
        <v>174</v>
      </c>
      <c r="K705" s="28" t="s">
        <v>415</v>
      </c>
      <c r="L705" s="31">
        <v>43952</v>
      </c>
      <c r="M705" s="28">
        <v>5</v>
      </c>
      <c r="N705" s="32" t="s">
        <v>191</v>
      </c>
      <c r="O705" s="28" t="s">
        <v>204</v>
      </c>
      <c r="P705" s="28" t="s">
        <v>2074</v>
      </c>
      <c r="Q705" s="28" t="s">
        <v>2075</v>
      </c>
      <c r="R705" s="28" t="s">
        <v>2076</v>
      </c>
    </row>
    <row r="706" spans="1:18" hidden="1">
      <c r="A706" s="28">
        <v>12</v>
      </c>
      <c r="B706" s="29" t="s">
        <v>195</v>
      </c>
      <c r="C706" s="29" t="s">
        <v>196</v>
      </c>
      <c r="D706" s="29" t="s">
        <v>197</v>
      </c>
      <c r="E706" s="29" t="s">
        <v>172</v>
      </c>
      <c r="F706" s="28" t="s">
        <v>2009</v>
      </c>
      <c r="G706" s="28" t="s">
        <v>2035</v>
      </c>
      <c r="H706" s="28" t="s">
        <v>174</v>
      </c>
      <c r="I706" s="28" t="s">
        <v>174</v>
      </c>
      <c r="J706" s="30" t="s">
        <v>174</v>
      </c>
      <c r="K706" s="28" t="s">
        <v>643</v>
      </c>
      <c r="L706" s="31">
        <v>44013</v>
      </c>
      <c r="M706" s="28">
        <v>7</v>
      </c>
      <c r="N706" s="32" t="s">
        <v>184</v>
      </c>
      <c r="O706" s="28" t="s">
        <v>204</v>
      </c>
      <c r="P706" s="28" t="s">
        <v>2077</v>
      </c>
      <c r="Q706" s="28" t="s">
        <v>2078</v>
      </c>
      <c r="R706" s="28" t="s">
        <v>2079</v>
      </c>
    </row>
    <row r="707" spans="1:18" hidden="1">
      <c r="A707" s="28">
        <v>12</v>
      </c>
      <c r="B707" s="29" t="s">
        <v>195</v>
      </c>
      <c r="C707" s="29" t="s">
        <v>196</v>
      </c>
      <c r="D707" s="29" t="s">
        <v>197</v>
      </c>
      <c r="E707" s="29" t="s">
        <v>172</v>
      </c>
      <c r="F707" s="28" t="s">
        <v>2009</v>
      </c>
      <c r="G707" s="28" t="s">
        <v>2046</v>
      </c>
      <c r="H707" s="28" t="s">
        <v>384</v>
      </c>
      <c r="I707" s="28">
        <v>2</v>
      </c>
      <c r="J707" s="30">
        <v>8.5000000000000006E-2</v>
      </c>
      <c r="K707" s="28" t="s">
        <v>218</v>
      </c>
      <c r="L707" s="31">
        <v>44044</v>
      </c>
      <c r="M707" s="28">
        <v>8</v>
      </c>
      <c r="N707" s="32" t="s">
        <v>184</v>
      </c>
      <c r="O707" s="28" t="s">
        <v>204</v>
      </c>
      <c r="P707" s="28" t="s">
        <v>2080</v>
      </c>
      <c r="Q707" s="28" t="s">
        <v>2081</v>
      </c>
      <c r="R707" s="28" t="s">
        <v>2082</v>
      </c>
    </row>
    <row r="708" spans="1:18" hidden="1">
      <c r="A708" s="28">
        <v>12</v>
      </c>
      <c r="B708" s="29" t="s">
        <v>195</v>
      </c>
      <c r="C708" s="29" t="s">
        <v>196</v>
      </c>
      <c r="D708" s="29" t="s">
        <v>197</v>
      </c>
      <c r="E708" s="29" t="s">
        <v>172</v>
      </c>
      <c r="F708" s="28" t="s">
        <v>2009</v>
      </c>
      <c r="G708" s="28" t="s">
        <v>2046</v>
      </c>
      <c r="H708" s="28" t="s">
        <v>384</v>
      </c>
      <c r="I708" s="28">
        <v>2</v>
      </c>
      <c r="J708" s="30">
        <v>8.5000000000000006E-2</v>
      </c>
      <c r="K708" s="28" t="s">
        <v>218</v>
      </c>
      <c r="L708" s="31">
        <v>44044</v>
      </c>
      <c r="M708" s="28">
        <v>8</v>
      </c>
      <c r="N708" s="32" t="s">
        <v>184</v>
      </c>
      <c r="O708" s="28" t="s">
        <v>204</v>
      </c>
      <c r="P708" s="28" t="s">
        <v>2083</v>
      </c>
      <c r="Q708" s="28" t="s">
        <v>2048</v>
      </c>
      <c r="R708" s="28" t="s">
        <v>2049</v>
      </c>
    </row>
    <row r="709" spans="1:18" hidden="1">
      <c r="A709" s="28">
        <v>12</v>
      </c>
      <c r="B709" s="29" t="s">
        <v>195</v>
      </c>
      <c r="C709" s="29" t="s">
        <v>196</v>
      </c>
      <c r="D709" s="29" t="s">
        <v>197</v>
      </c>
      <c r="E709" s="29" t="s">
        <v>172</v>
      </c>
      <c r="F709" s="28" t="s">
        <v>2009</v>
      </c>
      <c r="G709" s="28" t="s">
        <v>2046</v>
      </c>
      <c r="H709" s="28" t="s">
        <v>384</v>
      </c>
      <c r="I709" s="28">
        <v>2</v>
      </c>
      <c r="J709" s="30">
        <v>8.5000000000000006E-2</v>
      </c>
      <c r="K709" s="28" t="s">
        <v>823</v>
      </c>
      <c r="L709" s="31">
        <v>44136</v>
      </c>
      <c r="M709" s="28">
        <v>11</v>
      </c>
      <c r="N709" s="32" t="s">
        <v>191</v>
      </c>
      <c r="O709" s="28" t="s">
        <v>204</v>
      </c>
      <c r="P709" s="28" t="s">
        <v>2084</v>
      </c>
      <c r="Q709" s="28" t="s">
        <v>2085</v>
      </c>
      <c r="R709" s="28" t="s">
        <v>2086</v>
      </c>
    </row>
    <row r="710" spans="1:18" hidden="1">
      <c r="A710" s="28">
        <v>12</v>
      </c>
      <c r="B710" s="29" t="s">
        <v>195</v>
      </c>
      <c r="C710" s="29" t="s">
        <v>202</v>
      </c>
      <c r="D710" s="29" t="s">
        <v>2087</v>
      </c>
      <c r="E710" s="29" t="s">
        <v>172</v>
      </c>
      <c r="F710" s="28" t="s">
        <v>2009</v>
      </c>
      <c r="G710" s="28" t="s">
        <v>2013</v>
      </c>
      <c r="H710" s="28" t="s">
        <v>384</v>
      </c>
      <c r="I710" s="28">
        <v>2</v>
      </c>
      <c r="J710" s="30">
        <v>8.5000000000000006E-2</v>
      </c>
      <c r="K710" s="28" t="s">
        <v>341</v>
      </c>
      <c r="L710" s="31">
        <v>44228</v>
      </c>
      <c r="M710" s="28">
        <v>2</v>
      </c>
      <c r="N710" s="32" t="s">
        <v>176</v>
      </c>
      <c r="O710" s="28" t="s">
        <v>244</v>
      </c>
      <c r="P710" s="28" t="s">
        <v>2088</v>
      </c>
      <c r="Q710" s="28" t="s">
        <v>2089</v>
      </c>
      <c r="R710" s="28" t="s">
        <v>2090</v>
      </c>
    </row>
    <row r="711" spans="1:18" hidden="1">
      <c r="A711" s="28">
        <v>12</v>
      </c>
      <c r="B711" s="29" t="s">
        <v>195</v>
      </c>
      <c r="C711" s="29" t="s">
        <v>202</v>
      </c>
      <c r="D711" s="29" t="s">
        <v>2087</v>
      </c>
      <c r="E711" s="29" t="s">
        <v>172</v>
      </c>
      <c r="F711" s="28" t="s">
        <v>2009</v>
      </c>
      <c r="G711" s="28" t="s">
        <v>2013</v>
      </c>
      <c r="H711" s="28" t="s">
        <v>384</v>
      </c>
      <c r="I711" s="28">
        <v>2</v>
      </c>
      <c r="J711" s="30">
        <v>8.5000000000000006E-2</v>
      </c>
      <c r="K711" s="28" t="s">
        <v>712</v>
      </c>
      <c r="L711" s="31">
        <v>44470</v>
      </c>
      <c r="M711" s="28">
        <v>10</v>
      </c>
      <c r="N711" s="32" t="s">
        <v>191</v>
      </c>
      <c r="O711" s="28" t="s">
        <v>177</v>
      </c>
      <c r="P711" s="28" t="s">
        <v>2091</v>
      </c>
      <c r="Q711" s="28" t="s">
        <v>2092</v>
      </c>
      <c r="R711" s="28" t="s">
        <v>2093</v>
      </c>
    </row>
    <row r="712" spans="1:18" hidden="1">
      <c r="A712" s="28">
        <v>12</v>
      </c>
      <c r="B712" s="29" t="s">
        <v>195</v>
      </c>
      <c r="C712" s="29" t="s">
        <v>225</v>
      </c>
      <c r="D712" s="29" t="s">
        <v>453</v>
      </c>
      <c r="E712" s="29" t="s">
        <v>172</v>
      </c>
      <c r="F712" s="28" t="s">
        <v>2009</v>
      </c>
      <c r="G712" s="28" t="s">
        <v>2028</v>
      </c>
      <c r="H712" s="28" t="s">
        <v>174</v>
      </c>
      <c r="I712" s="28" t="s">
        <v>174</v>
      </c>
      <c r="J712" s="30" t="s">
        <v>174</v>
      </c>
      <c r="K712" s="28" t="s">
        <v>587</v>
      </c>
      <c r="L712" s="31">
        <v>42736</v>
      </c>
      <c r="M712" s="28">
        <v>1</v>
      </c>
      <c r="N712" s="32" t="s">
        <v>176</v>
      </c>
      <c r="O712" s="28" t="s">
        <v>177</v>
      </c>
      <c r="P712" s="28" t="s">
        <v>2094</v>
      </c>
      <c r="Q712" s="28" t="s">
        <v>2095</v>
      </c>
      <c r="R712" s="28" t="s">
        <v>2096</v>
      </c>
    </row>
    <row r="713" spans="1:18" hidden="1">
      <c r="A713" s="28">
        <v>12</v>
      </c>
      <c r="B713" s="29" t="s">
        <v>195</v>
      </c>
      <c r="C713" s="29" t="s">
        <v>225</v>
      </c>
      <c r="D713" s="29" t="s">
        <v>453</v>
      </c>
      <c r="E713" s="29" t="s">
        <v>172</v>
      </c>
      <c r="F713" s="28" t="s">
        <v>2009</v>
      </c>
      <c r="G713" s="28" t="s">
        <v>2035</v>
      </c>
      <c r="H713" s="28" t="s">
        <v>174</v>
      </c>
      <c r="I713" s="28" t="s">
        <v>174</v>
      </c>
      <c r="J713" s="30" t="s">
        <v>174</v>
      </c>
      <c r="K713" s="28" t="s">
        <v>473</v>
      </c>
      <c r="L713" s="31">
        <v>43160</v>
      </c>
      <c r="M713" s="28">
        <v>3</v>
      </c>
      <c r="N713" s="32" t="s">
        <v>191</v>
      </c>
      <c r="O713" s="28" t="s">
        <v>185</v>
      </c>
      <c r="P713" s="28" t="s">
        <v>2097</v>
      </c>
      <c r="Q713" s="28" t="s">
        <v>2098</v>
      </c>
      <c r="R713" s="28" t="s">
        <v>2099</v>
      </c>
    </row>
    <row r="714" spans="1:18" hidden="1">
      <c r="A714" s="28">
        <v>12</v>
      </c>
      <c r="B714" s="29" t="s">
        <v>195</v>
      </c>
      <c r="C714" s="29" t="s">
        <v>1484</v>
      </c>
      <c r="D714" s="29" t="s">
        <v>1485</v>
      </c>
      <c r="E714" s="29" t="s">
        <v>172</v>
      </c>
      <c r="F714" s="28" t="s">
        <v>2009</v>
      </c>
      <c r="G714" s="28" t="s">
        <v>2028</v>
      </c>
      <c r="H714" s="28" t="s">
        <v>174</v>
      </c>
      <c r="I714" s="28" t="s">
        <v>174</v>
      </c>
      <c r="J714" s="30" t="s">
        <v>174</v>
      </c>
      <c r="K714" s="28" t="s">
        <v>485</v>
      </c>
      <c r="L714" s="31">
        <v>42401</v>
      </c>
      <c r="M714" s="28">
        <v>2</v>
      </c>
      <c r="N714" s="32" t="s">
        <v>176</v>
      </c>
      <c r="O714" s="28" t="s">
        <v>794</v>
      </c>
      <c r="P714" s="28" t="s">
        <v>2100</v>
      </c>
      <c r="Q714" s="28" t="s">
        <v>1487</v>
      </c>
      <c r="R714" s="28" t="s">
        <v>1488</v>
      </c>
    </row>
    <row r="715" spans="1:18" hidden="1">
      <c r="A715" s="28">
        <v>12</v>
      </c>
      <c r="B715" s="29" t="s">
        <v>195</v>
      </c>
      <c r="C715" s="29" t="s">
        <v>230</v>
      </c>
      <c r="D715" s="29" t="s">
        <v>231</v>
      </c>
      <c r="E715" s="29" t="s">
        <v>172</v>
      </c>
      <c r="F715" s="28" t="s">
        <v>2009</v>
      </c>
      <c r="G715" s="28" t="s">
        <v>2028</v>
      </c>
      <c r="H715" s="28" t="s">
        <v>174</v>
      </c>
      <c r="I715" s="28" t="s">
        <v>174</v>
      </c>
      <c r="J715" s="30" t="s">
        <v>174</v>
      </c>
      <c r="K715" s="28" t="s">
        <v>175</v>
      </c>
      <c r="L715" s="31">
        <v>42339</v>
      </c>
      <c r="M715" s="28">
        <v>12</v>
      </c>
      <c r="N715" s="32" t="s">
        <v>176</v>
      </c>
      <c r="O715" s="28" t="s">
        <v>177</v>
      </c>
      <c r="P715" s="28" t="s">
        <v>2101</v>
      </c>
      <c r="Q715" s="28" t="s">
        <v>2102</v>
      </c>
      <c r="R715" s="28" t="s">
        <v>2103</v>
      </c>
    </row>
    <row r="716" spans="1:18" hidden="1">
      <c r="A716" s="28">
        <v>12</v>
      </c>
      <c r="B716" s="29" t="s">
        <v>195</v>
      </c>
      <c r="C716" s="29" t="s">
        <v>230</v>
      </c>
      <c r="D716" s="29" t="s">
        <v>231</v>
      </c>
      <c r="E716" s="29" t="s">
        <v>172</v>
      </c>
      <c r="F716" s="28" t="s">
        <v>2009</v>
      </c>
      <c r="G716" s="28" t="s">
        <v>2028</v>
      </c>
      <c r="H716" s="28" t="s">
        <v>174</v>
      </c>
      <c r="I716" s="28" t="s">
        <v>174</v>
      </c>
      <c r="J716" s="30" t="s">
        <v>174</v>
      </c>
      <c r="K716" s="28" t="s">
        <v>232</v>
      </c>
      <c r="L716" s="31">
        <v>42522</v>
      </c>
      <c r="M716" s="28">
        <v>6</v>
      </c>
      <c r="N716" s="32" t="s">
        <v>184</v>
      </c>
      <c r="O716" s="28" t="s">
        <v>204</v>
      </c>
      <c r="P716" s="28" t="s">
        <v>2104</v>
      </c>
      <c r="Q716" s="28" t="s">
        <v>2105</v>
      </c>
      <c r="R716" s="28" t="s">
        <v>2106</v>
      </c>
    </row>
    <row r="717" spans="1:18" hidden="1">
      <c r="A717" s="28">
        <v>12</v>
      </c>
      <c r="B717" s="29" t="s">
        <v>195</v>
      </c>
      <c r="C717" s="29" t="s">
        <v>230</v>
      </c>
      <c r="D717" s="29" t="s">
        <v>231</v>
      </c>
      <c r="E717" s="29" t="s">
        <v>172</v>
      </c>
      <c r="F717" s="28" t="s">
        <v>2009</v>
      </c>
      <c r="G717" s="28" t="s">
        <v>2028</v>
      </c>
      <c r="H717" s="28" t="s">
        <v>174</v>
      </c>
      <c r="I717" s="28" t="s">
        <v>174</v>
      </c>
      <c r="J717" s="30" t="s">
        <v>174</v>
      </c>
      <c r="K717" s="28" t="s">
        <v>232</v>
      </c>
      <c r="L717" s="31">
        <v>42522</v>
      </c>
      <c r="M717" s="28">
        <v>6</v>
      </c>
      <c r="N717" s="32" t="s">
        <v>184</v>
      </c>
      <c r="O717" s="28" t="s">
        <v>329</v>
      </c>
      <c r="P717" s="28" t="s">
        <v>2107</v>
      </c>
      <c r="Q717" s="28" t="s">
        <v>2108</v>
      </c>
      <c r="R717" s="28" t="s">
        <v>2109</v>
      </c>
    </row>
    <row r="718" spans="1:18" hidden="1">
      <c r="A718" s="28">
        <v>12</v>
      </c>
      <c r="B718" s="29" t="s">
        <v>195</v>
      </c>
      <c r="C718" s="29" t="s">
        <v>230</v>
      </c>
      <c r="D718" s="29" t="s">
        <v>231</v>
      </c>
      <c r="E718" s="29" t="s">
        <v>172</v>
      </c>
      <c r="F718" s="28" t="s">
        <v>2009</v>
      </c>
      <c r="G718" s="28" t="s">
        <v>2046</v>
      </c>
      <c r="H718" s="28" t="s">
        <v>384</v>
      </c>
      <c r="I718" s="28">
        <v>2</v>
      </c>
      <c r="J718" s="30">
        <v>8.5000000000000006E-2</v>
      </c>
      <c r="K718" s="28" t="s">
        <v>267</v>
      </c>
      <c r="L718" s="31">
        <v>42583</v>
      </c>
      <c r="M718" s="28">
        <v>8</v>
      </c>
      <c r="N718" s="32" t="s">
        <v>184</v>
      </c>
      <c r="O718" s="28" t="s">
        <v>177</v>
      </c>
      <c r="P718" s="28" t="s">
        <v>2110</v>
      </c>
      <c r="Q718" s="28" t="s">
        <v>2111</v>
      </c>
      <c r="R718" s="28" t="s">
        <v>2112</v>
      </c>
    </row>
    <row r="719" spans="1:18" hidden="1">
      <c r="A719" s="28">
        <v>12</v>
      </c>
      <c r="B719" s="29" t="s">
        <v>195</v>
      </c>
      <c r="C719" s="29" t="s">
        <v>230</v>
      </c>
      <c r="D719" s="29" t="s">
        <v>231</v>
      </c>
      <c r="E719" s="29" t="s">
        <v>172</v>
      </c>
      <c r="F719" s="28" t="s">
        <v>2009</v>
      </c>
      <c r="G719" s="28" t="s">
        <v>2046</v>
      </c>
      <c r="H719" s="28" t="s">
        <v>384</v>
      </c>
      <c r="I719" s="28">
        <v>2</v>
      </c>
      <c r="J719" s="30">
        <v>8.5000000000000006E-2</v>
      </c>
      <c r="K719" s="28" t="s">
        <v>267</v>
      </c>
      <c r="L719" s="31">
        <v>42583</v>
      </c>
      <c r="M719" s="28">
        <v>8</v>
      </c>
      <c r="N719" s="32" t="s">
        <v>184</v>
      </c>
      <c r="O719" s="28" t="s">
        <v>204</v>
      </c>
      <c r="P719" s="28" t="s">
        <v>2113</v>
      </c>
      <c r="Q719" s="28" t="s">
        <v>2114</v>
      </c>
      <c r="R719" s="28" t="s">
        <v>2115</v>
      </c>
    </row>
    <row r="720" spans="1:18" hidden="1">
      <c r="A720" s="28">
        <v>12</v>
      </c>
      <c r="B720" s="29" t="s">
        <v>195</v>
      </c>
      <c r="C720" s="29" t="s">
        <v>230</v>
      </c>
      <c r="D720" s="29" t="s">
        <v>231</v>
      </c>
      <c r="E720" s="29" t="s">
        <v>172</v>
      </c>
      <c r="F720" s="28" t="s">
        <v>2009</v>
      </c>
      <c r="G720" s="28" t="s">
        <v>2028</v>
      </c>
      <c r="H720" s="28" t="s">
        <v>174</v>
      </c>
      <c r="I720" s="28" t="s">
        <v>174</v>
      </c>
      <c r="J720" s="30" t="s">
        <v>174</v>
      </c>
      <c r="K720" s="28" t="s">
        <v>587</v>
      </c>
      <c r="L720" s="31">
        <v>42736</v>
      </c>
      <c r="M720" s="28">
        <v>1</v>
      </c>
      <c r="N720" s="32" t="s">
        <v>176</v>
      </c>
      <c r="O720" s="28" t="s">
        <v>953</v>
      </c>
      <c r="P720" s="28" t="s">
        <v>2116</v>
      </c>
      <c r="Q720" s="28" t="s">
        <v>2117</v>
      </c>
      <c r="R720" s="28" t="s">
        <v>2118</v>
      </c>
    </row>
    <row r="721" spans="1:18" hidden="1">
      <c r="A721" s="28">
        <v>12</v>
      </c>
      <c r="B721" s="29" t="s">
        <v>195</v>
      </c>
      <c r="C721" s="29" t="s">
        <v>230</v>
      </c>
      <c r="D721" s="29" t="s">
        <v>231</v>
      </c>
      <c r="E721" s="29" t="s">
        <v>172</v>
      </c>
      <c r="F721" s="28" t="s">
        <v>2009</v>
      </c>
      <c r="G721" s="28" t="s">
        <v>2035</v>
      </c>
      <c r="H721" s="28" t="s">
        <v>174</v>
      </c>
      <c r="I721" s="28" t="s">
        <v>174</v>
      </c>
      <c r="J721" s="30" t="s">
        <v>174</v>
      </c>
      <c r="K721" s="28" t="s">
        <v>464</v>
      </c>
      <c r="L721" s="31">
        <v>42887</v>
      </c>
      <c r="M721" s="28">
        <v>6</v>
      </c>
      <c r="N721" s="32" t="s">
        <v>184</v>
      </c>
      <c r="O721" s="28" t="s">
        <v>177</v>
      </c>
      <c r="P721" s="28" t="s">
        <v>2119</v>
      </c>
      <c r="Q721" s="28" t="s">
        <v>2120</v>
      </c>
      <c r="R721" s="28" t="s">
        <v>2121</v>
      </c>
    </row>
    <row r="722" spans="1:18" hidden="1">
      <c r="A722" s="28">
        <v>12</v>
      </c>
      <c r="B722" s="29" t="s">
        <v>195</v>
      </c>
      <c r="C722" s="29" t="s">
        <v>230</v>
      </c>
      <c r="D722" s="29" t="s">
        <v>231</v>
      </c>
      <c r="E722" s="29" t="s">
        <v>172</v>
      </c>
      <c r="F722" s="28" t="s">
        <v>2009</v>
      </c>
      <c r="G722" s="28" t="s">
        <v>2028</v>
      </c>
      <c r="H722" s="28" t="s">
        <v>174</v>
      </c>
      <c r="I722" s="28" t="s">
        <v>174</v>
      </c>
      <c r="J722" s="30" t="s">
        <v>174</v>
      </c>
      <c r="K722" s="28" t="s">
        <v>293</v>
      </c>
      <c r="L722" s="31">
        <v>43374</v>
      </c>
      <c r="M722" s="28">
        <v>10</v>
      </c>
      <c r="N722" s="32" t="s">
        <v>191</v>
      </c>
      <c r="O722" s="28" t="s">
        <v>204</v>
      </c>
      <c r="P722" s="28" t="s">
        <v>2122</v>
      </c>
      <c r="Q722" s="28" t="s">
        <v>2123</v>
      </c>
      <c r="R722" s="28" t="s">
        <v>2124</v>
      </c>
    </row>
    <row r="723" spans="1:18" hidden="1">
      <c r="A723" s="28">
        <v>12</v>
      </c>
      <c r="B723" s="29" t="s">
        <v>195</v>
      </c>
      <c r="C723" s="29" t="s">
        <v>230</v>
      </c>
      <c r="D723" s="29" t="s">
        <v>231</v>
      </c>
      <c r="E723" s="29" t="s">
        <v>172</v>
      </c>
      <c r="F723" s="28" t="s">
        <v>2009</v>
      </c>
      <c r="G723" s="28" t="s">
        <v>2028</v>
      </c>
      <c r="H723" s="28" t="s">
        <v>174</v>
      </c>
      <c r="I723" s="28" t="s">
        <v>174</v>
      </c>
      <c r="J723" s="30" t="s">
        <v>174</v>
      </c>
      <c r="K723" s="28" t="s">
        <v>415</v>
      </c>
      <c r="L723" s="31">
        <v>43952</v>
      </c>
      <c r="M723" s="28">
        <v>5</v>
      </c>
      <c r="N723" s="32" t="s">
        <v>191</v>
      </c>
      <c r="O723" s="28" t="s">
        <v>177</v>
      </c>
      <c r="P723" s="28" t="s">
        <v>2125</v>
      </c>
      <c r="Q723" s="28" t="s">
        <v>2126</v>
      </c>
      <c r="R723" s="28" t="s">
        <v>2127</v>
      </c>
    </row>
    <row r="724" spans="1:18" hidden="1">
      <c r="A724" s="28">
        <v>12</v>
      </c>
      <c r="B724" s="29" t="s">
        <v>195</v>
      </c>
      <c r="C724" s="29" t="s">
        <v>230</v>
      </c>
      <c r="D724" s="29" t="s">
        <v>231</v>
      </c>
      <c r="E724" s="29" t="s">
        <v>172</v>
      </c>
      <c r="F724" s="28" t="s">
        <v>2009</v>
      </c>
      <c r="G724" s="28" t="s">
        <v>2028</v>
      </c>
      <c r="H724" s="28" t="s">
        <v>174</v>
      </c>
      <c r="I724" s="28" t="s">
        <v>174</v>
      </c>
      <c r="J724" s="30" t="s">
        <v>174</v>
      </c>
      <c r="K724" s="28" t="s">
        <v>522</v>
      </c>
      <c r="L724" s="31">
        <v>44256</v>
      </c>
      <c r="M724" s="28">
        <v>3</v>
      </c>
      <c r="N724" s="32" t="s">
        <v>191</v>
      </c>
      <c r="O724" s="28" t="s">
        <v>204</v>
      </c>
      <c r="P724" s="28" t="s">
        <v>2128</v>
      </c>
      <c r="Q724" s="28" t="s">
        <v>2129</v>
      </c>
      <c r="R724" s="28" t="s">
        <v>2130</v>
      </c>
    </row>
    <row r="725" spans="1:18" hidden="1">
      <c r="A725" s="28">
        <v>12</v>
      </c>
      <c r="B725" s="29" t="s">
        <v>195</v>
      </c>
      <c r="C725" s="29" t="s">
        <v>230</v>
      </c>
      <c r="D725" s="29" t="s">
        <v>231</v>
      </c>
      <c r="E725" s="29" t="s">
        <v>172</v>
      </c>
      <c r="F725" s="28" t="s">
        <v>2009</v>
      </c>
      <c r="G725" s="28" t="s">
        <v>2028</v>
      </c>
      <c r="H725" s="28" t="s">
        <v>174</v>
      </c>
      <c r="I725" s="28" t="s">
        <v>174</v>
      </c>
      <c r="J725" s="30" t="s">
        <v>174</v>
      </c>
      <c r="K725" s="28" t="s">
        <v>2131</v>
      </c>
      <c r="L725" s="31">
        <v>44531</v>
      </c>
      <c r="M725" s="28">
        <v>12</v>
      </c>
      <c r="N725" s="32" t="s">
        <v>176</v>
      </c>
      <c r="O725" s="28" t="s">
        <v>185</v>
      </c>
      <c r="P725" s="28" t="s">
        <v>2132</v>
      </c>
      <c r="Q725" s="28" t="s">
        <v>2133</v>
      </c>
      <c r="R725" s="28" t="s">
        <v>2134</v>
      </c>
    </row>
    <row r="726" spans="1:18" hidden="1">
      <c r="A726" s="28">
        <v>2</v>
      </c>
      <c r="B726" s="29" t="s">
        <v>240</v>
      </c>
      <c r="C726" s="29" t="s">
        <v>241</v>
      </c>
      <c r="D726" s="29" t="s">
        <v>242</v>
      </c>
      <c r="E726" s="29" t="s">
        <v>172</v>
      </c>
      <c r="F726" s="28" t="s">
        <v>2009</v>
      </c>
      <c r="G726" s="28" t="s">
        <v>2035</v>
      </c>
      <c r="H726" s="28" t="s">
        <v>174</v>
      </c>
      <c r="I726" s="28" t="s">
        <v>174</v>
      </c>
      <c r="J726" s="30" t="s">
        <v>174</v>
      </c>
      <c r="K726" s="28" t="s">
        <v>559</v>
      </c>
      <c r="L726" s="31">
        <v>43252</v>
      </c>
      <c r="M726" s="28">
        <v>6</v>
      </c>
      <c r="N726" s="32" t="s">
        <v>184</v>
      </c>
      <c r="O726" s="28" t="s">
        <v>272</v>
      </c>
      <c r="P726" s="28" t="s">
        <v>2135</v>
      </c>
      <c r="Q726" s="28" t="s">
        <v>2136</v>
      </c>
      <c r="R726" s="28" t="s">
        <v>2137</v>
      </c>
    </row>
    <row r="727" spans="1:18" hidden="1">
      <c r="A727" s="28">
        <v>2</v>
      </c>
      <c r="B727" s="29" t="s">
        <v>240</v>
      </c>
      <c r="C727" s="29" t="s">
        <v>241</v>
      </c>
      <c r="D727" s="29" t="s">
        <v>242</v>
      </c>
      <c r="E727" s="29" t="s">
        <v>172</v>
      </c>
      <c r="F727" s="28" t="s">
        <v>2009</v>
      </c>
      <c r="G727" s="28" t="s">
        <v>2035</v>
      </c>
      <c r="H727" s="28" t="s">
        <v>174</v>
      </c>
      <c r="I727" s="28" t="s">
        <v>174</v>
      </c>
      <c r="J727" s="30" t="s">
        <v>174</v>
      </c>
      <c r="K727" s="28" t="s">
        <v>293</v>
      </c>
      <c r="L727" s="31">
        <v>43374</v>
      </c>
      <c r="M727" s="28">
        <v>10</v>
      </c>
      <c r="N727" s="32" t="s">
        <v>191</v>
      </c>
      <c r="O727" s="28" t="s">
        <v>204</v>
      </c>
      <c r="P727" s="28" t="s">
        <v>2138</v>
      </c>
      <c r="Q727" s="28" t="s">
        <v>2139</v>
      </c>
      <c r="R727" s="28" t="s">
        <v>2140</v>
      </c>
    </row>
    <row r="728" spans="1:18" hidden="1">
      <c r="A728" s="28">
        <v>2</v>
      </c>
      <c r="B728" s="29" t="s">
        <v>240</v>
      </c>
      <c r="C728" s="29" t="s">
        <v>241</v>
      </c>
      <c r="D728" s="29" t="s">
        <v>509</v>
      </c>
      <c r="E728" s="29" t="s">
        <v>172</v>
      </c>
      <c r="F728" s="28" t="s">
        <v>2009</v>
      </c>
      <c r="G728" s="28" t="s">
        <v>2028</v>
      </c>
      <c r="H728" s="28" t="s">
        <v>174</v>
      </c>
      <c r="I728" s="28" t="s">
        <v>174</v>
      </c>
      <c r="J728" s="30" t="s">
        <v>174</v>
      </c>
      <c r="K728" s="28" t="s">
        <v>769</v>
      </c>
      <c r="L728" s="31">
        <v>42826</v>
      </c>
      <c r="M728" s="28">
        <v>4</v>
      </c>
      <c r="N728" s="32" t="s">
        <v>191</v>
      </c>
      <c r="O728" s="28" t="s">
        <v>204</v>
      </c>
      <c r="P728" s="28" t="s">
        <v>2141</v>
      </c>
      <c r="Q728" s="28" t="s">
        <v>2142</v>
      </c>
      <c r="R728" s="28" t="s">
        <v>2143</v>
      </c>
    </row>
    <row r="729" spans="1:18" hidden="1">
      <c r="A729" s="28">
        <v>2</v>
      </c>
      <c r="B729" s="29" t="s">
        <v>240</v>
      </c>
      <c r="C729" s="29" t="s">
        <v>241</v>
      </c>
      <c r="D729" s="29" t="s">
        <v>509</v>
      </c>
      <c r="E729" s="29" t="s">
        <v>172</v>
      </c>
      <c r="F729" s="28" t="s">
        <v>2009</v>
      </c>
      <c r="G729" s="28" t="s">
        <v>2046</v>
      </c>
      <c r="H729" s="28" t="s">
        <v>384</v>
      </c>
      <c r="I729" s="28">
        <v>2</v>
      </c>
      <c r="J729" s="30">
        <v>8.5000000000000006E-2</v>
      </c>
      <c r="K729" s="28" t="s">
        <v>1896</v>
      </c>
      <c r="L729" s="31">
        <v>43132</v>
      </c>
      <c r="M729" s="28">
        <v>2</v>
      </c>
      <c r="N729" s="32" t="s">
        <v>176</v>
      </c>
      <c r="O729" s="28" t="s">
        <v>204</v>
      </c>
      <c r="P729" s="28" t="s">
        <v>2144</v>
      </c>
      <c r="Q729" s="28" t="s">
        <v>2145</v>
      </c>
      <c r="R729" s="28" t="s">
        <v>2146</v>
      </c>
    </row>
    <row r="730" spans="1:18" hidden="1">
      <c r="A730" s="28">
        <v>2</v>
      </c>
      <c r="B730" s="29" t="s">
        <v>240</v>
      </c>
      <c r="C730" s="29" t="s">
        <v>241</v>
      </c>
      <c r="D730" s="29" t="s">
        <v>509</v>
      </c>
      <c r="E730" s="29" t="s">
        <v>172</v>
      </c>
      <c r="F730" s="28" t="s">
        <v>2009</v>
      </c>
      <c r="G730" s="28" t="s">
        <v>2028</v>
      </c>
      <c r="H730" s="28" t="s">
        <v>174</v>
      </c>
      <c r="I730" s="28" t="s">
        <v>174</v>
      </c>
      <c r="J730" s="30" t="s">
        <v>174</v>
      </c>
      <c r="K730" s="28" t="s">
        <v>962</v>
      </c>
      <c r="L730" s="31">
        <v>44348</v>
      </c>
      <c r="M730" s="28">
        <v>6</v>
      </c>
      <c r="N730" s="32" t="s">
        <v>184</v>
      </c>
      <c r="O730" s="28" t="s">
        <v>204</v>
      </c>
      <c r="P730" s="28" t="s">
        <v>2147</v>
      </c>
      <c r="Q730" s="28" t="s">
        <v>833</v>
      </c>
      <c r="R730" s="28" t="s">
        <v>512</v>
      </c>
    </row>
    <row r="731" spans="1:18" hidden="1">
      <c r="A731" s="28">
        <v>2</v>
      </c>
      <c r="B731" s="29" t="s">
        <v>240</v>
      </c>
      <c r="C731" s="29" t="s">
        <v>241</v>
      </c>
      <c r="D731" s="29" t="s">
        <v>252</v>
      </c>
      <c r="E731" s="29" t="s">
        <v>172</v>
      </c>
      <c r="F731" s="28" t="s">
        <v>2009</v>
      </c>
      <c r="G731" s="28" t="s">
        <v>2035</v>
      </c>
      <c r="H731" s="28" t="s">
        <v>174</v>
      </c>
      <c r="I731" s="28" t="s">
        <v>174</v>
      </c>
      <c r="J731" s="30" t="s">
        <v>174</v>
      </c>
      <c r="K731" s="28" t="s">
        <v>175</v>
      </c>
      <c r="L731" s="31">
        <v>42339</v>
      </c>
      <c r="M731" s="28">
        <v>12</v>
      </c>
      <c r="N731" s="32" t="s">
        <v>176</v>
      </c>
      <c r="O731" s="28" t="s">
        <v>185</v>
      </c>
      <c r="P731" s="28" t="s">
        <v>2148</v>
      </c>
      <c r="Q731" s="28" t="s">
        <v>2149</v>
      </c>
      <c r="R731" s="28" t="s">
        <v>2150</v>
      </c>
    </row>
    <row r="732" spans="1:18" hidden="1">
      <c r="A732" s="28">
        <v>2</v>
      </c>
      <c r="B732" s="29" t="s">
        <v>240</v>
      </c>
      <c r="C732" s="29" t="s">
        <v>241</v>
      </c>
      <c r="D732" s="29" t="s">
        <v>252</v>
      </c>
      <c r="E732" s="29" t="s">
        <v>172</v>
      </c>
      <c r="F732" s="28" t="s">
        <v>2009</v>
      </c>
      <c r="G732" s="28" t="s">
        <v>2035</v>
      </c>
      <c r="H732" s="28" t="s">
        <v>174</v>
      </c>
      <c r="I732" s="28" t="s">
        <v>174</v>
      </c>
      <c r="J732" s="30" t="s">
        <v>174</v>
      </c>
      <c r="K732" s="28" t="s">
        <v>651</v>
      </c>
      <c r="L732" s="31">
        <v>42644</v>
      </c>
      <c r="M732" s="28">
        <v>10</v>
      </c>
      <c r="N732" s="32" t="s">
        <v>191</v>
      </c>
      <c r="O732" s="28" t="s">
        <v>185</v>
      </c>
      <c r="P732" s="28" t="s">
        <v>2151</v>
      </c>
      <c r="Q732" s="28" t="s">
        <v>2152</v>
      </c>
      <c r="R732" s="28" t="s">
        <v>2153</v>
      </c>
    </row>
    <row r="733" spans="1:18" hidden="1">
      <c r="A733" s="28">
        <v>2</v>
      </c>
      <c r="B733" s="29" t="s">
        <v>240</v>
      </c>
      <c r="C733" s="29" t="s">
        <v>241</v>
      </c>
      <c r="D733" s="29" t="s">
        <v>252</v>
      </c>
      <c r="E733" s="29" t="s">
        <v>172</v>
      </c>
      <c r="F733" s="28" t="s">
        <v>2009</v>
      </c>
      <c r="G733" s="28" t="s">
        <v>2013</v>
      </c>
      <c r="H733" s="28" t="s">
        <v>384</v>
      </c>
      <c r="I733" s="28">
        <v>2</v>
      </c>
      <c r="J733" s="30">
        <v>8.5000000000000006E-2</v>
      </c>
      <c r="K733" s="28" t="s">
        <v>646</v>
      </c>
      <c r="L733" s="31">
        <v>44075</v>
      </c>
      <c r="M733" s="28">
        <v>9</v>
      </c>
      <c r="N733" s="32" t="s">
        <v>191</v>
      </c>
      <c r="O733" s="28" t="s">
        <v>177</v>
      </c>
      <c r="P733" s="28" t="s">
        <v>2154</v>
      </c>
      <c r="Q733" s="28" t="s">
        <v>2155</v>
      </c>
      <c r="R733" s="28" t="s">
        <v>2156</v>
      </c>
    </row>
    <row r="734" spans="1:18" hidden="1">
      <c r="A734" s="28">
        <v>2</v>
      </c>
      <c r="B734" s="29" t="s">
        <v>240</v>
      </c>
      <c r="C734" s="29" t="s">
        <v>261</v>
      </c>
      <c r="D734" s="29" t="s">
        <v>1633</v>
      </c>
      <c r="E734" s="29" t="s">
        <v>172</v>
      </c>
      <c r="F734" s="28" t="s">
        <v>2009</v>
      </c>
      <c r="G734" s="28" t="s">
        <v>2035</v>
      </c>
      <c r="H734" s="28" t="s">
        <v>174</v>
      </c>
      <c r="I734" s="28" t="s">
        <v>174</v>
      </c>
      <c r="J734" s="30" t="s">
        <v>174</v>
      </c>
      <c r="K734" s="28" t="s">
        <v>257</v>
      </c>
      <c r="L734" s="31">
        <v>42552</v>
      </c>
      <c r="M734" s="28">
        <v>7</v>
      </c>
      <c r="N734" s="32" t="s">
        <v>184</v>
      </c>
      <c r="O734" s="28" t="s">
        <v>204</v>
      </c>
      <c r="P734" s="28" t="s">
        <v>2157</v>
      </c>
      <c r="Q734" s="28" t="s">
        <v>2158</v>
      </c>
      <c r="R734" s="28" t="s">
        <v>2159</v>
      </c>
    </row>
    <row r="735" spans="1:18" hidden="1">
      <c r="A735" s="28">
        <v>2</v>
      </c>
      <c r="B735" s="29" t="s">
        <v>240</v>
      </c>
      <c r="C735" s="29" t="s">
        <v>261</v>
      </c>
      <c r="D735" s="29" t="s">
        <v>1633</v>
      </c>
      <c r="E735" s="29" t="s">
        <v>172</v>
      </c>
      <c r="F735" s="28" t="s">
        <v>2009</v>
      </c>
      <c r="G735" s="28" t="s">
        <v>2035</v>
      </c>
      <c r="H735" s="28" t="s">
        <v>174</v>
      </c>
      <c r="I735" s="28" t="s">
        <v>174</v>
      </c>
      <c r="J735" s="30" t="s">
        <v>174</v>
      </c>
      <c r="K735" s="28" t="s">
        <v>257</v>
      </c>
      <c r="L735" s="31">
        <v>42552</v>
      </c>
      <c r="M735" s="28">
        <v>7</v>
      </c>
      <c r="N735" s="32" t="s">
        <v>184</v>
      </c>
      <c r="O735" s="28" t="s">
        <v>177</v>
      </c>
      <c r="P735" s="28" t="s">
        <v>2160</v>
      </c>
      <c r="Q735" s="28" t="s">
        <v>2161</v>
      </c>
      <c r="R735" s="28" t="s">
        <v>270</v>
      </c>
    </row>
    <row r="736" spans="1:18" hidden="1">
      <c r="A736" s="28">
        <v>2</v>
      </c>
      <c r="B736" s="29" t="s">
        <v>240</v>
      </c>
      <c r="C736" s="29" t="s">
        <v>261</v>
      </c>
      <c r="D736" s="29" t="s">
        <v>262</v>
      </c>
      <c r="E736" s="29" t="s">
        <v>172</v>
      </c>
      <c r="F736" s="28" t="s">
        <v>2009</v>
      </c>
      <c r="G736" s="28" t="s">
        <v>2035</v>
      </c>
      <c r="H736" s="28" t="s">
        <v>174</v>
      </c>
      <c r="I736" s="28" t="s">
        <v>174</v>
      </c>
      <c r="J736" s="30" t="s">
        <v>174</v>
      </c>
      <c r="K736" s="28" t="s">
        <v>485</v>
      </c>
      <c r="L736" s="31">
        <v>42401</v>
      </c>
      <c r="M736" s="28">
        <v>2</v>
      </c>
      <c r="N736" s="32" t="s">
        <v>176</v>
      </c>
      <c r="O736" s="28" t="s">
        <v>177</v>
      </c>
      <c r="P736" s="28" t="s">
        <v>2162</v>
      </c>
      <c r="Q736" s="28" t="s">
        <v>2163</v>
      </c>
      <c r="R736" s="28" t="s">
        <v>2164</v>
      </c>
    </row>
    <row r="737" spans="1:18" hidden="1">
      <c r="A737" s="28">
        <v>2</v>
      </c>
      <c r="B737" s="29" t="s">
        <v>240</v>
      </c>
      <c r="C737" s="29" t="s">
        <v>261</v>
      </c>
      <c r="D737" s="29" t="s">
        <v>262</v>
      </c>
      <c r="E737" s="29" t="s">
        <v>172</v>
      </c>
      <c r="F737" s="28" t="s">
        <v>2009</v>
      </c>
      <c r="G737" s="28" t="s">
        <v>2035</v>
      </c>
      <c r="H737" s="28" t="s">
        <v>174</v>
      </c>
      <c r="I737" s="28" t="s">
        <v>174</v>
      </c>
      <c r="J737" s="30" t="s">
        <v>174</v>
      </c>
      <c r="K737" s="28" t="s">
        <v>289</v>
      </c>
      <c r="L737" s="31">
        <v>42795</v>
      </c>
      <c r="M737" s="28">
        <v>3</v>
      </c>
      <c r="N737" s="32" t="s">
        <v>191</v>
      </c>
      <c r="O737" s="28" t="s">
        <v>244</v>
      </c>
      <c r="P737" s="28" t="s">
        <v>2165</v>
      </c>
      <c r="Q737" s="28" t="s">
        <v>2166</v>
      </c>
      <c r="R737" s="28" t="s">
        <v>2167</v>
      </c>
    </row>
    <row r="738" spans="1:18" hidden="1">
      <c r="A738" s="28">
        <v>2</v>
      </c>
      <c r="B738" s="29" t="s">
        <v>240</v>
      </c>
      <c r="C738" s="29" t="s">
        <v>261</v>
      </c>
      <c r="D738" s="29" t="s">
        <v>262</v>
      </c>
      <c r="E738" s="29" t="s">
        <v>172</v>
      </c>
      <c r="F738" s="28" t="s">
        <v>2009</v>
      </c>
      <c r="G738" s="28" t="s">
        <v>2035</v>
      </c>
      <c r="H738" s="28" t="s">
        <v>174</v>
      </c>
      <c r="I738" s="28" t="s">
        <v>174</v>
      </c>
      <c r="J738" s="30" t="s">
        <v>174</v>
      </c>
      <c r="K738" s="28" t="s">
        <v>769</v>
      </c>
      <c r="L738" s="31">
        <v>42826</v>
      </c>
      <c r="M738" s="28">
        <v>4</v>
      </c>
      <c r="N738" s="32" t="s">
        <v>191</v>
      </c>
      <c r="O738" s="28" t="s">
        <v>177</v>
      </c>
      <c r="P738" s="28" t="s">
        <v>2168</v>
      </c>
      <c r="Q738" s="28" t="s">
        <v>2169</v>
      </c>
      <c r="R738" s="28" t="s">
        <v>2170</v>
      </c>
    </row>
    <row r="739" spans="1:18" hidden="1">
      <c r="A739" s="28">
        <v>2</v>
      </c>
      <c r="B739" s="29" t="s">
        <v>240</v>
      </c>
      <c r="C739" s="29" t="s">
        <v>261</v>
      </c>
      <c r="D739" s="29" t="s">
        <v>262</v>
      </c>
      <c r="E739" s="29" t="s">
        <v>172</v>
      </c>
      <c r="F739" s="28" t="s">
        <v>2009</v>
      </c>
      <c r="G739" s="28" t="s">
        <v>2035</v>
      </c>
      <c r="H739" s="28" t="s">
        <v>174</v>
      </c>
      <c r="I739" s="28" t="s">
        <v>174</v>
      </c>
      <c r="J739" s="30" t="s">
        <v>174</v>
      </c>
      <c r="K739" s="28" t="s">
        <v>435</v>
      </c>
      <c r="L739" s="31">
        <v>43040</v>
      </c>
      <c r="M739" s="28">
        <v>11</v>
      </c>
      <c r="N739" s="32" t="s">
        <v>191</v>
      </c>
      <c r="O739" s="28" t="s">
        <v>177</v>
      </c>
      <c r="P739" s="28" t="s">
        <v>2171</v>
      </c>
      <c r="Q739" s="28" t="s">
        <v>2172</v>
      </c>
      <c r="R739" s="28" t="s">
        <v>2173</v>
      </c>
    </row>
    <row r="740" spans="1:18" hidden="1">
      <c r="A740" s="28">
        <v>2</v>
      </c>
      <c r="B740" s="29" t="s">
        <v>240</v>
      </c>
      <c r="C740" s="29" t="s">
        <v>261</v>
      </c>
      <c r="D740" s="29" t="s">
        <v>262</v>
      </c>
      <c r="E740" s="29" t="s">
        <v>172</v>
      </c>
      <c r="F740" s="28" t="s">
        <v>2009</v>
      </c>
      <c r="G740" s="28" t="s">
        <v>2035</v>
      </c>
      <c r="H740" s="28" t="s">
        <v>174</v>
      </c>
      <c r="I740" s="28" t="s">
        <v>174</v>
      </c>
      <c r="J740" s="30" t="s">
        <v>174</v>
      </c>
      <c r="K740" s="28" t="s">
        <v>475</v>
      </c>
      <c r="L740" s="31">
        <v>43191</v>
      </c>
      <c r="M740" s="28">
        <v>4</v>
      </c>
      <c r="N740" s="32" t="s">
        <v>191</v>
      </c>
      <c r="O740" s="28" t="s">
        <v>177</v>
      </c>
      <c r="P740" s="28" t="s">
        <v>2174</v>
      </c>
      <c r="Q740" s="28" t="s">
        <v>2175</v>
      </c>
      <c r="R740" s="28" t="s">
        <v>2176</v>
      </c>
    </row>
    <row r="741" spans="1:18" hidden="1">
      <c r="A741" s="28">
        <v>2</v>
      </c>
      <c r="B741" s="29" t="s">
        <v>240</v>
      </c>
      <c r="C741" s="29" t="s">
        <v>261</v>
      </c>
      <c r="D741" s="29" t="s">
        <v>262</v>
      </c>
      <c r="E741" s="29" t="s">
        <v>172</v>
      </c>
      <c r="F741" s="28" t="s">
        <v>2009</v>
      </c>
      <c r="G741" s="28" t="s">
        <v>2035</v>
      </c>
      <c r="H741" s="28" t="s">
        <v>174</v>
      </c>
      <c r="I741" s="28" t="s">
        <v>174</v>
      </c>
      <c r="J741" s="30" t="s">
        <v>174</v>
      </c>
      <c r="K741" s="28" t="s">
        <v>632</v>
      </c>
      <c r="L741" s="31">
        <v>44378</v>
      </c>
      <c r="M741" s="28">
        <v>7</v>
      </c>
      <c r="N741" s="32" t="s">
        <v>184</v>
      </c>
      <c r="O741" s="28" t="s">
        <v>177</v>
      </c>
      <c r="P741" s="28" t="s">
        <v>2177</v>
      </c>
      <c r="Q741" s="28" t="s">
        <v>2178</v>
      </c>
      <c r="R741" s="28" t="s">
        <v>2179</v>
      </c>
    </row>
    <row r="742" spans="1:18" hidden="1">
      <c r="A742" s="28">
        <v>2</v>
      </c>
      <c r="B742" s="29" t="s">
        <v>240</v>
      </c>
      <c r="C742" s="29" t="s">
        <v>261</v>
      </c>
      <c r="D742" s="29" t="s">
        <v>532</v>
      </c>
      <c r="E742" s="29" t="s">
        <v>172</v>
      </c>
      <c r="F742" s="28" t="s">
        <v>2009</v>
      </c>
      <c r="G742" s="28" t="s">
        <v>2035</v>
      </c>
      <c r="H742" s="28" t="s">
        <v>174</v>
      </c>
      <c r="I742" s="28" t="s">
        <v>174</v>
      </c>
      <c r="J742" s="30" t="s">
        <v>174</v>
      </c>
      <c r="K742" s="28" t="s">
        <v>2180</v>
      </c>
      <c r="L742" s="31">
        <v>42064</v>
      </c>
      <c r="M742" s="28">
        <v>3</v>
      </c>
      <c r="N742" s="32" t="s">
        <v>191</v>
      </c>
      <c r="O742" s="28" t="s">
        <v>185</v>
      </c>
      <c r="P742" s="28" t="s">
        <v>2181</v>
      </c>
      <c r="Q742" s="28" t="s">
        <v>2182</v>
      </c>
      <c r="R742" s="28" t="s">
        <v>2183</v>
      </c>
    </row>
    <row r="743" spans="1:18" hidden="1">
      <c r="A743" s="28">
        <v>2</v>
      </c>
      <c r="B743" s="29" t="s">
        <v>240</v>
      </c>
      <c r="C743" s="29" t="s">
        <v>261</v>
      </c>
      <c r="D743" s="29" t="s">
        <v>532</v>
      </c>
      <c r="E743" s="29" t="s">
        <v>172</v>
      </c>
      <c r="F743" s="28" t="s">
        <v>2009</v>
      </c>
      <c r="G743" s="28" t="s">
        <v>2035</v>
      </c>
      <c r="H743" s="28" t="s">
        <v>174</v>
      </c>
      <c r="I743" s="28" t="s">
        <v>174</v>
      </c>
      <c r="J743" s="30" t="s">
        <v>174</v>
      </c>
      <c r="K743" s="28" t="s">
        <v>464</v>
      </c>
      <c r="L743" s="31">
        <v>42887</v>
      </c>
      <c r="M743" s="28">
        <v>6</v>
      </c>
      <c r="N743" s="32" t="s">
        <v>184</v>
      </c>
      <c r="O743" s="28" t="s">
        <v>794</v>
      </c>
      <c r="P743" s="28" t="s">
        <v>2184</v>
      </c>
      <c r="Q743" s="28" t="s">
        <v>2185</v>
      </c>
      <c r="R743" s="28" t="s">
        <v>2186</v>
      </c>
    </row>
    <row r="744" spans="1:18" hidden="1">
      <c r="A744" s="28">
        <v>2</v>
      </c>
      <c r="B744" s="29" t="s">
        <v>240</v>
      </c>
      <c r="C744" s="29" t="s">
        <v>261</v>
      </c>
      <c r="D744" s="29" t="s">
        <v>532</v>
      </c>
      <c r="E744" s="29" t="s">
        <v>172</v>
      </c>
      <c r="F744" s="28" t="s">
        <v>2009</v>
      </c>
      <c r="G744" s="28" t="s">
        <v>2035</v>
      </c>
      <c r="H744" s="28" t="s">
        <v>174</v>
      </c>
      <c r="I744" s="28" t="s">
        <v>174</v>
      </c>
      <c r="J744" s="30" t="s">
        <v>174</v>
      </c>
      <c r="K744" s="28" t="s">
        <v>646</v>
      </c>
      <c r="L744" s="31">
        <v>44075</v>
      </c>
      <c r="M744" s="28">
        <v>9</v>
      </c>
      <c r="N744" s="32" t="s">
        <v>191</v>
      </c>
      <c r="O744" s="28" t="s">
        <v>272</v>
      </c>
      <c r="P744" s="28" t="s">
        <v>2187</v>
      </c>
      <c r="Q744" s="28" t="s">
        <v>2188</v>
      </c>
      <c r="R744" s="28" t="s">
        <v>2189</v>
      </c>
    </row>
    <row r="745" spans="1:18" hidden="1">
      <c r="A745" s="28">
        <v>2</v>
      </c>
      <c r="B745" s="29" t="s">
        <v>240</v>
      </c>
      <c r="C745" s="29" t="s">
        <v>261</v>
      </c>
      <c r="D745" s="29" t="s">
        <v>532</v>
      </c>
      <c r="E745" s="29" t="s">
        <v>172</v>
      </c>
      <c r="F745" s="28" t="s">
        <v>2009</v>
      </c>
      <c r="G745" s="28" t="s">
        <v>2035</v>
      </c>
      <c r="H745" s="28" t="s">
        <v>174</v>
      </c>
      <c r="I745" s="28" t="s">
        <v>174</v>
      </c>
      <c r="J745" s="30" t="s">
        <v>174</v>
      </c>
      <c r="K745" s="28" t="s">
        <v>341</v>
      </c>
      <c r="L745" s="31">
        <v>44228</v>
      </c>
      <c r="M745" s="28">
        <v>2</v>
      </c>
      <c r="N745" s="32" t="s">
        <v>176</v>
      </c>
      <c r="O745" s="28" t="s">
        <v>185</v>
      </c>
      <c r="P745" s="28" t="s">
        <v>2190</v>
      </c>
      <c r="Q745" s="28" t="s">
        <v>2191</v>
      </c>
      <c r="R745" s="28" t="s">
        <v>2192</v>
      </c>
    </row>
    <row r="746" spans="1:18" hidden="1">
      <c r="A746" s="28">
        <v>2</v>
      </c>
      <c r="B746" s="29" t="s">
        <v>240</v>
      </c>
      <c r="C746" s="29" t="s">
        <v>261</v>
      </c>
      <c r="D746" s="29" t="s">
        <v>532</v>
      </c>
      <c r="E746" s="29" t="s">
        <v>172</v>
      </c>
      <c r="F746" s="28" t="s">
        <v>2009</v>
      </c>
      <c r="G746" s="28" t="s">
        <v>2035</v>
      </c>
      <c r="H746" s="28" t="s">
        <v>174</v>
      </c>
      <c r="I746" s="28" t="s">
        <v>174</v>
      </c>
      <c r="J746" s="30" t="s">
        <v>174</v>
      </c>
      <c r="K746" s="28" t="s">
        <v>962</v>
      </c>
      <c r="L746" s="31">
        <v>44348</v>
      </c>
      <c r="M746" s="28">
        <v>6</v>
      </c>
      <c r="N746" s="32" t="s">
        <v>184</v>
      </c>
      <c r="O746" s="28" t="s">
        <v>185</v>
      </c>
      <c r="P746" s="28" t="s">
        <v>2193</v>
      </c>
      <c r="Q746" s="28" t="s">
        <v>2191</v>
      </c>
      <c r="R746" s="28" t="s">
        <v>2192</v>
      </c>
    </row>
    <row r="747" spans="1:18" hidden="1">
      <c r="A747" s="28">
        <v>2</v>
      </c>
      <c r="B747" s="29" t="s">
        <v>240</v>
      </c>
      <c r="C747" s="29" t="s">
        <v>276</v>
      </c>
      <c r="D747" s="29" t="s">
        <v>536</v>
      </c>
      <c r="E747" s="29" t="s">
        <v>172</v>
      </c>
      <c r="F747" s="28" t="s">
        <v>2009</v>
      </c>
      <c r="G747" s="28" t="s">
        <v>2035</v>
      </c>
      <c r="H747" s="28" t="s">
        <v>174</v>
      </c>
      <c r="I747" s="28" t="s">
        <v>174</v>
      </c>
      <c r="J747" s="30" t="s">
        <v>174</v>
      </c>
      <c r="K747" s="28" t="s">
        <v>297</v>
      </c>
      <c r="L747" s="31">
        <v>44409</v>
      </c>
      <c r="M747" s="28">
        <v>8</v>
      </c>
      <c r="N747" s="32" t="s">
        <v>184</v>
      </c>
      <c r="O747" s="28" t="s">
        <v>204</v>
      </c>
      <c r="P747" s="28" t="s">
        <v>2194</v>
      </c>
      <c r="Q747" s="28" t="s">
        <v>2195</v>
      </c>
      <c r="R747" s="28" t="s">
        <v>2196</v>
      </c>
    </row>
    <row r="748" spans="1:18" hidden="1">
      <c r="A748" s="28">
        <v>2</v>
      </c>
      <c r="B748" s="29" t="s">
        <v>240</v>
      </c>
      <c r="C748" s="29" t="s">
        <v>276</v>
      </c>
      <c r="D748" s="29" t="s">
        <v>277</v>
      </c>
      <c r="E748" s="29" t="s">
        <v>172</v>
      </c>
      <c r="F748" s="28" t="s">
        <v>2009</v>
      </c>
      <c r="G748" s="28" t="s">
        <v>2028</v>
      </c>
      <c r="H748" s="28" t="s">
        <v>174</v>
      </c>
      <c r="I748" s="28" t="s">
        <v>174</v>
      </c>
      <c r="J748" s="30" t="s">
        <v>174</v>
      </c>
      <c r="K748" s="28" t="s">
        <v>175</v>
      </c>
      <c r="L748" s="31">
        <v>42339</v>
      </c>
      <c r="M748" s="28">
        <v>12</v>
      </c>
      <c r="N748" s="32" t="s">
        <v>176</v>
      </c>
      <c r="O748" s="28" t="s">
        <v>1060</v>
      </c>
      <c r="P748" s="28" t="s">
        <v>2197</v>
      </c>
      <c r="Q748" s="28" t="s">
        <v>2198</v>
      </c>
      <c r="R748" s="28" t="s">
        <v>2199</v>
      </c>
    </row>
    <row r="749" spans="1:18" hidden="1">
      <c r="A749" s="28">
        <v>2</v>
      </c>
      <c r="B749" s="29" t="s">
        <v>240</v>
      </c>
      <c r="C749" s="29" t="s">
        <v>276</v>
      </c>
      <c r="D749" s="29" t="s">
        <v>277</v>
      </c>
      <c r="E749" s="29" t="s">
        <v>172</v>
      </c>
      <c r="F749" s="28" t="s">
        <v>2009</v>
      </c>
      <c r="G749" s="28" t="s">
        <v>2046</v>
      </c>
      <c r="H749" s="28" t="s">
        <v>384</v>
      </c>
      <c r="I749" s="28">
        <v>2</v>
      </c>
      <c r="J749" s="30">
        <v>8.5000000000000006E-2</v>
      </c>
      <c r="K749" s="28" t="s">
        <v>485</v>
      </c>
      <c r="L749" s="31">
        <v>42401</v>
      </c>
      <c r="M749" s="28">
        <v>2</v>
      </c>
      <c r="N749" s="32" t="s">
        <v>176</v>
      </c>
      <c r="O749" s="28" t="s">
        <v>953</v>
      </c>
      <c r="P749" s="28" t="s">
        <v>2200</v>
      </c>
      <c r="Q749" s="28" t="s">
        <v>2201</v>
      </c>
      <c r="R749" s="28" t="s">
        <v>2202</v>
      </c>
    </row>
    <row r="750" spans="1:18" hidden="1">
      <c r="A750" s="28">
        <v>2</v>
      </c>
      <c r="B750" s="29" t="s">
        <v>240</v>
      </c>
      <c r="C750" s="29" t="s">
        <v>276</v>
      </c>
      <c r="D750" s="29" t="s">
        <v>277</v>
      </c>
      <c r="E750" s="29" t="s">
        <v>172</v>
      </c>
      <c r="F750" s="28" t="s">
        <v>2009</v>
      </c>
      <c r="G750" s="28" t="s">
        <v>2035</v>
      </c>
      <c r="H750" s="28" t="s">
        <v>174</v>
      </c>
      <c r="I750" s="28" t="s">
        <v>174</v>
      </c>
      <c r="J750" s="30" t="s">
        <v>174</v>
      </c>
      <c r="K750" s="28" t="s">
        <v>489</v>
      </c>
      <c r="L750" s="31">
        <v>42491</v>
      </c>
      <c r="M750" s="28">
        <v>5</v>
      </c>
      <c r="N750" s="32" t="s">
        <v>191</v>
      </c>
      <c r="O750" s="28" t="s">
        <v>272</v>
      </c>
      <c r="P750" s="28" t="s">
        <v>2203</v>
      </c>
      <c r="Q750" s="28" t="s">
        <v>2204</v>
      </c>
      <c r="R750" s="28" t="s">
        <v>2205</v>
      </c>
    </row>
    <row r="751" spans="1:18" hidden="1">
      <c r="A751" s="28">
        <v>2</v>
      </c>
      <c r="B751" s="29" t="s">
        <v>240</v>
      </c>
      <c r="C751" s="29" t="s">
        <v>276</v>
      </c>
      <c r="D751" s="29" t="s">
        <v>277</v>
      </c>
      <c r="E751" s="29" t="s">
        <v>172</v>
      </c>
      <c r="F751" s="28" t="s">
        <v>2009</v>
      </c>
      <c r="G751" s="28" t="s">
        <v>2035</v>
      </c>
      <c r="H751" s="28" t="s">
        <v>174</v>
      </c>
      <c r="I751" s="28" t="s">
        <v>174</v>
      </c>
      <c r="J751" s="30" t="s">
        <v>174</v>
      </c>
      <c r="K751" s="28" t="s">
        <v>2206</v>
      </c>
      <c r="L751" s="31">
        <v>42887</v>
      </c>
      <c r="M751" s="28">
        <v>6</v>
      </c>
      <c r="N751" s="32" t="s">
        <v>184</v>
      </c>
      <c r="O751" s="28" t="s">
        <v>204</v>
      </c>
      <c r="P751" s="28" t="s">
        <v>2207</v>
      </c>
      <c r="Q751" s="28" t="s">
        <v>2208</v>
      </c>
      <c r="R751" s="28" t="s">
        <v>2205</v>
      </c>
    </row>
    <row r="752" spans="1:18" hidden="1">
      <c r="A752" s="28">
        <v>2</v>
      </c>
      <c r="B752" s="29" t="s">
        <v>240</v>
      </c>
      <c r="C752" s="29" t="s">
        <v>276</v>
      </c>
      <c r="D752" s="29" t="s">
        <v>277</v>
      </c>
      <c r="E752" s="29" t="s">
        <v>172</v>
      </c>
      <c r="F752" s="28" t="s">
        <v>2009</v>
      </c>
      <c r="G752" s="28" t="s">
        <v>2046</v>
      </c>
      <c r="H752" s="28" t="s">
        <v>384</v>
      </c>
      <c r="I752" s="28">
        <v>2</v>
      </c>
      <c r="J752" s="30">
        <v>8.5000000000000006E-2</v>
      </c>
      <c r="K752" s="28" t="s">
        <v>411</v>
      </c>
      <c r="L752" s="31">
        <v>43556</v>
      </c>
      <c r="M752" s="28">
        <v>4</v>
      </c>
      <c r="N752" s="32" t="s">
        <v>191</v>
      </c>
      <c r="O752" s="28" t="s">
        <v>204</v>
      </c>
      <c r="P752" s="28" t="s">
        <v>2209</v>
      </c>
      <c r="Q752" s="28" t="s">
        <v>2210</v>
      </c>
      <c r="R752" s="28" t="s">
        <v>2211</v>
      </c>
    </row>
    <row r="753" spans="1:18" hidden="1">
      <c r="A753" s="28">
        <v>2</v>
      </c>
      <c r="B753" s="29" t="s">
        <v>240</v>
      </c>
      <c r="C753" s="29" t="s">
        <v>276</v>
      </c>
      <c r="D753" s="29" t="s">
        <v>277</v>
      </c>
      <c r="E753" s="29" t="s">
        <v>172</v>
      </c>
      <c r="F753" s="28" t="s">
        <v>2009</v>
      </c>
      <c r="G753" s="28" t="s">
        <v>2046</v>
      </c>
      <c r="H753" s="28" t="s">
        <v>384</v>
      </c>
      <c r="I753" s="28">
        <v>2</v>
      </c>
      <c r="J753" s="30">
        <v>8.5000000000000006E-2</v>
      </c>
      <c r="K753" s="28" t="s">
        <v>479</v>
      </c>
      <c r="L753" s="31">
        <v>43770</v>
      </c>
      <c r="M753" s="28">
        <v>11</v>
      </c>
      <c r="N753" s="32" t="s">
        <v>191</v>
      </c>
      <c r="O753" s="28" t="s">
        <v>953</v>
      </c>
      <c r="P753" s="28" t="s">
        <v>2212</v>
      </c>
      <c r="Q753" s="28" t="s">
        <v>2201</v>
      </c>
      <c r="R753" s="28" t="s">
        <v>2213</v>
      </c>
    </row>
    <row r="754" spans="1:18" hidden="1">
      <c r="A754" s="28">
        <v>2</v>
      </c>
      <c r="B754" s="29" t="s">
        <v>240</v>
      </c>
      <c r="C754" s="29" t="s">
        <v>276</v>
      </c>
      <c r="D754" s="29" t="s">
        <v>277</v>
      </c>
      <c r="E754" s="29" t="s">
        <v>172</v>
      </c>
      <c r="F754" s="28" t="s">
        <v>2009</v>
      </c>
      <c r="G754" s="28" t="s">
        <v>2028</v>
      </c>
      <c r="H754" s="28" t="s">
        <v>174</v>
      </c>
      <c r="I754" s="28" t="s">
        <v>174</v>
      </c>
      <c r="J754" s="30" t="s">
        <v>174</v>
      </c>
      <c r="K754" s="28" t="s">
        <v>504</v>
      </c>
      <c r="L754" s="31">
        <v>43922</v>
      </c>
      <c r="M754" s="28">
        <v>4</v>
      </c>
      <c r="N754" s="32" t="s">
        <v>191</v>
      </c>
      <c r="O754" s="28" t="s">
        <v>177</v>
      </c>
      <c r="P754" s="28" t="s">
        <v>2214</v>
      </c>
      <c r="Q754" s="28" t="s">
        <v>2215</v>
      </c>
      <c r="R754" s="28" t="s">
        <v>2216</v>
      </c>
    </row>
    <row r="755" spans="1:18" hidden="1">
      <c r="A755" s="28">
        <v>2</v>
      </c>
      <c r="B755" s="29" t="s">
        <v>240</v>
      </c>
      <c r="C755" s="29" t="s">
        <v>276</v>
      </c>
      <c r="D755" s="29" t="s">
        <v>277</v>
      </c>
      <c r="E755" s="29" t="s">
        <v>172</v>
      </c>
      <c r="F755" s="28" t="s">
        <v>2009</v>
      </c>
      <c r="G755" s="28" t="s">
        <v>2046</v>
      </c>
      <c r="H755" s="28" t="s">
        <v>384</v>
      </c>
      <c r="I755" s="28">
        <v>2</v>
      </c>
      <c r="J755" s="30">
        <v>8.5000000000000006E-2</v>
      </c>
      <c r="K755" s="28" t="s">
        <v>646</v>
      </c>
      <c r="L755" s="31">
        <v>44075</v>
      </c>
      <c r="M755" s="28">
        <v>9</v>
      </c>
      <c r="N755" s="32" t="s">
        <v>191</v>
      </c>
      <c r="O755" s="28" t="s">
        <v>953</v>
      </c>
      <c r="P755" s="28" t="s">
        <v>2217</v>
      </c>
      <c r="Q755" s="28" t="s">
        <v>2201</v>
      </c>
      <c r="R755" s="28" t="s">
        <v>2202</v>
      </c>
    </row>
    <row r="756" spans="1:18" hidden="1">
      <c r="A756" s="28">
        <v>2</v>
      </c>
      <c r="B756" s="29" t="s">
        <v>240</v>
      </c>
      <c r="C756" s="29" t="s">
        <v>276</v>
      </c>
      <c r="D756" s="29" t="s">
        <v>277</v>
      </c>
      <c r="E756" s="29" t="s">
        <v>172</v>
      </c>
      <c r="F756" s="28" t="s">
        <v>2009</v>
      </c>
      <c r="G756" s="28" t="s">
        <v>2046</v>
      </c>
      <c r="H756" s="28" t="s">
        <v>384</v>
      </c>
      <c r="I756" s="28">
        <v>2</v>
      </c>
      <c r="J756" s="30">
        <v>8.5000000000000006E-2</v>
      </c>
      <c r="K756" s="28" t="s">
        <v>341</v>
      </c>
      <c r="L756" s="31">
        <v>44228</v>
      </c>
      <c r="M756" s="28">
        <v>2</v>
      </c>
      <c r="N756" s="32" t="s">
        <v>176</v>
      </c>
      <c r="O756" s="28" t="s">
        <v>953</v>
      </c>
      <c r="P756" s="28" t="s">
        <v>2218</v>
      </c>
      <c r="Q756" s="28" t="s">
        <v>2201</v>
      </c>
      <c r="R756" s="28" t="s">
        <v>2202</v>
      </c>
    </row>
    <row r="757" spans="1:18" hidden="1">
      <c r="A757" s="28">
        <v>2</v>
      </c>
      <c r="B757" s="29" t="s">
        <v>240</v>
      </c>
      <c r="C757" s="29" t="s">
        <v>276</v>
      </c>
      <c r="D757" s="29" t="s">
        <v>277</v>
      </c>
      <c r="E757" s="29" t="s">
        <v>172</v>
      </c>
      <c r="F757" s="28" t="s">
        <v>2009</v>
      </c>
      <c r="G757" s="28" t="s">
        <v>2046</v>
      </c>
      <c r="H757" s="28" t="s">
        <v>384</v>
      </c>
      <c r="I757" s="28">
        <v>2</v>
      </c>
      <c r="J757" s="30">
        <v>8.5000000000000006E-2</v>
      </c>
      <c r="K757" s="28" t="s">
        <v>341</v>
      </c>
      <c r="L757" s="31">
        <v>44228</v>
      </c>
      <c r="M757" s="28">
        <v>2</v>
      </c>
      <c r="N757" s="32" t="s">
        <v>176</v>
      </c>
      <c r="O757" s="28" t="s">
        <v>953</v>
      </c>
      <c r="P757" s="28" t="s">
        <v>2219</v>
      </c>
      <c r="Q757" s="28" t="s">
        <v>2201</v>
      </c>
      <c r="R757" s="28" t="s">
        <v>2202</v>
      </c>
    </row>
    <row r="758" spans="1:18" hidden="1">
      <c r="A758" s="28">
        <v>2</v>
      </c>
      <c r="B758" s="29" t="s">
        <v>240</v>
      </c>
      <c r="C758" s="29" t="s">
        <v>276</v>
      </c>
      <c r="D758" s="29" t="s">
        <v>277</v>
      </c>
      <c r="E758" s="29" t="s">
        <v>172</v>
      </c>
      <c r="F758" s="28" t="s">
        <v>2009</v>
      </c>
      <c r="G758" s="28" t="s">
        <v>2046</v>
      </c>
      <c r="H758" s="28" t="s">
        <v>384</v>
      </c>
      <c r="I758" s="28">
        <v>2</v>
      </c>
      <c r="J758" s="30">
        <v>8.5000000000000006E-2</v>
      </c>
      <c r="K758" s="28" t="s">
        <v>345</v>
      </c>
      <c r="L758" s="31">
        <v>44440</v>
      </c>
      <c r="M758" s="28">
        <v>9</v>
      </c>
      <c r="N758" s="32" t="s">
        <v>191</v>
      </c>
      <c r="O758" s="28" t="s">
        <v>953</v>
      </c>
      <c r="P758" s="28" t="s">
        <v>2220</v>
      </c>
      <c r="Q758" s="28" t="s">
        <v>2201</v>
      </c>
      <c r="R758" s="28" t="s">
        <v>2202</v>
      </c>
    </row>
    <row r="759" spans="1:18" hidden="1">
      <c r="A759" s="28">
        <v>2</v>
      </c>
      <c r="B759" s="29" t="s">
        <v>240</v>
      </c>
      <c r="C759" s="29" t="s">
        <v>276</v>
      </c>
      <c r="D759" s="29" t="s">
        <v>277</v>
      </c>
      <c r="E759" s="29" t="s">
        <v>172</v>
      </c>
      <c r="F759" s="28" t="s">
        <v>2009</v>
      </c>
      <c r="G759" s="28" t="s">
        <v>2035</v>
      </c>
      <c r="H759" s="28" t="s">
        <v>174</v>
      </c>
      <c r="I759" s="28" t="s">
        <v>174</v>
      </c>
      <c r="J759" s="30" t="s">
        <v>174</v>
      </c>
      <c r="K759" s="28" t="s">
        <v>712</v>
      </c>
      <c r="L759" s="31">
        <v>44470</v>
      </c>
      <c r="M759" s="28">
        <v>10</v>
      </c>
      <c r="N759" s="32" t="s">
        <v>191</v>
      </c>
      <c r="O759" s="28" t="s">
        <v>272</v>
      </c>
      <c r="P759" s="28" t="s">
        <v>2221</v>
      </c>
      <c r="Q759" s="28" t="s">
        <v>2222</v>
      </c>
      <c r="R759" s="28" t="s">
        <v>2205</v>
      </c>
    </row>
    <row r="760" spans="1:18">
      <c r="A760" s="28">
        <v>3</v>
      </c>
      <c r="B760" s="29" t="s">
        <v>286</v>
      </c>
      <c r="C760" s="29" t="s">
        <v>287</v>
      </c>
      <c r="D760" s="29" t="s">
        <v>558</v>
      </c>
      <c r="E760" s="29" t="s">
        <v>172</v>
      </c>
      <c r="F760" s="28" t="s">
        <v>2009</v>
      </c>
      <c r="G760" s="28" t="s">
        <v>2013</v>
      </c>
      <c r="H760" s="28" t="s">
        <v>384</v>
      </c>
      <c r="I760" s="28">
        <v>2</v>
      </c>
      <c r="J760" s="30">
        <v>8.5000000000000006E-2</v>
      </c>
      <c r="K760" s="28" t="s">
        <v>2223</v>
      </c>
      <c r="L760" s="31">
        <v>42278</v>
      </c>
      <c r="M760" s="28">
        <v>10</v>
      </c>
      <c r="N760" s="32" t="s">
        <v>191</v>
      </c>
      <c r="O760" s="28" t="s">
        <v>185</v>
      </c>
      <c r="P760" s="28" t="s">
        <v>2224</v>
      </c>
      <c r="Q760" s="28" t="s">
        <v>2225</v>
      </c>
      <c r="R760" s="28" t="s">
        <v>2226</v>
      </c>
    </row>
    <row r="761" spans="1:18">
      <c r="A761" s="28">
        <v>3</v>
      </c>
      <c r="B761" s="29" t="s">
        <v>286</v>
      </c>
      <c r="C761" s="29" t="s">
        <v>287</v>
      </c>
      <c r="D761" s="29" t="s">
        <v>558</v>
      </c>
      <c r="E761" s="29" t="s">
        <v>172</v>
      </c>
      <c r="F761" s="28" t="s">
        <v>2009</v>
      </c>
      <c r="G761" s="28" t="s">
        <v>2046</v>
      </c>
      <c r="H761" s="28" t="s">
        <v>384</v>
      </c>
      <c r="I761" s="28">
        <v>2</v>
      </c>
      <c r="J761" s="30">
        <v>8.5000000000000006E-2</v>
      </c>
      <c r="K761" s="28" t="s">
        <v>175</v>
      </c>
      <c r="L761" s="31">
        <v>42339</v>
      </c>
      <c r="M761" s="28">
        <v>12</v>
      </c>
      <c r="N761" s="32" t="s">
        <v>176</v>
      </c>
      <c r="O761" s="28" t="s">
        <v>204</v>
      </c>
      <c r="P761" s="28" t="s">
        <v>2227</v>
      </c>
      <c r="Q761" s="28" t="s">
        <v>2228</v>
      </c>
      <c r="R761" s="28" t="s">
        <v>2229</v>
      </c>
    </row>
    <row r="762" spans="1:18">
      <c r="A762" s="28">
        <v>3</v>
      </c>
      <c r="B762" s="29" t="s">
        <v>286</v>
      </c>
      <c r="C762" s="29" t="s">
        <v>287</v>
      </c>
      <c r="D762" s="29" t="s">
        <v>558</v>
      </c>
      <c r="E762" s="29" t="s">
        <v>172</v>
      </c>
      <c r="F762" s="28" t="s">
        <v>2009</v>
      </c>
      <c r="G762" s="28" t="s">
        <v>2046</v>
      </c>
      <c r="H762" s="28" t="s">
        <v>384</v>
      </c>
      <c r="I762" s="28">
        <v>2</v>
      </c>
      <c r="J762" s="30">
        <v>8.5000000000000006E-2</v>
      </c>
      <c r="K762" s="28" t="s">
        <v>335</v>
      </c>
      <c r="L762" s="31">
        <v>42614</v>
      </c>
      <c r="M762" s="28">
        <v>9</v>
      </c>
      <c r="N762" s="32" t="s">
        <v>191</v>
      </c>
      <c r="O762" s="28" t="s">
        <v>185</v>
      </c>
      <c r="P762" s="28" t="s">
        <v>2230</v>
      </c>
      <c r="Q762" s="28" t="s">
        <v>2231</v>
      </c>
      <c r="R762" s="28" t="s">
        <v>2232</v>
      </c>
    </row>
    <row r="763" spans="1:18">
      <c r="A763" s="28">
        <v>3</v>
      </c>
      <c r="B763" s="29" t="s">
        <v>286</v>
      </c>
      <c r="C763" s="29" t="s">
        <v>287</v>
      </c>
      <c r="D763" s="29" t="s">
        <v>558</v>
      </c>
      <c r="E763" s="29" t="s">
        <v>172</v>
      </c>
      <c r="F763" s="28" t="s">
        <v>2009</v>
      </c>
      <c r="G763" s="28" t="s">
        <v>2013</v>
      </c>
      <c r="H763" s="28" t="s">
        <v>384</v>
      </c>
      <c r="I763" s="28">
        <v>2</v>
      </c>
      <c r="J763" s="30">
        <v>8.5000000000000006E-2</v>
      </c>
      <c r="K763" s="28" t="s">
        <v>401</v>
      </c>
      <c r="L763" s="31">
        <v>42705</v>
      </c>
      <c r="M763" s="28">
        <v>12</v>
      </c>
      <c r="N763" s="32" t="s">
        <v>176</v>
      </c>
      <c r="O763" s="28" t="s">
        <v>244</v>
      </c>
      <c r="P763" s="28" t="s">
        <v>2233</v>
      </c>
      <c r="Q763" s="28" t="s">
        <v>2234</v>
      </c>
      <c r="R763" s="28" t="s">
        <v>2235</v>
      </c>
    </row>
    <row r="764" spans="1:18">
      <c r="A764" s="28">
        <v>3</v>
      </c>
      <c r="B764" s="29" t="s">
        <v>286</v>
      </c>
      <c r="C764" s="29" t="s">
        <v>287</v>
      </c>
      <c r="D764" s="29" t="s">
        <v>558</v>
      </c>
      <c r="E764" s="29" t="s">
        <v>172</v>
      </c>
      <c r="F764" s="28" t="s">
        <v>2009</v>
      </c>
      <c r="G764" s="28" t="s">
        <v>2046</v>
      </c>
      <c r="H764" s="28" t="s">
        <v>384</v>
      </c>
      <c r="I764" s="28">
        <v>2</v>
      </c>
      <c r="J764" s="30">
        <v>8.5000000000000006E-2</v>
      </c>
      <c r="K764" s="28" t="s">
        <v>271</v>
      </c>
      <c r="L764" s="31">
        <v>42856</v>
      </c>
      <c r="M764" s="28">
        <v>5</v>
      </c>
      <c r="N764" s="32" t="s">
        <v>191</v>
      </c>
      <c r="O764" s="28" t="s">
        <v>204</v>
      </c>
      <c r="P764" s="28" t="s">
        <v>2236</v>
      </c>
      <c r="Q764" s="28" t="s">
        <v>2237</v>
      </c>
      <c r="R764" s="28" t="s">
        <v>2238</v>
      </c>
    </row>
    <row r="765" spans="1:18">
      <c r="A765" s="28">
        <v>3</v>
      </c>
      <c r="B765" s="29" t="s">
        <v>286</v>
      </c>
      <c r="C765" s="29" t="s">
        <v>287</v>
      </c>
      <c r="D765" s="29" t="s">
        <v>558</v>
      </c>
      <c r="E765" s="29" t="s">
        <v>172</v>
      </c>
      <c r="F765" s="28" t="s">
        <v>2009</v>
      </c>
      <c r="G765" s="28" t="s">
        <v>2013</v>
      </c>
      <c r="H765" s="28" t="s">
        <v>384</v>
      </c>
      <c r="I765" s="28">
        <v>2</v>
      </c>
      <c r="J765" s="30">
        <v>8.5000000000000006E-2</v>
      </c>
      <c r="K765" s="28" t="s">
        <v>496</v>
      </c>
      <c r="L765" s="31">
        <v>42917</v>
      </c>
      <c r="M765" s="28">
        <v>7</v>
      </c>
      <c r="N765" s="32" t="s">
        <v>184</v>
      </c>
      <c r="O765" s="28" t="s">
        <v>204</v>
      </c>
      <c r="P765" s="28" t="s">
        <v>2239</v>
      </c>
      <c r="Q765" s="28" t="s">
        <v>2240</v>
      </c>
      <c r="R765" s="28" t="s">
        <v>2241</v>
      </c>
    </row>
    <row r="766" spans="1:18">
      <c r="A766" s="28">
        <v>3</v>
      </c>
      <c r="B766" s="29" t="s">
        <v>286</v>
      </c>
      <c r="C766" s="29" t="s">
        <v>287</v>
      </c>
      <c r="D766" s="29" t="s">
        <v>558</v>
      </c>
      <c r="E766" s="29" t="s">
        <v>172</v>
      </c>
      <c r="F766" s="28" t="s">
        <v>2009</v>
      </c>
      <c r="G766" s="28" t="s">
        <v>2013</v>
      </c>
      <c r="H766" s="28" t="s">
        <v>384</v>
      </c>
      <c r="I766" s="28">
        <v>2</v>
      </c>
      <c r="J766" s="30">
        <v>8.5000000000000006E-2</v>
      </c>
      <c r="K766" s="28" t="s">
        <v>971</v>
      </c>
      <c r="L766" s="31">
        <v>42979</v>
      </c>
      <c r="M766" s="28">
        <v>9</v>
      </c>
      <c r="N766" s="32" t="s">
        <v>191</v>
      </c>
      <c r="O766" s="28" t="s">
        <v>204</v>
      </c>
      <c r="P766" s="28" t="s">
        <v>2242</v>
      </c>
      <c r="Q766" s="28" t="s">
        <v>2243</v>
      </c>
      <c r="R766" s="28" t="s">
        <v>2244</v>
      </c>
    </row>
    <row r="767" spans="1:18">
      <c r="A767" s="28">
        <v>3</v>
      </c>
      <c r="B767" s="29" t="s">
        <v>286</v>
      </c>
      <c r="C767" s="29" t="s">
        <v>287</v>
      </c>
      <c r="D767" s="29" t="s">
        <v>558</v>
      </c>
      <c r="E767" s="29" t="s">
        <v>172</v>
      </c>
      <c r="F767" s="28" t="s">
        <v>2009</v>
      </c>
      <c r="G767" s="28" t="s">
        <v>2046</v>
      </c>
      <c r="H767" s="28" t="s">
        <v>384</v>
      </c>
      <c r="I767" s="28">
        <v>2</v>
      </c>
      <c r="J767" s="30">
        <v>8.5000000000000006E-2</v>
      </c>
      <c r="K767" s="28" t="s">
        <v>475</v>
      </c>
      <c r="L767" s="31">
        <v>43191</v>
      </c>
      <c r="M767" s="28">
        <v>4</v>
      </c>
      <c r="N767" s="32" t="s">
        <v>191</v>
      </c>
      <c r="O767" s="28" t="s">
        <v>204</v>
      </c>
      <c r="P767" s="28" t="s">
        <v>2245</v>
      </c>
      <c r="Q767" s="28" t="s">
        <v>2246</v>
      </c>
      <c r="R767" s="28" t="s">
        <v>2247</v>
      </c>
    </row>
    <row r="768" spans="1:18">
      <c r="A768" s="28">
        <v>3</v>
      </c>
      <c r="B768" s="29" t="s">
        <v>286</v>
      </c>
      <c r="C768" s="29" t="s">
        <v>287</v>
      </c>
      <c r="D768" s="29" t="s">
        <v>558</v>
      </c>
      <c r="E768" s="29" t="s">
        <v>172</v>
      </c>
      <c r="F768" s="28" t="s">
        <v>2009</v>
      </c>
      <c r="G768" s="28" t="s">
        <v>2013</v>
      </c>
      <c r="H768" s="28" t="s">
        <v>384</v>
      </c>
      <c r="I768" s="28">
        <v>2</v>
      </c>
      <c r="J768" s="30">
        <v>8.5000000000000006E-2</v>
      </c>
      <c r="K768" s="28" t="s">
        <v>293</v>
      </c>
      <c r="L768" s="31">
        <v>43374</v>
      </c>
      <c r="M768" s="28">
        <v>10</v>
      </c>
      <c r="N768" s="32" t="s">
        <v>191</v>
      </c>
      <c r="O768" s="28" t="s">
        <v>204</v>
      </c>
      <c r="P768" s="28" t="s">
        <v>2248</v>
      </c>
      <c r="Q768" s="28" t="s">
        <v>2249</v>
      </c>
      <c r="R768" s="28" t="s">
        <v>2250</v>
      </c>
    </row>
    <row r="769" spans="1:18">
      <c r="A769" s="28">
        <v>3</v>
      </c>
      <c r="B769" s="29" t="s">
        <v>286</v>
      </c>
      <c r="C769" s="29" t="s">
        <v>287</v>
      </c>
      <c r="D769" s="29" t="s">
        <v>558</v>
      </c>
      <c r="E769" s="29" t="s">
        <v>172</v>
      </c>
      <c r="F769" s="28" t="s">
        <v>2009</v>
      </c>
      <c r="G769" s="28" t="s">
        <v>2046</v>
      </c>
      <c r="H769" s="28" t="s">
        <v>384</v>
      </c>
      <c r="I769" s="28">
        <v>2</v>
      </c>
      <c r="J769" s="30">
        <v>8.5000000000000006E-2</v>
      </c>
      <c r="K769" s="28" t="s">
        <v>424</v>
      </c>
      <c r="L769" s="31">
        <v>43678</v>
      </c>
      <c r="M769" s="28">
        <v>8</v>
      </c>
      <c r="N769" s="32" t="s">
        <v>184</v>
      </c>
      <c r="O769" s="28" t="s">
        <v>204</v>
      </c>
      <c r="P769" s="28" t="s">
        <v>2251</v>
      </c>
      <c r="Q769" s="28" t="s">
        <v>2249</v>
      </c>
      <c r="R769" s="28" t="s">
        <v>2250</v>
      </c>
    </row>
    <row r="770" spans="1:18">
      <c r="A770" s="28">
        <v>3</v>
      </c>
      <c r="B770" s="29" t="s">
        <v>286</v>
      </c>
      <c r="C770" s="29" t="s">
        <v>287</v>
      </c>
      <c r="D770" s="29" t="s">
        <v>558</v>
      </c>
      <c r="E770" s="29" t="s">
        <v>172</v>
      </c>
      <c r="F770" s="28" t="s">
        <v>2009</v>
      </c>
      <c r="G770" s="28" t="s">
        <v>2013</v>
      </c>
      <c r="H770" s="28" t="s">
        <v>384</v>
      </c>
      <c r="I770" s="28">
        <v>2</v>
      </c>
      <c r="J770" s="30">
        <v>8.5000000000000006E-2</v>
      </c>
      <c r="K770" s="28" t="s">
        <v>752</v>
      </c>
      <c r="L770" s="31">
        <v>43709</v>
      </c>
      <c r="M770" s="28">
        <v>9</v>
      </c>
      <c r="N770" s="32" t="s">
        <v>191</v>
      </c>
      <c r="O770" s="28" t="s">
        <v>244</v>
      </c>
      <c r="P770" s="28" t="s">
        <v>2252</v>
      </c>
      <c r="Q770" s="28" t="s">
        <v>2253</v>
      </c>
      <c r="R770" s="28" t="s">
        <v>2254</v>
      </c>
    </row>
    <row r="771" spans="1:18">
      <c r="A771" s="28">
        <v>3</v>
      </c>
      <c r="B771" s="29" t="s">
        <v>286</v>
      </c>
      <c r="C771" s="29" t="s">
        <v>287</v>
      </c>
      <c r="D771" s="29" t="s">
        <v>558</v>
      </c>
      <c r="E771" s="29" t="s">
        <v>172</v>
      </c>
      <c r="F771" s="28" t="s">
        <v>2009</v>
      </c>
      <c r="G771" s="28" t="s">
        <v>2013</v>
      </c>
      <c r="H771" s="28" t="s">
        <v>384</v>
      </c>
      <c r="I771" s="28">
        <v>2</v>
      </c>
      <c r="J771" s="30">
        <v>8.5000000000000006E-2</v>
      </c>
      <c r="K771" s="28" t="s">
        <v>479</v>
      </c>
      <c r="L771" s="31">
        <v>43770</v>
      </c>
      <c r="M771" s="28">
        <v>11</v>
      </c>
      <c r="N771" s="32" t="s">
        <v>191</v>
      </c>
      <c r="O771" s="28" t="s">
        <v>244</v>
      </c>
      <c r="P771" s="28" t="s">
        <v>2255</v>
      </c>
      <c r="Q771" s="28" t="s">
        <v>2256</v>
      </c>
      <c r="R771" s="28" t="s">
        <v>2257</v>
      </c>
    </row>
    <row r="772" spans="1:18">
      <c r="A772" s="28">
        <v>3</v>
      </c>
      <c r="B772" s="29" t="s">
        <v>286</v>
      </c>
      <c r="C772" s="29" t="s">
        <v>287</v>
      </c>
      <c r="D772" s="29" t="s">
        <v>288</v>
      </c>
      <c r="E772" s="29" t="s">
        <v>172</v>
      </c>
      <c r="F772" s="28" t="s">
        <v>2009</v>
      </c>
      <c r="G772" s="28" t="s">
        <v>2046</v>
      </c>
      <c r="H772" s="28" t="s">
        <v>384</v>
      </c>
      <c r="I772" s="28">
        <v>2</v>
      </c>
      <c r="J772" s="30">
        <v>8.5000000000000006E-2</v>
      </c>
      <c r="K772" s="28" t="s">
        <v>391</v>
      </c>
      <c r="L772" s="31">
        <v>42370</v>
      </c>
      <c r="M772" s="28">
        <v>1</v>
      </c>
      <c r="N772" s="32" t="s">
        <v>176</v>
      </c>
      <c r="O772" s="28" t="s">
        <v>204</v>
      </c>
      <c r="P772" s="28" t="s">
        <v>2258</v>
      </c>
      <c r="Q772" s="28" t="s">
        <v>2249</v>
      </c>
      <c r="R772" s="28" t="s">
        <v>2250</v>
      </c>
    </row>
    <row r="773" spans="1:18">
      <c r="A773" s="28">
        <v>3</v>
      </c>
      <c r="B773" s="29" t="s">
        <v>286</v>
      </c>
      <c r="C773" s="29" t="s">
        <v>287</v>
      </c>
      <c r="D773" s="29" t="s">
        <v>288</v>
      </c>
      <c r="E773" s="29" t="s">
        <v>172</v>
      </c>
      <c r="F773" s="28" t="s">
        <v>2009</v>
      </c>
      <c r="G773" s="28" t="s">
        <v>2013</v>
      </c>
      <c r="H773" s="28" t="s">
        <v>384</v>
      </c>
      <c r="I773" s="28">
        <v>2</v>
      </c>
      <c r="J773" s="30">
        <v>8.5000000000000006E-2</v>
      </c>
      <c r="K773" s="28" t="s">
        <v>263</v>
      </c>
      <c r="L773" s="31">
        <v>42430</v>
      </c>
      <c r="M773" s="28">
        <v>3</v>
      </c>
      <c r="N773" s="32" t="s">
        <v>191</v>
      </c>
      <c r="O773" s="28" t="s">
        <v>794</v>
      </c>
      <c r="P773" s="28" t="s">
        <v>2259</v>
      </c>
      <c r="Q773" s="28" t="s">
        <v>2260</v>
      </c>
      <c r="R773" s="28" t="s">
        <v>2261</v>
      </c>
    </row>
    <row r="774" spans="1:18">
      <c r="A774" s="28">
        <v>3</v>
      </c>
      <c r="B774" s="29" t="s">
        <v>286</v>
      </c>
      <c r="C774" s="29" t="s">
        <v>287</v>
      </c>
      <c r="D774" s="29" t="s">
        <v>288</v>
      </c>
      <c r="E774" s="29" t="s">
        <v>172</v>
      </c>
      <c r="F774" s="28" t="s">
        <v>2009</v>
      </c>
      <c r="G774" s="28" t="s">
        <v>2046</v>
      </c>
      <c r="H774" s="28" t="s">
        <v>384</v>
      </c>
      <c r="I774" s="28">
        <v>2</v>
      </c>
      <c r="J774" s="30">
        <v>8.5000000000000006E-2</v>
      </c>
      <c r="K774" s="28" t="s">
        <v>243</v>
      </c>
      <c r="L774" s="31">
        <v>42461</v>
      </c>
      <c r="M774" s="28">
        <v>4</v>
      </c>
      <c r="N774" s="32" t="s">
        <v>191</v>
      </c>
      <c r="O774" s="28" t="s">
        <v>204</v>
      </c>
      <c r="P774" s="28" t="s">
        <v>2262</v>
      </c>
      <c r="Q774" s="28" t="s">
        <v>2263</v>
      </c>
      <c r="R774" s="28" t="s">
        <v>2264</v>
      </c>
    </row>
    <row r="775" spans="1:18">
      <c r="A775" s="28">
        <v>3</v>
      </c>
      <c r="B775" s="29" t="s">
        <v>286</v>
      </c>
      <c r="C775" s="29" t="s">
        <v>287</v>
      </c>
      <c r="D775" s="29" t="s">
        <v>288</v>
      </c>
      <c r="E775" s="29" t="s">
        <v>172</v>
      </c>
      <c r="F775" s="28" t="s">
        <v>2009</v>
      </c>
      <c r="G775" s="28" t="s">
        <v>2046</v>
      </c>
      <c r="H775" s="28" t="s">
        <v>384</v>
      </c>
      <c r="I775" s="28">
        <v>2</v>
      </c>
      <c r="J775" s="30">
        <v>8.5000000000000006E-2</v>
      </c>
      <c r="K775" s="28" t="s">
        <v>243</v>
      </c>
      <c r="L775" s="31">
        <v>42461</v>
      </c>
      <c r="M775" s="28">
        <v>4</v>
      </c>
      <c r="N775" s="32" t="s">
        <v>191</v>
      </c>
      <c r="O775" s="28" t="s">
        <v>204</v>
      </c>
      <c r="P775" s="28" t="s">
        <v>2265</v>
      </c>
      <c r="Q775" s="28" t="s">
        <v>2263</v>
      </c>
      <c r="R775" s="28" t="s">
        <v>2264</v>
      </c>
    </row>
    <row r="776" spans="1:18">
      <c r="A776" s="28">
        <v>3</v>
      </c>
      <c r="B776" s="29" t="s">
        <v>286</v>
      </c>
      <c r="C776" s="29" t="s">
        <v>287</v>
      </c>
      <c r="D776" s="29" t="s">
        <v>288</v>
      </c>
      <c r="E776" s="29" t="s">
        <v>172</v>
      </c>
      <c r="F776" s="28" t="s">
        <v>2009</v>
      </c>
      <c r="G776" s="28" t="s">
        <v>2046</v>
      </c>
      <c r="H776" s="28" t="s">
        <v>384</v>
      </c>
      <c r="I776" s="28">
        <v>2</v>
      </c>
      <c r="J776" s="30">
        <v>8.5000000000000006E-2</v>
      </c>
      <c r="K776" s="28" t="s">
        <v>243</v>
      </c>
      <c r="L776" s="31">
        <v>42461</v>
      </c>
      <c r="M776" s="28">
        <v>4</v>
      </c>
      <c r="N776" s="32" t="s">
        <v>191</v>
      </c>
      <c r="O776" s="28" t="s">
        <v>204</v>
      </c>
      <c r="P776" s="28" t="s">
        <v>2266</v>
      </c>
      <c r="Q776" s="28" t="s">
        <v>2263</v>
      </c>
      <c r="R776" s="28" t="s">
        <v>2264</v>
      </c>
    </row>
    <row r="777" spans="1:18">
      <c r="A777" s="28">
        <v>3</v>
      </c>
      <c r="B777" s="29" t="s">
        <v>286</v>
      </c>
      <c r="C777" s="29" t="s">
        <v>287</v>
      </c>
      <c r="D777" s="29" t="s">
        <v>288</v>
      </c>
      <c r="E777" s="29" t="s">
        <v>172</v>
      </c>
      <c r="F777" s="28" t="s">
        <v>2009</v>
      </c>
      <c r="G777" s="28" t="s">
        <v>2046</v>
      </c>
      <c r="H777" s="28" t="s">
        <v>384</v>
      </c>
      <c r="I777" s="28">
        <v>2</v>
      </c>
      <c r="J777" s="30">
        <v>8.5000000000000006E-2</v>
      </c>
      <c r="K777" s="28" t="s">
        <v>489</v>
      </c>
      <c r="L777" s="31">
        <v>42491</v>
      </c>
      <c r="M777" s="28">
        <v>5</v>
      </c>
      <c r="N777" s="32" t="s">
        <v>191</v>
      </c>
      <c r="O777" s="28" t="s">
        <v>204</v>
      </c>
      <c r="P777" s="28" t="s">
        <v>2267</v>
      </c>
      <c r="Q777" s="28" t="s">
        <v>2249</v>
      </c>
      <c r="R777" s="28" t="s">
        <v>2250</v>
      </c>
    </row>
    <row r="778" spans="1:18">
      <c r="A778" s="28">
        <v>3</v>
      </c>
      <c r="B778" s="29" t="s">
        <v>286</v>
      </c>
      <c r="C778" s="29" t="s">
        <v>287</v>
      </c>
      <c r="D778" s="29" t="s">
        <v>288</v>
      </c>
      <c r="E778" s="29" t="s">
        <v>172</v>
      </c>
      <c r="F778" s="28" t="s">
        <v>2009</v>
      </c>
      <c r="G778" s="28" t="s">
        <v>2046</v>
      </c>
      <c r="H778" s="28" t="s">
        <v>384</v>
      </c>
      <c r="I778" s="28">
        <v>2</v>
      </c>
      <c r="J778" s="30">
        <v>8.5000000000000006E-2</v>
      </c>
      <c r="K778" s="28" t="s">
        <v>232</v>
      </c>
      <c r="L778" s="31">
        <v>42522</v>
      </c>
      <c r="M778" s="28">
        <v>6</v>
      </c>
      <c r="N778" s="32" t="s">
        <v>184</v>
      </c>
      <c r="O778" s="28" t="s">
        <v>204</v>
      </c>
      <c r="P778" s="28" t="s">
        <v>2268</v>
      </c>
      <c r="Q778" s="28" t="s">
        <v>2263</v>
      </c>
      <c r="R778" s="28" t="s">
        <v>2264</v>
      </c>
    </row>
    <row r="779" spans="1:18">
      <c r="A779" s="28">
        <v>3</v>
      </c>
      <c r="B779" s="29" t="s">
        <v>286</v>
      </c>
      <c r="C779" s="29" t="s">
        <v>287</v>
      </c>
      <c r="D779" s="29" t="s">
        <v>288</v>
      </c>
      <c r="E779" s="29" t="s">
        <v>172</v>
      </c>
      <c r="F779" s="28" t="s">
        <v>2009</v>
      </c>
      <c r="G779" s="28" t="s">
        <v>2046</v>
      </c>
      <c r="H779" s="28" t="s">
        <v>384</v>
      </c>
      <c r="I779" s="28">
        <v>2</v>
      </c>
      <c r="J779" s="30">
        <v>8.5000000000000006E-2</v>
      </c>
      <c r="K779" s="28" t="s">
        <v>257</v>
      </c>
      <c r="L779" s="31">
        <v>42552</v>
      </c>
      <c r="M779" s="28">
        <v>7</v>
      </c>
      <c r="N779" s="32" t="s">
        <v>184</v>
      </c>
      <c r="O779" s="28" t="s">
        <v>794</v>
      </c>
      <c r="P779" s="28" t="s">
        <v>2269</v>
      </c>
      <c r="Q779" s="28" t="s">
        <v>2270</v>
      </c>
      <c r="R779" s="28" t="s">
        <v>2271</v>
      </c>
    </row>
    <row r="780" spans="1:18">
      <c r="A780" s="28">
        <v>3</v>
      </c>
      <c r="B780" s="29" t="s">
        <v>286</v>
      </c>
      <c r="C780" s="29" t="s">
        <v>287</v>
      </c>
      <c r="D780" s="29" t="s">
        <v>288</v>
      </c>
      <c r="E780" s="29" t="s">
        <v>172</v>
      </c>
      <c r="F780" s="28" t="s">
        <v>2009</v>
      </c>
      <c r="G780" s="28" t="s">
        <v>2046</v>
      </c>
      <c r="H780" s="28" t="s">
        <v>384</v>
      </c>
      <c r="I780" s="28">
        <v>2</v>
      </c>
      <c r="J780" s="30">
        <v>8.5000000000000006E-2</v>
      </c>
      <c r="K780" s="28" t="s">
        <v>257</v>
      </c>
      <c r="L780" s="31">
        <v>42552</v>
      </c>
      <c r="M780" s="28">
        <v>7</v>
      </c>
      <c r="N780" s="32" t="s">
        <v>184</v>
      </c>
      <c r="O780" s="28" t="s">
        <v>204</v>
      </c>
      <c r="P780" s="28" t="s">
        <v>2272</v>
      </c>
      <c r="Q780" s="28" t="s">
        <v>2263</v>
      </c>
      <c r="R780" s="28" t="s">
        <v>2264</v>
      </c>
    </row>
    <row r="781" spans="1:18">
      <c r="A781" s="28">
        <v>3</v>
      </c>
      <c r="B781" s="29" t="s">
        <v>286</v>
      </c>
      <c r="C781" s="29" t="s">
        <v>287</v>
      </c>
      <c r="D781" s="29" t="s">
        <v>288</v>
      </c>
      <c r="E781" s="29" t="s">
        <v>172</v>
      </c>
      <c r="F781" s="28" t="s">
        <v>2009</v>
      </c>
      <c r="G781" s="28" t="s">
        <v>2046</v>
      </c>
      <c r="H781" s="28" t="s">
        <v>384</v>
      </c>
      <c r="I781" s="28">
        <v>2</v>
      </c>
      <c r="J781" s="30">
        <v>8.5000000000000006E-2</v>
      </c>
      <c r="K781" s="28" t="s">
        <v>267</v>
      </c>
      <c r="L781" s="31">
        <v>42583</v>
      </c>
      <c r="M781" s="28">
        <v>8</v>
      </c>
      <c r="N781" s="32" t="s">
        <v>184</v>
      </c>
      <c r="O781" s="28" t="s">
        <v>204</v>
      </c>
      <c r="P781" s="28" t="s">
        <v>2273</v>
      </c>
      <c r="Q781" s="28" t="s">
        <v>2249</v>
      </c>
      <c r="R781" s="28" t="s">
        <v>2250</v>
      </c>
    </row>
    <row r="782" spans="1:18">
      <c r="A782" s="28">
        <v>3</v>
      </c>
      <c r="B782" s="29" t="s">
        <v>286</v>
      </c>
      <c r="C782" s="29" t="s">
        <v>287</v>
      </c>
      <c r="D782" s="29" t="s">
        <v>288</v>
      </c>
      <c r="E782" s="29" t="s">
        <v>172</v>
      </c>
      <c r="F782" s="28" t="s">
        <v>2009</v>
      </c>
      <c r="G782" s="28" t="s">
        <v>2046</v>
      </c>
      <c r="H782" s="28" t="s">
        <v>384</v>
      </c>
      <c r="I782" s="28">
        <v>2</v>
      </c>
      <c r="J782" s="30">
        <v>8.5000000000000006E-2</v>
      </c>
      <c r="K782" s="28" t="s">
        <v>335</v>
      </c>
      <c r="L782" s="31">
        <v>42614</v>
      </c>
      <c r="M782" s="28">
        <v>9</v>
      </c>
      <c r="N782" s="32" t="s">
        <v>191</v>
      </c>
      <c r="O782" s="28" t="s">
        <v>204</v>
      </c>
      <c r="P782" s="28" t="s">
        <v>2274</v>
      </c>
      <c r="Q782" s="28" t="s">
        <v>2263</v>
      </c>
      <c r="R782" s="28" t="s">
        <v>2264</v>
      </c>
    </row>
    <row r="783" spans="1:18">
      <c r="A783" s="28">
        <v>3</v>
      </c>
      <c r="B783" s="29" t="s">
        <v>286</v>
      </c>
      <c r="C783" s="29" t="s">
        <v>287</v>
      </c>
      <c r="D783" s="29" t="s">
        <v>288</v>
      </c>
      <c r="E783" s="29" t="s">
        <v>172</v>
      </c>
      <c r="F783" s="28" t="s">
        <v>2009</v>
      </c>
      <c r="G783" s="28" t="s">
        <v>2046</v>
      </c>
      <c r="H783" s="28" t="s">
        <v>384</v>
      </c>
      <c r="I783" s="28">
        <v>2</v>
      </c>
      <c r="J783" s="30">
        <v>8.5000000000000006E-2</v>
      </c>
      <c r="K783" s="28" t="s">
        <v>460</v>
      </c>
      <c r="L783" s="31">
        <v>42675</v>
      </c>
      <c r="M783" s="28">
        <v>11</v>
      </c>
      <c r="N783" s="32" t="s">
        <v>191</v>
      </c>
      <c r="O783" s="28" t="s">
        <v>204</v>
      </c>
      <c r="P783" s="28" t="s">
        <v>2275</v>
      </c>
      <c r="Q783" s="28" t="s">
        <v>2276</v>
      </c>
      <c r="R783" s="28" t="s">
        <v>2277</v>
      </c>
    </row>
    <row r="784" spans="1:18">
      <c r="A784" s="28">
        <v>3</v>
      </c>
      <c r="B784" s="29" t="s">
        <v>286</v>
      </c>
      <c r="C784" s="29" t="s">
        <v>287</v>
      </c>
      <c r="D784" s="29" t="s">
        <v>288</v>
      </c>
      <c r="E784" s="29" t="s">
        <v>172</v>
      </c>
      <c r="F784" s="28" t="s">
        <v>2009</v>
      </c>
      <c r="G784" s="28" t="s">
        <v>2046</v>
      </c>
      <c r="H784" s="28" t="s">
        <v>384</v>
      </c>
      <c r="I784" s="28">
        <v>2</v>
      </c>
      <c r="J784" s="30">
        <v>8.5000000000000006E-2</v>
      </c>
      <c r="K784" s="28" t="s">
        <v>460</v>
      </c>
      <c r="L784" s="31">
        <v>42675</v>
      </c>
      <c r="M784" s="28">
        <v>11</v>
      </c>
      <c r="N784" s="32" t="s">
        <v>191</v>
      </c>
      <c r="O784" s="28" t="s">
        <v>204</v>
      </c>
      <c r="P784" s="28" t="s">
        <v>2278</v>
      </c>
      <c r="Q784" s="28" t="s">
        <v>2263</v>
      </c>
      <c r="R784" s="28" t="s">
        <v>2264</v>
      </c>
    </row>
    <row r="785" spans="1:18">
      <c r="A785" s="28">
        <v>3</v>
      </c>
      <c r="B785" s="29" t="s">
        <v>286</v>
      </c>
      <c r="C785" s="29" t="s">
        <v>287</v>
      </c>
      <c r="D785" s="29" t="s">
        <v>288</v>
      </c>
      <c r="E785" s="29" t="s">
        <v>172</v>
      </c>
      <c r="F785" s="28" t="s">
        <v>2009</v>
      </c>
      <c r="G785" s="28" t="s">
        <v>2046</v>
      </c>
      <c r="H785" s="28" t="s">
        <v>384</v>
      </c>
      <c r="I785" s="28">
        <v>2</v>
      </c>
      <c r="J785" s="30">
        <v>8.5000000000000006E-2</v>
      </c>
      <c r="K785" s="28" t="s">
        <v>460</v>
      </c>
      <c r="L785" s="31">
        <v>42675</v>
      </c>
      <c r="M785" s="28">
        <v>11</v>
      </c>
      <c r="N785" s="32" t="s">
        <v>191</v>
      </c>
      <c r="O785" s="28" t="s">
        <v>204</v>
      </c>
      <c r="P785" s="28" t="s">
        <v>2279</v>
      </c>
      <c r="Q785" s="28" t="s">
        <v>2280</v>
      </c>
      <c r="R785" s="28" t="s">
        <v>2281</v>
      </c>
    </row>
    <row r="786" spans="1:18">
      <c r="A786" s="28">
        <v>3</v>
      </c>
      <c r="B786" s="29" t="s">
        <v>286</v>
      </c>
      <c r="C786" s="29" t="s">
        <v>287</v>
      </c>
      <c r="D786" s="29" t="s">
        <v>288</v>
      </c>
      <c r="E786" s="29" t="s">
        <v>172</v>
      </c>
      <c r="F786" s="28" t="s">
        <v>2009</v>
      </c>
      <c r="G786" s="28" t="s">
        <v>2046</v>
      </c>
      <c r="H786" s="28" t="s">
        <v>384</v>
      </c>
      <c r="I786" s="28">
        <v>2</v>
      </c>
      <c r="J786" s="30">
        <v>8.5000000000000006E-2</v>
      </c>
      <c r="K786" s="28" t="s">
        <v>401</v>
      </c>
      <c r="L786" s="31">
        <v>42705</v>
      </c>
      <c r="M786" s="28">
        <v>12</v>
      </c>
      <c r="N786" s="32" t="s">
        <v>176</v>
      </c>
      <c r="O786" s="28" t="s">
        <v>329</v>
      </c>
      <c r="P786" s="28" t="s">
        <v>2282</v>
      </c>
      <c r="Q786" s="28" t="s">
        <v>2283</v>
      </c>
      <c r="R786" s="28" t="s">
        <v>2284</v>
      </c>
    </row>
    <row r="787" spans="1:18">
      <c r="A787" s="28">
        <v>3</v>
      </c>
      <c r="B787" s="29" t="s">
        <v>286</v>
      </c>
      <c r="C787" s="29" t="s">
        <v>287</v>
      </c>
      <c r="D787" s="29" t="s">
        <v>288</v>
      </c>
      <c r="E787" s="29" t="s">
        <v>172</v>
      </c>
      <c r="F787" s="28" t="s">
        <v>2009</v>
      </c>
      <c r="G787" s="28" t="s">
        <v>2046</v>
      </c>
      <c r="H787" s="28" t="s">
        <v>384</v>
      </c>
      <c r="I787" s="28">
        <v>2</v>
      </c>
      <c r="J787" s="30">
        <v>8.5000000000000006E-2</v>
      </c>
      <c r="K787" s="28" t="s">
        <v>401</v>
      </c>
      <c r="L787" s="31">
        <v>42705</v>
      </c>
      <c r="M787" s="28">
        <v>12</v>
      </c>
      <c r="N787" s="32" t="s">
        <v>176</v>
      </c>
      <c r="O787" s="28" t="s">
        <v>204</v>
      </c>
      <c r="P787" s="28" t="s">
        <v>2285</v>
      </c>
      <c r="Q787" s="28" t="s">
        <v>2249</v>
      </c>
      <c r="R787" s="28" t="s">
        <v>2250</v>
      </c>
    </row>
    <row r="788" spans="1:18">
      <c r="A788" s="28">
        <v>3</v>
      </c>
      <c r="B788" s="29" t="s">
        <v>286</v>
      </c>
      <c r="C788" s="29" t="s">
        <v>287</v>
      </c>
      <c r="D788" s="29" t="s">
        <v>288</v>
      </c>
      <c r="E788" s="29" t="s">
        <v>172</v>
      </c>
      <c r="F788" s="28" t="s">
        <v>2009</v>
      </c>
      <c r="G788" s="28" t="s">
        <v>2046</v>
      </c>
      <c r="H788" s="28" t="s">
        <v>384</v>
      </c>
      <c r="I788" s="28">
        <v>2</v>
      </c>
      <c r="J788" s="30">
        <v>8.5000000000000006E-2</v>
      </c>
      <c r="K788" s="28" t="s">
        <v>401</v>
      </c>
      <c r="L788" s="31">
        <v>42705</v>
      </c>
      <c r="M788" s="28">
        <v>12</v>
      </c>
      <c r="N788" s="32" t="s">
        <v>176</v>
      </c>
      <c r="O788" s="28" t="s">
        <v>204</v>
      </c>
      <c r="P788" s="28" t="s">
        <v>2286</v>
      </c>
      <c r="Q788" s="28" t="s">
        <v>2263</v>
      </c>
      <c r="R788" s="28" t="s">
        <v>2264</v>
      </c>
    </row>
    <row r="789" spans="1:18">
      <c r="A789" s="28">
        <v>3</v>
      </c>
      <c r="B789" s="29" t="s">
        <v>286</v>
      </c>
      <c r="C789" s="29" t="s">
        <v>287</v>
      </c>
      <c r="D789" s="29" t="s">
        <v>288</v>
      </c>
      <c r="E789" s="29" t="s">
        <v>172</v>
      </c>
      <c r="F789" s="28" t="s">
        <v>2009</v>
      </c>
      <c r="G789" s="28" t="s">
        <v>2046</v>
      </c>
      <c r="H789" s="28" t="s">
        <v>384</v>
      </c>
      <c r="I789" s="28">
        <v>2</v>
      </c>
      <c r="J789" s="30">
        <v>8.5000000000000006E-2</v>
      </c>
      <c r="K789" s="28" t="s">
        <v>401</v>
      </c>
      <c r="L789" s="31">
        <v>42705</v>
      </c>
      <c r="M789" s="28">
        <v>12</v>
      </c>
      <c r="N789" s="32" t="s">
        <v>176</v>
      </c>
      <c r="O789" s="28" t="s">
        <v>204</v>
      </c>
      <c r="P789" s="28" t="s">
        <v>2287</v>
      </c>
      <c r="Q789" s="28" t="s">
        <v>2263</v>
      </c>
      <c r="R789" s="28" t="s">
        <v>2264</v>
      </c>
    </row>
    <row r="790" spans="1:18">
      <c r="A790" s="28">
        <v>3</v>
      </c>
      <c r="B790" s="29" t="s">
        <v>286</v>
      </c>
      <c r="C790" s="29" t="s">
        <v>287</v>
      </c>
      <c r="D790" s="29" t="s">
        <v>288</v>
      </c>
      <c r="E790" s="29" t="s">
        <v>172</v>
      </c>
      <c r="F790" s="28" t="s">
        <v>2009</v>
      </c>
      <c r="G790" s="28" t="s">
        <v>2046</v>
      </c>
      <c r="H790" s="28" t="s">
        <v>384</v>
      </c>
      <c r="I790" s="28">
        <v>2</v>
      </c>
      <c r="J790" s="30">
        <v>8.5000000000000006E-2</v>
      </c>
      <c r="K790" s="28" t="s">
        <v>401</v>
      </c>
      <c r="L790" s="31">
        <v>42705</v>
      </c>
      <c r="M790" s="28">
        <v>12</v>
      </c>
      <c r="N790" s="32" t="s">
        <v>176</v>
      </c>
      <c r="O790" s="28" t="s">
        <v>204</v>
      </c>
      <c r="P790" s="28" t="s">
        <v>2288</v>
      </c>
      <c r="Q790" s="28" t="s">
        <v>2263</v>
      </c>
      <c r="R790" s="28" t="s">
        <v>2264</v>
      </c>
    </row>
    <row r="791" spans="1:18">
      <c r="A791" s="28">
        <v>3</v>
      </c>
      <c r="B791" s="29" t="s">
        <v>286</v>
      </c>
      <c r="C791" s="29" t="s">
        <v>287</v>
      </c>
      <c r="D791" s="29" t="s">
        <v>288</v>
      </c>
      <c r="E791" s="29" t="s">
        <v>172</v>
      </c>
      <c r="F791" s="28" t="s">
        <v>2009</v>
      </c>
      <c r="G791" s="28" t="s">
        <v>2046</v>
      </c>
      <c r="H791" s="28" t="s">
        <v>384</v>
      </c>
      <c r="I791" s="28">
        <v>2</v>
      </c>
      <c r="J791" s="30">
        <v>8.5000000000000006E-2</v>
      </c>
      <c r="K791" s="28" t="s">
        <v>587</v>
      </c>
      <c r="L791" s="31">
        <v>42736</v>
      </c>
      <c r="M791" s="28">
        <v>1</v>
      </c>
      <c r="N791" s="32" t="s">
        <v>176</v>
      </c>
      <c r="O791" s="28" t="s">
        <v>204</v>
      </c>
      <c r="P791" s="28" t="s">
        <v>2289</v>
      </c>
      <c r="Q791" s="28" t="s">
        <v>2249</v>
      </c>
      <c r="R791" s="28" t="s">
        <v>2250</v>
      </c>
    </row>
    <row r="792" spans="1:18">
      <c r="A792" s="28">
        <v>3</v>
      </c>
      <c r="B792" s="29" t="s">
        <v>286</v>
      </c>
      <c r="C792" s="29" t="s">
        <v>287</v>
      </c>
      <c r="D792" s="29" t="s">
        <v>288</v>
      </c>
      <c r="E792" s="29" t="s">
        <v>172</v>
      </c>
      <c r="F792" s="28" t="s">
        <v>2009</v>
      </c>
      <c r="G792" s="28" t="s">
        <v>2046</v>
      </c>
      <c r="H792" s="28" t="s">
        <v>384</v>
      </c>
      <c r="I792" s="28">
        <v>2</v>
      </c>
      <c r="J792" s="30">
        <v>8.5000000000000006E-2</v>
      </c>
      <c r="K792" s="28" t="s">
        <v>289</v>
      </c>
      <c r="L792" s="31">
        <v>42795</v>
      </c>
      <c r="M792" s="28">
        <v>3</v>
      </c>
      <c r="N792" s="32" t="s">
        <v>191</v>
      </c>
      <c r="O792" s="28" t="s">
        <v>204</v>
      </c>
      <c r="P792" s="28" t="s">
        <v>2290</v>
      </c>
      <c r="Q792" s="28" t="s">
        <v>2291</v>
      </c>
      <c r="R792" s="28" t="s">
        <v>2292</v>
      </c>
    </row>
    <row r="793" spans="1:18">
      <c r="A793" s="28">
        <v>3</v>
      </c>
      <c r="B793" s="29" t="s">
        <v>286</v>
      </c>
      <c r="C793" s="29" t="s">
        <v>287</v>
      </c>
      <c r="D793" s="29" t="s">
        <v>288</v>
      </c>
      <c r="E793" s="29" t="s">
        <v>172</v>
      </c>
      <c r="F793" s="28" t="s">
        <v>2009</v>
      </c>
      <c r="G793" s="28" t="s">
        <v>2046</v>
      </c>
      <c r="H793" s="28" t="s">
        <v>384</v>
      </c>
      <c r="I793" s="28">
        <v>2</v>
      </c>
      <c r="J793" s="30">
        <v>8.5000000000000006E-2</v>
      </c>
      <c r="K793" s="28" t="s">
        <v>289</v>
      </c>
      <c r="L793" s="31">
        <v>42795</v>
      </c>
      <c r="M793" s="28">
        <v>3</v>
      </c>
      <c r="N793" s="32" t="s">
        <v>191</v>
      </c>
      <c r="O793" s="28" t="s">
        <v>204</v>
      </c>
      <c r="P793" s="28" t="s">
        <v>2293</v>
      </c>
      <c r="Q793" s="28" t="s">
        <v>2263</v>
      </c>
      <c r="R793" s="28" t="s">
        <v>2264</v>
      </c>
    </row>
    <row r="794" spans="1:18">
      <c r="A794" s="28">
        <v>3</v>
      </c>
      <c r="B794" s="29" t="s">
        <v>286</v>
      </c>
      <c r="C794" s="29" t="s">
        <v>287</v>
      </c>
      <c r="D794" s="29" t="s">
        <v>288</v>
      </c>
      <c r="E794" s="29" t="s">
        <v>172</v>
      </c>
      <c r="F794" s="28" t="s">
        <v>2009</v>
      </c>
      <c r="G794" s="28" t="s">
        <v>2013</v>
      </c>
      <c r="H794" s="28" t="s">
        <v>384</v>
      </c>
      <c r="I794" s="28">
        <v>2</v>
      </c>
      <c r="J794" s="30">
        <v>8.5000000000000006E-2</v>
      </c>
      <c r="K794" s="28" t="s">
        <v>464</v>
      </c>
      <c r="L794" s="31">
        <v>42887</v>
      </c>
      <c r="M794" s="28">
        <v>6</v>
      </c>
      <c r="N794" s="32" t="s">
        <v>184</v>
      </c>
      <c r="O794" s="28" t="s">
        <v>204</v>
      </c>
      <c r="P794" s="28" t="s">
        <v>2294</v>
      </c>
      <c r="Q794" s="28" t="s">
        <v>2295</v>
      </c>
      <c r="R794" s="28" t="s">
        <v>2296</v>
      </c>
    </row>
    <row r="795" spans="1:18">
      <c r="A795" s="28">
        <v>3</v>
      </c>
      <c r="B795" s="29" t="s">
        <v>286</v>
      </c>
      <c r="C795" s="29" t="s">
        <v>287</v>
      </c>
      <c r="D795" s="29" t="s">
        <v>288</v>
      </c>
      <c r="E795" s="29" t="s">
        <v>172</v>
      </c>
      <c r="F795" s="28" t="s">
        <v>2009</v>
      </c>
      <c r="G795" s="28" t="s">
        <v>2046</v>
      </c>
      <c r="H795" s="28" t="s">
        <v>384</v>
      </c>
      <c r="I795" s="28">
        <v>2</v>
      </c>
      <c r="J795" s="30">
        <v>8.5000000000000006E-2</v>
      </c>
      <c r="K795" s="28" t="s">
        <v>2297</v>
      </c>
      <c r="L795" s="31">
        <v>42887</v>
      </c>
      <c r="M795" s="28">
        <v>6</v>
      </c>
      <c r="N795" s="32" t="s">
        <v>184</v>
      </c>
      <c r="O795" s="28" t="s">
        <v>204</v>
      </c>
      <c r="P795" s="28" t="s">
        <v>2298</v>
      </c>
      <c r="Q795" s="28" t="s">
        <v>2263</v>
      </c>
      <c r="R795" s="28" t="s">
        <v>2264</v>
      </c>
    </row>
    <row r="796" spans="1:18">
      <c r="A796" s="28">
        <v>3</v>
      </c>
      <c r="B796" s="29" t="s">
        <v>286</v>
      </c>
      <c r="C796" s="29" t="s">
        <v>287</v>
      </c>
      <c r="D796" s="29" t="s">
        <v>288</v>
      </c>
      <c r="E796" s="29" t="s">
        <v>172</v>
      </c>
      <c r="F796" s="28" t="s">
        <v>2009</v>
      </c>
      <c r="G796" s="28" t="s">
        <v>2046</v>
      </c>
      <c r="H796" s="28" t="s">
        <v>384</v>
      </c>
      <c r="I796" s="28">
        <v>2</v>
      </c>
      <c r="J796" s="30">
        <v>8.5000000000000006E-2</v>
      </c>
      <c r="K796" s="28" t="s">
        <v>742</v>
      </c>
      <c r="L796" s="31">
        <v>42948</v>
      </c>
      <c r="M796" s="28">
        <v>8</v>
      </c>
      <c r="N796" s="32" t="s">
        <v>184</v>
      </c>
      <c r="O796" s="28" t="s">
        <v>204</v>
      </c>
      <c r="P796" s="28" t="s">
        <v>2299</v>
      </c>
      <c r="Q796" s="28" t="s">
        <v>2249</v>
      </c>
      <c r="R796" s="28" t="s">
        <v>2250</v>
      </c>
    </row>
    <row r="797" spans="1:18">
      <c r="A797" s="28">
        <v>3</v>
      </c>
      <c r="B797" s="29" t="s">
        <v>286</v>
      </c>
      <c r="C797" s="29" t="s">
        <v>287</v>
      </c>
      <c r="D797" s="29" t="s">
        <v>288</v>
      </c>
      <c r="E797" s="29" t="s">
        <v>172</v>
      </c>
      <c r="F797" s="28" t="s">
        <v>2009</v>
      </c>
      <c r="G797" s="28" t="s">
        <v>2013</v>
      </c>
      <c r="H797" s="28" t="s">
        <v>384</v>
      </c>
      <c r="I797" s="28">
        <v>2</v>
      </c>
      <c r="J797" s="30">
        <v>8.5000000000000006E-2</v>
      </c>
      <c r="K797" s="28" t="s">
        <v>742</v>
      </c>
      <c r="L797" s="31">
        <v>42948</v>
      </c>
      <c r="M797" s="28">
        <v>8</v>
      </c>
      <c r="N797" s="32" t="s">
        <v>184</v>
      </c>
      <c r="O797" s="28" t="s">
        <v>204</v>
      </c>
      <c r="P797" s="28" t="s">
        <v>2300</v>
      </c>
      <c r="Q797" s="28" t="s">
        <v>2249</v>
      </c>
      <c r="R797" s="28" t="s">
        <v>2250</v>
      </c>
    </row>
    <row r="798" spans="1:18">
      <c r="A798" s="28">
        <v>3</v>
      </c>
      <c r="B798" s="29" t="s">
        <v>286</v>
      </c>
      <c r="C798" s="29" t="s">
        <v>287</v>
      </c>
      <c r="D798" s="29" t="s">
        <v>288</v>
      </c>
      <c r="E798" s="29" t="s">
        <v>172</v>
      </c>
      <c r="F798" s="28" t="s">
        <v>2009</v>
      </c>
      <c r="G798" s="28" t="s">
        <v>2013</v>
      </c>
      <c r="H798" s="28" t="s">
        <v>384</v>
      </c>
      <c r="I798" s="28">
        <v>2</v>
      </c>
      <c r="J798" s="30">
        <v>8.5000000000000006E-2</v>
      </c>
      <c r="K798" s="28" t="s">
        <v>971</v>
      </c>
      <c r="L798" s="31">
        <v>42979</v>
      </c>
      <c r="M798" s="28">
        <v>9</v>
      </c>
      <c r="N798" s="32" t="s">
        <v>191</v>
      </c>
      <c r="O798" s="28" t="s">
        <v>177</v>
      </c>
      <c r="P798" s="28" t="s">
        <v>2301</v>
      </c>
      <c r="Q798" s="28" t="s">
        <v>2302</v>
      </c>
      <c r="R798" s="28" t="s">
        <v>2303</v>
      </c>
    </row>
    <row r="799" spans="1:18">
      <c r="A799" s="28">
        <v>3</v>
      </c>
      <c r="B799" s="29" t="s">
        <v>286</v>
      </c>
      <c r="C799" s="29" t="s">
        <v>287</v>
      </c>
      <c r="D799" s="29" t="s">
        <v>288</v>
      </c>
      <c r="E799" s="29" t="s">
        <v>172</v>
      </c>
      <c r="F799" s="28" t="s">
        <v>2009</v>
      </c>
      <c r="G799" s="28" t="s">
        <v>2046</v>
      </c>
      <c r="H799" s="28" t="s">
        <v>384</v>
      </c>
      <c r="I799" s="28">
        <v>2</v>
      </c>
      <c r="J799" s="30">
        <v>8.5000000000000006E-2</v>
      </c>
      <c r="K799" s="28" t="s">
        <v>971</v>
      </c>
      <c r="L799" s="31">
        <v>42979</v>
      </c>
      <c r="M799" s="28">
        <v>9</v>
      </c>
      <c r="N799" s="32" t="s">
        <v>191</v>
      </c>
      <c r="O799" s="28" t="s">
        <v>204</v>
      </c>
      <c r="P799" s="28" t="s">
        <v>2304</v>
      </c>
      <c r="Q799" s="28" t="s">
        <v>2263</v>
      </c>
      <c r="R799" s="28" t="s">
        <v>2264</v>
      </c>
    </row>
    <row r="800" spans="1:18">
      <c r="A800" s="28">
        <v>3</v>
      </c>
      <c r="B800" s="29" t="s">
        <v>286</v>
      </c>
      <c r="C800" s="29" t="s">
        <v>287</v>
      </c>
      <c r="D800" s="29" t="s">
        <v>288</v>
      </c>
      <c r="E800" s="29" t="s">
        <v>172</v>
      </c>
      <c r="F800" s="28" t="s">
        <v>2009</v>
      </c>
      <c r="G800" s="28" t="s">
        <v>2013</v>
      </c>
      <c r="H800" s="28" t="s">
        <v>384</v>
      </c>
      <c r="I800" s="28">
        <v>2</v>
      </c>
      <c r="J800" s="30">
        <v>8.5000000000000006E-2</v>
      </c>
      <c r="K800" s="28" t="s">
        <v>813</v>
      </c>
      <c r="L800" s="31">
        <v>43009</v>
      </c>
      <c r="M800" s="28">
        <v>10</v>
      </c>
      <c r="N800" s="32" t="s">
        <v>191</v>
      </c>
      <c r="O800" s="28" t="s">
        <v>204</v>
      </c>
      <c r="P800" s="28" t="s">
        <v>2305</v>
      </c>
      <c r="Q800" s="28" t="s">
        <v>2249</v>
      </c>
      <c r="R800" s="28" t="s">
        <v>2250</v>
      </c>
    </row>
    <row r="801" spans="1:18">
      <c r="A801" s="28">
        <v>3</v>
      </c>
      <c r="B801" s="29" t="s">
        <v>286</v>
      </c>
      <c r="C801" s="29" t="s">
        <v>287</v>
      </c>
      <c r="D801" s="29" t="s">
        <v>288</v>
      </c>
      <c r="E801" s="29" t="s">
        <v>172</v>
      </c>
      <c r="F801" s="28" t="s">
        <v>2009</v>
      </c>
      <c r="G801" s="28" t="s">
        <v>2013</v>
      </c>
      <c r="H801" s="28" t="s">
        <v>384</v>
      </c>
      <c r="I801" s="28">
        <v>2</v>
      </c>
      <c r="J801" s="30">
        <v>8.5000000000000006E-2</v>
      </c>
      <c r="K801" s="28" t="s">
        <v>435</v>
      </c>
      <c r="L801" s="31">
        <v>43040</v>
      </c>
      <c r="M801" s="28">
        <v>11</v>
      </c>
      <c r="N801" s="32" t="s">
        <v>191</v>
      </c>
      <c r="O801" s="28" t="s">
        <v>244</v>
      </c>
      <c r="P801" s="28" t="s">
        <v>2306</v>
      </c>
      <c r="Q801" s="28" t="s">
        <v>2307</v>
      </c>
      <c r="R801" s="28" t="s">
        <v>2308</v>
      </c>
    </row>
    <row r="802" spans="1:18">
      <c r="A802" s="28">
        <v>3</v>
      </c>
      <c r="B802" s="29" t="s">
        <v>286</v>
      </c>
      <c r="C802" s="29" t="s">
        <v>287</v>
      </c>
      <c r="D802" s="29" t="s">
        <v>288</v>
      </c>
      <c r="E802" s="29" t="s">
        <v>172</v>
      </c>
      <c r="F802" s="28" t="s">
        <v>2009</v>
      </c>
      <c r="G802" s="28" t="s">
        <v>2046</v>
      </c>
      <c r="H802" s="28" t="s">
        <v>384</v>
      </c>
      <c r="I802" s="28">
        <v>2</v>
      </c>
      <c r="J802" s="30">
        <v>8.5000000000000006E-2</v>
      </c>
      <c r="K802" s="28" t="s">
        <v>248</v>
      </c>
      <c r="L802" s="31">
        <v>43070</v>
      </c>
      <c r="M802" s="28">
        <v>12</v>
      </c>
      <c r="N802" s="32" t="s">
        <v>176</v>
      </c>
      <c r="O802" s="28" t="s">
        <v>204</v>
      </c>
      <c r="P802" s="28" t="s">
        <v>2309</v>
      </c>
      <c r="Q802" s="28" t="s">
        <v>2263</v>
      </c>
      <c r="R802" s="28" t="s">
        <v>2264</v>
      </c>
    </row>
    <row r="803" spans="1:18">
      <c r="A803" s="28">
        <v>3</v>
      </c>
      <c r="B803" s="29" t="s">
        <v>286</v>
      </c>
      <c r="C803" s="29" t="s">
        <v>287</v>
      </c>
      <c r="D803" s="29" t="s">
        <v>288</v>
      </c>
      <c r="E803" s="29" t="s">
        <v>172</v>
      </c>
      <c r="F803" s="28" t="s">
        <v>2009</v>
      </c>
      <c r="G803" s="28" t="s">
        <v>2046</v>
      </c>
      <c r="H803" s="28" t="s">
        <v>384</v>
      </c>
      <c r="I803" s="28">
        <v>2</v>
      </c>
      <c r="J803" s="30">
        <v>8.5000000000000006E-2</v>
      </c>
      <c r="K803" s="28" t="s">
        <v>208</v>
      </c>
      <c r="L803" s="31">
        <v>43101</v>
      </c>
      <c r="M803" s="28">
        <v>1</v>
      </c>
      <c r="N803" s="32" t="s">
        <v>176</v>
      </c>
      <c r="O803" s="28" t="s">
        <v>204</v>
      </c>
      <c r="P803" s="28" t="s">
        <v>2310</v>
      </c>
      <c r="Q803" s="28" t="s">
        <v>2311</v>
      </c>
      <c r="R803" s="28" t="s">
        <v>2312</v>
      </c>
    </row>
    <row r="804" spans="1:18">
      <c r="A804" s="28">
        <v>3</v>
      </c>
      <c r="B804" s="29" t="s">
        <v>286</v>
      </c>
      <c r="C804" s="29" t="s">
        <v>287</v>
      </c>
      <c r="D804" s="29" t="s">
        <v>288</v>
      </c>
      <c r="E804" s="29" t="s">
        <v>172</v>
      </c>
      <c r="F804" s="28" t="s">
        <v>2009</v>
      </c>
      <c r="G804" s="28" t="s">
        <v>2046</v>
      </c>
      <c r="H804" s="28" t="s">
        <v>384</v>
      </c>
      <c r="I804" s="28">
        <v>2</v>
      </c>
      <c r="J804" s="30">
        <v>8.5000000000000006E-2</v>
      </c>
      <c r="K804" s="28" t="s">
        <v>473</v>
      </c>
      <c r="L804" s="31">
        <v>43160</v>
      </c>
      <c r="M804" s="28">
        <v>3</v>
      </c>
      <c r="N804" s="32" t="s">
        <v>191</v>
      </c>
      <c r="O804" s="28" t="s">
        <v>204</v>
      </c>
      <c r="P804" s="28" t="s">
        <v>2313</v>
      </c>
      <c r="Q804" s="28" t="s">
        <v>2249</v>
      </c>
      <c r="R804" s="28" t="s">
        <v>2250</v>
      </c>
    </row>
    <row r="805" spans="1:18">
      <c r="A805" s="28">
        <v>3</v>
      </c>
      <c r="B805" s="29" t="s">
        <v>286</v>
      </c>
      <c r="C805" s="29" t="s">
        <v>287</v>
      </c>
      <c r="D805" s="29" t="s">
        <v>288</v>
      </c>
      <c r="E805" s="29" t="s">
        <v>172</v>
      </c>
      <c r="F805" s="28" t="s">
        <v>2009</v>
      </c>
      <c r="G805" s="28" t="s">
        <v>2046</v>
      </c>
      <c r="H805" s="28" t="s">
        <v>384</v>
      </c>
      <c r="I805" s="28">
        <v>2</v>
      </c>
      <c r="J805" s="30">
        <v>8.5000000000000006E-2</v>
      </c>
      <c r="K805" s="28" t="s">
        <v>475</v>
      </c>
      <c r="L805" s="31">
        <v>43191</v>
      </c>
      <c r="M805" s="28">
        <v>4</v>
      </c>
      <c r="N805" s="32" t="s">
        <v>191</v>
      </c>
      <c r="O805" s="28" t="s">
        <v>204</v>
      </c>
      <c r="P805" s="28" t="s">
        <v>2314</v>
      </c>
      <c r="Q805" s="28" t="s">
        <v>2315</v>
      </c>
      <c r="R805" s="28" t="s">
        <v>2316</v>
      </c>
    </row>
    <row r="806" spans="1:18">
      <c r="A806" s="28">
        <v>3</v>
      </c>
      <c r="B806" s="29" t="s">
        <v>286</v>
      </c>
      <c r="C806" s="29" t="s">
        <v>287</v>
      </c>
      <c r="D806" s="29" t="s">
        <v>288</v>
      </c>
      <c r="E806" s="29" t="s">
        <v>172</v>
      </c>
      <c r="F806" s="28" t="s">
        <v>2009</v>
      </c>
      <c r="G806" s="28" t="s">
        <v>2013</v>
      </c>
      <c r="H806" s="28" t="s">
        <v>384</v>
      </c>
      <c r="I806" s="28">
        <v>2</v>
      </c>
      <c r="J806" s="30">
        <v>8.5000000000000006E-2</v>
      </c>
      <c r="K806" s="28" t="s">
        <v>405</v>
      </c>
      <c r="L806" s="31">
        <v>43221</v>
      </c>
      <c r="M806" s="28">
        <v>5</v>
      </c>
      <c r="N806" s="32" t="s">
        <v>191</v>
      </c>
      <c r="O806" s="28" t="s">
        <v>185</v>
      </c>
      <c r="P806" s="28" t="s">
        <v>2317</v>
      </c>
      <c r="Q806" s="28" t="s">
        <v>2318</v>
      </c>
      <c r="R806" s="28" t="s">
        <v>2319</v>
      </c>
    </row>
    <row r="807" spans="1:18">
      <c r="A807" s="28">
        <v>3</v>
      </c>
      <c r="B807" s="29" t="s">
        <v>286</v>
      </c>
      <c r="C807" s="29" t="s">
        <v>287</v>
      </c>
      <c r="D807" s="29" t="s">
        <v>288</v>
      </c>
      <c r="E807" s="29" t="s">
        <v>172</v>
      </c>
      <c r="F807" s="28" t="s">
        <v>2009</v>
      </c>
      <c r="G807" s="28" t="s">
        <v>2013</v>
      </c>
      <c r="H807" s="28" t="s">
        <v>384</v>
      </c>
      <c r="I807" s="28">
        <v>2</v>
      </c>
      <c r="J807" s="30">
        <v>8.5000000000000006E-2</v>
      </c>
      <c r="K807" s="28" t="s">
        <v>559</v>
      </c>
      <c r="L807" s="31">
        <v>43252</v>
      </c>
      <c r="M807" s="28">
        <v>6</v>
      </c>
      <c r="N807" s="32" t="s">
        <v>184</v>
      </c>
      <c r="O807" s="28" t="s">
        <v>204</v>
      </c>
      <c r="P807" s="28" t="s">
        <v>2320</v>
      </c>
      <c r="Q807" s="28" t="s">
        <v>2321</v>
      </c>
      <c r="R807" s="28" t="s">
        <v>2322</v>
      </c>
    </row>
    <row r="808" spans="1:18">
      <c r="A808" s="28">
        <v>3</v>
      </c>
      <c r="B808" s="29" t="s">
        <v>286</v>
      </c>
      <c r="C808" s="29" t="s">
        <v>287</v>
      </c>
      <c r="D808" s="29" t="s">
        <v>288</v>
      </c>
      <c r="E808" s="29" t="s">
        <v>172</v>
      </c>
      <c r="F808" s="28" t="s">
        <v>2009</v>
      </c>
      <c r="G808" s="28" t="s">
        <v>2046</v>
      </c>
      <c r="H808" s="28" t="s">
        <v>384</v>
      </c>
      <c r="I808" s="28">
        <v>2</v>
      </c>
      <c r="J808" s="30">
        <v>8.5000000000000006E-2</v>
      </c>
      <c r="K808" s="28" t="s">
        <v>302</v>
      </c>
      <c r="L808" s="31">
        <v>43282</v>
      </c>
      <c r="M808" s="28">
        <v>7</v>
      </c>
      <c r="N808" s="32" t="s">
        <v>184</v>
      </c>
      <c r="O808" s="28" t="s">
        <v>204</v>
      </c>
      <c r="P808" s="28" t="s">
        <v>2323</v>
      </c>
      <c r="Q808" s="28" t="s">
        <v>2249</v>
      </c>
      <c r="R808" s="28" t="s">
        <v>2250</v>
      </c>
    </row>
    <row r="809" spans="1:18">
      <c r="A809" s="28">
        <v>3</v>
      </c>
      <c r="B809" s="29" t="s">
        <v>286</v>
      </c>
      <c r="C809" s="29" t="s">
        <v>287</v>
      </c>
      <c r="D809" s="29" t="s">
        <v>288</v>
      </c>
      <c r="E809" s="29" t="s">
        <v>172</v>
      </c>
      <c r="F809" s="28" t="s">
        <v>2009</v>
      </c>
      <c r="G809" s="28" t="s">
        <v>2046</v>
      </c>
      <c r="H809" s="28" t="s">
        <v>384</v>
      </c>
      <c r="I809" s="28">
        <v>2</v>
      </c>
      <c r="J809" s="30">
        <v>8.5000000000000006E-2</v>
      </c>
      <c r="K809" s="28" t="s">
        <v>302</v>
      </c>
      <c r="L809" s="31">
        <v>43282</v>
      </c>
      <c r="M809" s="28">
        <v>7</v>
      </c>
      <c r="N809" s="32" t="s">
        <v>184</v>
      </c>
      <c r="O809" s="28" t="s">
        <v>204</v>
      </c>
      <c r="P809" s="28" t="s">
        <v>2324</v>
      </c>
      <c r="Q809" s="28" t="s">
        <v>2325</v>
      </c>
      <c r="R809" s="28" t="s">
        <v>2326</v>
      </c>
    </row>
    <row r="810" spans="1:18">
      <c r="A810" s="28">
        <v>3</v>
      </c>
      <c r="B810" s="29" t="s">
        <v>286</v>
      </c>
      <c r="C810" s="29" t="s">
        <v>287</v>
      </c>
      <c r="D810" s="29" t="s">
        <v>288</v>
      </c>
      <c r="E810" s="29" t="s">
        <v>172</v>
      </c>
      <c r="F810" s="28" t="s">
        <v>2009</v>
      </c>
      <c r="G810" s="28" t="s">
        <v>2013</v>
      </c>
      <c r="H810" s="28" t="s">
        <v>384</v>
      </c>
      <c r="I810" s="28">
        <v>2</v>
      </c>
      <c r="J810" s="30">
        <v>8.5000000000000006E-2</v>
      </c>
      <c r="K810" s="28" t="s">
        <v>212</v>
      </c>
      <c r="L810" s="31">
        <v>43313</v>
      </c>
      <c r="M810" s="28">
        <v>8</v>
      </c>
      <c r="N810" s="32" t="s">
        <v>184</v>
      </c>
      <c r="O810" s="28" t="s">
        <v>204</v>
      </c>
      <c r="P810" s="28" t="s">
        <v>2327</v>
      </c>
      <c r="Q810" s="28" t="s">
        <v>2249</v>
      </c>
      <c r="R810" s="28" t="s">
        <v>2250</v>
      </c>
    </row>
    <row r="811" spans="1:18">
      <c r="A811" s="28">
        <v>3</v>
      </c>
      <c r="B811" s="29" t="s">
        <v>286</v>
      </c>
      <c r="C811" s="29" t="s">
        <v>287</v>
      </c>
      <c r="D811" s="29" t="s">
        <v>288</v>
      </c>
      <c r="E811" s="29" t="s">
        <v>172</v>
      </c>
      <c r="F811" s="28" t="s">
        <v>2009</v>
      </c>
      <c r="G811" s="28" t="s">
        <v>2013</v>
      </c>
      <c r="H811" s="28" t="s">
        <v>384</v>
      </c>
      <c r="I811" s="28">
        <v>2</v>
      </c>
      <c r="J811" s="30">
        <v>8.5000000000000006E-2</v>
      </c>
      <c r="K811" s="28" t="s">
        <v>678</v>
      </c>
      <c r="L811" s="31">
        <v>43344</v>
      </c>
      <c r="M811" s="28">
        <v>9</v>
      </c>
      <c r="N811" s="32" t="s">
        <v>191</v>
      </c>
      <c r="O811" s="28" t="s">
        <v>185</v>
      </c>
      <c r="P811" s="28" t="s">
        <v>2328</v>
      </c>
      <c r="Q811" s="28" t="s">
        <v>2329</v>
      </c>
      <c r="R811" s="28" t="s">
        <v>2330</v>
      </c>
    </row>
    <row r="812" spans="1:18">
      <c r="A812" s="28">
        <v>3</v>
      </c>
      <c r="B812" s="29" t="s">
        <v>286</v>
      </c>
      <c r="C812" s="29" t="s">
        <v>287</v>
      </c>
      <c r="D812" s="29" t="s">
        <v>288</v>
      </c>
      <c r="E812" s="29" t="s">
        <v>172</v>
      </c>
      <c r="F812" s="28" t="s">
        <v>2009</v>
      </c>
      <c r="G812" s="28" t="s">
        <v>2013</v>
      </c>
      <c r="H812" s="28" t="s">
        <v>384</v>
      </c>
      <c r="I812" s="28">
        <v>2</v>
      </c>
      <c r="J812" s="30">
        <v>8.5000000000000006E-2</v>
      </c>
      <c r="K812" s="28" t="s">
        <v>2331</v>
      </c>
      <c r="L812" s="31">
        <v>43344</v>
      </c>
      <c r="M812" s="28">
        <v>9</v>
      </c>
      <c r="N812" s="32" t="s">
        <v>191</v>
      </c>
      <c r="O812" s="28" t="s">
        <v>204</v>
      </c>
      <c r="P812" s="28" t="s">
        <v>2332</v>
      </c>
      <c r="Q812" s="28" t="s">
        <v>2333</v>
      </c>
      <c r="R812" s="28" t="s">
        <v>2334</v>
      </c>
    </row>
    <row r="813" spans="1:18">
      <c r="A813" s="28">
        <v>3</v>
      </c>
      <c r="B813" s="29" t="s">
        <v>286</v>
      </c>
      <c r="C813" s="29" t="s">
        <v>287</v>
      </c>
      <c r="D813" s="29" t="s">
        <v>288</v>
      </c>
      <c r="E813" s="29" t="s">
        <v>172</v>
      </c>
      <c r="F813" s="28" t="s">
        <v>2009</v>
      </c>
      <c r="G813" s="28" t="s">
        <v>2013</v>
      </c>
      <c r="H813" s="28" t="s">
        <v>384</v>
      </c>
      <c r="I813" s="28">
        <v>2</v>
      </c>
      <c r="J813" s="30">
        <v>8.5000000000000006E-2</v>
      </c>
      <c r="K813" s="28" t="s">
        <v>293</v>
      </c>
      <c r="L813" s="31">
        <v>43374</v>
      </c>
      <c r="M813" s="28">
        <v>10</v>
      </c>
      <c r="N813" s="32" t="s">
        <v>191</v>
      </c>
      <c r="O813" s="28" t="s">
        <v>204</v>
      </c>
      <c r="P813" s="28" t="s">
        <v>2335</v>
      </c>
      <c r="Q813" s="28" t="s">
        <v>2249</v>
      </c>
      <c r="R813" s="28" t="s">
        <v>2250</v>
      </c>
    </row>
    <row r="814" spans="1:18">
      <c r="A814" s="28">
        <v>3</v>
      </c>
      <c r="B814" s="29" t="s">
        <v>286</v>
      </c>
      <c r="C814" s="29" t="s">
        <v>287</v>
      </c>
      <c r="D814" s="29" t="s">
        <v>288</v>
      </c>
      <c r="E814" s="29" t="s">
        <v>172</v>
      </c>
      <c r="F814" s="28" t="s">
        <v>2009</v>
      </c>
      <c r="G814" s="28" t="s">
        <v>2046</v>
      </c>
      <c r="H814" s="28" t="s">
        <v>384</v>
      </c>
      <c r="I814" s="28">
        <v>2</v>
      </c>
      <c r="J814" s="30">
        <v>8.5000000000000006E-2</v>
      </c>
      <c r="K814" s="28" t="s">
        <v>2336</v>
      </c>
      <c r="L814" s="31">
        <v>43405</v>
      </c>
      <c r="M814" s="28">
        <v>11</v>
      </c>
      <c r="N814" s="32" t="s">
        <v>191</v>
      </c>
      <c r="O814" s="28" t="s">
        <v>204</v>
      </c>
      <c r="P814" s="28" t="s">
        <v>2337</v>
      </c>
      <c r="Q814" s="28" t="s">
        <v>2338</v>
      </c>
      <c r="R814" s="28" t="s">
        <v>2339</v>
      </c>
    </row>
    <row r="815" spans="1:18">
      <c r="A815" s="28">
        <v>3</v>
      </c>
      <c r="B815" s="29" t="s">
        <v>286</v>
      </c>
      <c r="C815" s="29" t="s">
        <v>287</v>
      </c>
      <c r="D815" s="29" t="s">
        <v>288</v>
      </c>
      <c r="E815" s="29" t="s">
        <v>172</v>
      </c>
      <c r="F815" s="28" t="s">
        <v>2009</v>
      </c>
      <c r="G815" s="28" t="s">
        <v>2046</v>
      </c>
      <c r="H815" s="28" t="s">
        <v>384</v>
      </c>
      <c r="I815" s="28">
        <v>2</v>
      </c>
      <c r="J815" s="30">
        <v>8.5000000000000006E-2</v>
      </c>
      <c r="K815" s="28" t="s">
        <v>501</v>
      </c>
      <c r="L815" s="31">
        <v>43405</v>
      </c>
      <c r="M815" s="28">
        <v>11</v>
      </c>
      <c r="N815" s="32" t="s">
        <v>191</v>
      </c>
      <c r="O815" s="28" t="s">
        <v>204</v>
      </c>
      <c r="P815" s="28" t="s">
        <v>2340</v>
      </c>
      <c r="Q815" s="28" t="s">
        <v>2249</v>
      </c>
      <c r="R815" s="28" t="s">
        <v>2250</v>
      </c>
    </row>
    <row r="816" spans="1:18">
      <c r="A816" s="28">
        <v>3</v>
      </c>
      <c r="B816" s="29" t="s">
        <v>286</v>
      </c>
      <c r="C816" s="29" t="s">
        <v>287</v>
      </c>
      <c r="D816" s="29" t="s">
        <v>288</v>
      </c>
      <c r="E816" s="29" t="s">
        <v>172</v>
      </c>
      <c r="F816" s="28" t="s">
        <v>2009</v>
      </c>
      <c r="G816" s="28" t="s">
        <v>2046</v>
      </c>
      <c r="H816" s="28" t="s">
        <v>384</v>
      </c>
      <c r="I816" s="28">
        <v>2</v>
      </c>
      <c r="J816" s="30">
        <v>8.5000000000000006E-2</v>
      </c>
      <c r="K816" s="28" t="s">
        <v>501</v>
      </c>
      <c r="L816" s="31">
        <v>43405</v>
      </c>
      <c r="M816" s="28">
        <v>11</v>
      </c>
      <c r="N816" s="32" t="s">
        <v>191</v>
      </c>
      <c r="O816" s="28" t="s">
        <v>204</v>
      </c>
      <c r="P816" s="28" t="s">
        <v>2341</v>
      </c>
      <c r="Q816" s="28" t="s">
        <v>2263</v>
      </c>
      <c r="R816" s="28" t="s">
        <v>2264</v>
      </c>
    </row>
    <row r="817" spans="1:18">
      <c r="A817" s="28">
        <v>3</v>
      </c>
      <c r="B817" s="29" t="s">
        <v>286</v>
      </c>
      <c r="C817" s="29" t="s">
        <v>287</v>
      </c>
      <c r="D817" s="29" t="s">
        <v>288</v>
      </c>
      <c r="E817" s="29" t="s">
        <v>172</v>
      </c>
      <c r="F817" s="28" t="s">
        <v>2009</v>
      </c>
      <c r="G817" s="28" t="s">
        <v>2046</v>
      </c>
      <c r="H817" s="28" t="s">
        <v>384</v>
      </c>
      <c r="I817" s="28">
        <v>2</v>
      </c>
      <c r="J817" s="30">
        <v>8.5000000000000006E-2</v>
      </c>
      <c r="K817" s="28" t="s">
        <v>361</v>
      </c>
      <c r="L817" s="31">
        <v>43435</v>
      </c>
      <c r="M817" s="28">
        <v>12</v>
      </c>
      <c r="N817" s="32" t="s">
        <v>176</v>
      </c>
      <c r="O817" s="28" t="s">
        <v>204</v>
      </c>
      <c r="P817" s="28" t="s">
        <v>2342</v>
      </c>
      <c r="Q817" s="28" t="s">
        <v>2249</v>
      </c>
      <c r="R817" s="28" t="s">
        <v>2250</v>
      </c>
    </row>
    <row r="818" spans="1:18">
      <c r="A818" s="28">
        <v>3</v>
      </c>
      <c r="B818" s="29" t="s">
        <v>286</v>
      </c>
      <c r="C818" s="29" t="s">
        <v>287</v>
      </c>
      <c r="D818" s="29" t="s">
        <v>288</v>
      </c>
      <c r="E818" s="29" t="s">
        <v>172</v>
      </c>
      <c r="F818" s="28" t="s">
        <v>2009</v>
      </c>
      <c r="G818" s="28" t="s">
        <v>2013</v>
      </c>
      <c r="H818" s="28" t="s">
        <v>384</v>
      </c>
      <c r="I818" s="28">
        <v>2</v>
      </c>
      <c r="J818" s="30">
        <v>8.5000000000000006E-2</v>
      </c>
      <c r="K818" s="28" t="s">
        <v>214</v>
      </c>
      <c r="L818" s="31">
        <v>43466</v>
      </c>
      <c r="M818" s="28">
        <v>1</v>
      </c>
      <c r="N818" s="32" t="s">
        <v>176</v>
      </c>
      <c r="O818" s="28" t="s">
        <v>204</v>
      </c>
      <c r="P818" s="28" t="s">
        <v>2343</v>
      </c>
      <c r="Q818" s="28" t="s">
        <v>2344</v>
      </c>
      <c r="R818" s="28" t="s">
        <v>2345</v>
      </c>
    </row>
    <row r="819" spans="1:18">
      <c r="A819" s="28">
        <v>3</v>
      </c>
      <c r="B819" s="29" t="s">
        <v>286</v>
      </c>
      <c r="C819" s="29" t="s">
        <v>287</v>
      </c>
      <c r="D819" s="29" t="s">
        <v>288</v>
      </c>
      <c r="E819" s="29" t="s">
        <v>172</v>
      </c>
      <c r="F819" s="28" t="s">
        <v>2009</v>
      </c>
      <c r="G819" s="28" t="s">
        <v>2046</v>
      </c>
      <c r="H819" s="28" t="s">
        <v>384</v>
      </c>
      <c r="I819" s="28">
        <v>2</v>
      </c>
      <c r="J819" s="30">
        <v>8.5000000000000006E-2</v>
      </c>
      <c r="K819" s="28" t="s">
        <v>1692</v>
      </c>
      <c r="L819" s="31">
        <v>43466</v>
      </c>
      <c r="M819" s="28">
        <v>1</v>
      </c>
      <c r="N819" s="32" t="s">
        <v>176</v>
      </c>
      <c r="O819" s="28" t="s">
        <v>204</v>
      </c>
      <c r="P819" s="28" t="s">
        <v>2346</v>
      </c>
      <c r="Q819" s="28" t="s">
        <v>2249</v>
      </c>
      <c r="R819" s="28" t="s">
        <v>2250</v>
      </c>
    </row>
    <row r="820" spans="1:18">
      <c r="A820" s="28">
        <v>3</v>
      </c>
      <c r="B820" s="29" t="s">
        <v>286</v>
      </c>
      <c r="C820" s="29" t="s">
        <v>287</v>
      </c>
      <c r="D820" s="29" t="s">
        <v>288</v>
      </c>
      <c r="E820" s="29" t="s">
        <v>172</v>
      </c>
      <c r="F820" s="28" t="s">
        <v>2009</v>
      </c>
      <c r="G820" s="28" t="s">
        <v>2046</v>
      </c>
      <c r="H820" s="28" t="s">
        <v>384</v>
      </c>
      <c r="I820" s="28">
        <v>2</v>
      </c>
      <c r="J820" s="30">
        <v>8.5000000000000006E-2</v>
      </c>
      <c r="K820" s="28" t="s">
        <v>844</v>
      </c>
      <c r="L820" s="31">
        <v>43586</v>
      </c>
      <c r="M820" s="28">
        <v>5</v>
      </c>
      <c r="N820" s="32" t="s">
        <v>191</v>
      </c>
      <c r="O820" s="28" t="s">
        <v>204</v>
      </c>
      <c r="P820" s="28" t="s">
        <v>2347</v>
      </c>
      <c r="Q820" s="28" t="s">
        <v>2249</v>
      </c>
      <c r="R820" s="28" t="s">
        <v>2250</v>
      </c>
    </row>
    <row r="821" spans="1:18">
      <c r="A821" s="28">
        <v>3</v>
      </c>
      <c r="B821" s="29" t="s">
        <v>286</v>
      </c>
      <c r="C821" s="29" t="s">
        <v>287</v>
      </c>
      <c r="D821" s="29" t="s">
        <v>288</v>
      </c>
      <c r="E821" s="29" t="s">
        <v>172</v>
      </c>
      <c r="F821" s="28" t="s">
        <v>2009</v>
      </c>
      <c r="G821" s="28" t="s">
        <v>2046</v>
      </c>
      <c r="H821" s="28" t="s">
        <v>384</v>
      </c>
      <c r="I821" s="28">
        <v>2</v>
      </c>
      <c r="J821" s="30">
        <v>8.5000000000000006E-2</v>
      </c>
      <c r="K821" s="28" t="s">
        <v>844</v>
      </c>
      <c r="L821" s="31">
        <v>43586</v>
      </c>
      <c r="M821" s="28">
        <v>5</v>
      </c>
      <c r="N821" s="32" t="s">
        <v>191</v>
      </c>
      <c r="O821" s="28" t="s">
        <v>204</v>
      </c>
      <c r="P821" s="28" t="s">
        <v>2348</v>
      </c>
      <c r="Q821" s="28" t="s">
        <v>2349</v>
      </c>
      <c r="R821" s="28" t="s">
        <v>2350</v>
      </c>
    </row>
    <row r="822" spans="1:18">
      <c r="A822" s="28">
        <v>3</v>
      </c>
      <c r="B822" s="29" t="s">
        <v>286</v>
      </c>
      <c r="C822" s="29" t="s">
        <v>287</v>
      </c>
      <c r="D822" s="29" t="s">
        <v>288</v>
      </c>
      <c r="E822" s="29" t="s">
        <v>172</v>
      </c>
      <c r="F822" s="28" t="s">
        <v>2009</v>
      </c>
      <c r="G822" s="28" t="s">
        <v>2046</v>
      </c>
      <c r="H822" s="28" t="s">
        <v>384</v>
      </c>
      <c r="I822" s="28">
        <v>2</v>
      </c>
      <c r="J822" s="30">
        <v>8.5000000000000006E-2</v>
      </c>
      <c r="K822" s="28" t="s">
        <v>844</v>
      </c>
      <c r="L822" s="31">
        <v>43586</v>
      </c>
      <c r="M822" s="28">
        <v>5</v>
      </c>
      <c r="N822" s="32" t="s">
        <v>191</v>
      </c>
      <c r="O822" s="28" t="s">
        <v>204</v>
      </c>
      <c r="P822" s="28" t="s">
        <v>2351</v>
      </c>
      <c r="Q822" s="28" t="s">
        <v>2263</v>
      </c>
      <c r="R822" s="28" t="s">
        <v>2264</v>
      </c>
    </row>
    <row r="823" spans="1:18">
      <c r="A823" s="28">
        <v>3</v>
      </c>
      <c r="B823" s="29" t="s">
        <v>286</v>
      </c>
      <c r="C823" s="29" t="s">
        <v>287</v>
      </c>
      <c r="D823" s="29" t="s">
        <v>288</v>
      </c>
      <c r="E823" s="29" t="s">
        <v>172</v>
      </c>
      <c r="F823" s="28" t="s">
        <v>2009</v>
      </c>
      <c r="G823" s="28" t="s">
        <v>2046</v>
      </c>
      <c r="H823" s="28" t="s">
        <v>384</v>
      </c>
      <c r="I823" s="28">
        <v>2</v>
      </c>
      <c r="J823" s="30">
        <v>8.5000000000000006E-2</v>
      </c>
      <c r="K823" s="28" t="s">
        <v>236</v>
      </c>
      <c r="L823" s="31">
        <v>43617</v>
      </c>
      <c r="M823" s="28">
        <v>6</v>
      </c>
      <c r="N823" s="32" t="s">
        <v>184</v>
      </c>
      <c r="O823" s="28" t="s">
        <v>204</v>
      </c>
      <c r="P823" s="28" t="s">
        <v>2352</v>
      </c>
      <c r="Q823" s="28" t="s">
        <v>2263</v>
      </c>
      <c r="R823" s="28" t="s">
        <v>2264</v>
      </c>
    </row>
    <row r="824" spans="1:18">
      <c r="A824" s="28">
        <v>3</v>
      </c>
      <c r="B824" s="29" t="s">
        <v>286</v>
      </c>
      <c r="C824" s="29" t="s">
        <v>287</v>
      </c>
      <c r="D824" s="29" t="s">
        <v>288</v>
      </c>
      <c r="E824" s="29" t="s">
        <v>172</v>
      </c>
      <c r="F824" s="28" t="s">
        <v>2009</v>
      </c>
      <c r="G824" s="28" t="s">
        <v>2046</v>
      </c>
      <c r="H824" s="28" t="s">
        <v>384</v>
      </c>
      <c r="I824" s="28">
        <v>2</v>
      </c>
      <c r="J824" s="30">
        <v>8.5000000000000006E-2</v>
      </c>
      <c r="K824" s="28" t="s">
        <v>752</v>
      </c>
      <c r="L824" s="31">
        <v>43709</v>
      </c>
      <c r="M824" s="28">
        <v>9</v>
      </c>
      <c r="N824" s="32" t="s">
        <v>191</v>
      </c>
      <c r="O824" s="28" t="s">
        <v>204</v>
      </c>
      <c r="P824" s="28" t="s">
        <v>2353</v>
      </c>
      <c r="Q824" s="28" t="s">
        <v>2354</v>
      </c>
      <c r="R824" s="28" t="s">
        <v>2355</v>
      </c>
    </row>
    <row r="825" spans="1:18">
      <c r="A825" s="28">
        <v>3</v>
      </c>
      <c r="B825" s="29" t="s">
        <v>286</v>
      </c>
      <c r="C825" s="29" t="s">
        <v>287</v>
      </c>
      <c r="D825" s="29" t="s">
        <v>288</v>
      </c>
      <c r="E825" s="29" t="s">
        <v>172</v>
      </c>
      <c r="F825" s="28" t="s">
        <v>2009</v>
      </c>
      <c r="G825" s="28" t="s">
        <v>2046</v>
      </c>
      <c r="H825" s="28" t="s">
        <v>384</v>
      </c>
      <c r="I825" s="28">
        <v>2</v>
      </c>
      <c r="J825" s="30">
        <v>8.5000000000000006E-2</v>
      </c>
      <c r="K825" s="28" t="s">
        <v>752</v>
      </c>
      <c r="L825" s="31">
        <v>43709</v>
      </c>
      <c r="M825" s="28">
        <v>9</v>
      </c>
      <c r="N825" s="32" t="s">
        <v>191</v>
      </c>
      <c r="O825" s="28" t="s">
        <v>204</v>
      </c>
      <c r="P825" s="28" t="s">
        <v>2356</v>
      </c>
      <c r="Q825" s="28" t="s">
        <v>2263</v>
      </c>
      <c r="R825" s="28" t="s">
        <v>2264</v>
      </c>
    </row>
    <row r="826" spans="1:18">
      <c r="A826" s="28">
        <v>3</v>
      </c>
      <c r="B826" s="29" t="s">
        <v>286</v>
      </c>
      <c r="C826" s="29" t="s">
        <v>287</v>
      </c>
      <c r="D826" s="29" t="s">
        <v>288</v>
      </c>
      <c r="E826" s="29" t="s">
        <v>172</v>
      </c>
      <c r="F826" s="28" t="s">
        <v>2009</v>
      </c>
      <c r="G826" s="28" t="s">
        <v>2046</v>
      </c>
      <c r="H826" s="28" t="s">
        <v>384</v>
      </c>
      <c r="I826" s="28">
        <v>2</v>
      </c>
      <c r="J826" s="30">
        <v>8.5000000000000006E-2</v>
      </c>
      <c r="K826" s="28" t="s">
        <v>479</v>
      </c>
      <c r="L826" s="31">
        <v>43770</v>
      </c>
      <c r="M826" s="28">
        <v>11</v>
      </c>
      <c r="N826" s="32" t="s">
        <v>191</v>
      </c>
      <c r="O826" s="28" t="s">
        <v>204</v>
      </c>
      <c r="P826" s="28" t="s">
        <v>2357</v>
      </c>
      <c r="Q826" s="28" t="s">
        <v>585</v>
      </c>
      <c r="R826" s="28" t="s">
        <v>589</v>
      </c>
    </row>
    <row r="827" spans="1:18">
      <c r="A827" s="28">
        <v>3</v>
      </c>
      <c r="B827" s="29" t="s">
        <v>286</v>
      </c>
      <c r="C827" s="29" t="s">
        <v>287</v>
      </c>
      <c r="D827" s="29" t="s">
        <v>288</v>
      </c>
      <c r="E827" s="29" t="s">
        <v>172</v>
      </c>
      <c r="F827" s="28" t="s">
        <v>2009</v>
      </c>
      <c r="G827" s="28" t="s">
        <v>2046</v>
      </c>
      <c r="H827" s="28" t="s">
        <v>384</v>
      </c>
      <c r="I827" s="28">
        <v>2</v>
      </c>
      <c r="J827" s="30">
        <v>8.5000000000000006E-2</v>
      </c>
      <c r="K827" s="28" t="s">
        <v>479</v>
      </c>
      <c r="L827" s="31">
        <v>43770</v>
      </c>
      <c r="M827" s="28">
        <v>11</v>
      </c>
      <c r="N827" s="32" t="s">
        <v>191</v>
      </c>
      <c r="O827" s="28" t="s">
        <v>204</v>
      </c>
      <c r="P827" s="28" t="s">
        <v>2358</v>
      </c>
      <c r="Q827" s="28" t="s">
        <v>2359</v>
      </c>
      <c r="R827" s="28" t="s">
        <v>2360</v>
      </c>
    </row>
    <row r="828" spans="1:18">
      <c r="A828" s="28">
        <v>3</v>
      </c>
      <c r="B828" s="29" t="s">
        <v>286</v>
      </c>
      <c r="C828" s="29" t="s">
        <v>287</v>
      </c>
      <c r="D828" s="29" t="s">
        <v>288</v>
      </c>
      <c r="E828" s="29" t="s">
        <v>172</v>
      </c>
      <c r="F828" s="28" t="s">
        <v>2009</v>
      </c>
      <c r="G828" s="28" t="s">
        <v>2046</v>
      </c>
      <c r="H828" s="28" t="s">
        <v>384</v>
      </c>
      <c r="I828" s="28">
        <v>2</v>
      </c>
      <c r="J828" s="30">
        <v>8.5000000000000006E-2</v>
      </c>
      <c r="K828" s="28" t="s">
        <v>479</v>
      </c>
      <c r="L828" s="31">
        <v>43770</v>
      </c>
      <c r="M828" s="28">
        <v>11</v>
      </c>
      <c r="N828" s="32" t="s">
        <v>191</v>
      </c>
      <c r="O828" s="28" t="s">
        <v>204</v>
      </c>
      <c r="P828" s="28" t="s">
        <v>2361</v>
      </c>
      <c r="Q828" s="28" t="s">
        <v>2249</v>
      </c>
      <c r="R828" s="28" t="s">
        <v>2250</v>
      </c>
    </row>
    <row r="829" spans="1:18">
      <c r="A829" s="28">
        <v>3</v>
      </c>
      <c r="B829" s="29" t="s">
        <v>286</v>
      </c>
      <c r="C829" s="29" t="s">
        <v>287</v>
      </c>
      <c r="D829" s="29" t="s">
        <v>288</v>
      </c>
      <c r="E829" s="29" t="s">
        <v>172</v>
      </c>
      <c r="F829" s="28" t="s">
        <v>2009</v>
      </c>
      <c r="G829" s="28" t="s">
        <v>2046</v>
      </c>
      <c r="H829" s="28" t="s">
        <v>384</v>
      </c>
      <c r="I829" s="28">
        <v>2</v>
      </c>
      <c r="J829" s="30">
        <v>8.5000000000000006E-2</v>
      </c>
      <c r="K829" s="28" t="s">
        <v>479</v>
      </c>
      <c r="L829" s="31">
        <v>43770</v>
      </c>
      <c r="M829" s="28">
        <v>11</v>
      </c>
      <c r="N829" s="32" t="s">
        <v>191</v>
      </c>
      <c r="O829" s="28" t="s">
        <v>204</v>
      </c>
      <c r="P829" s="28" t="s">
        <v>2362</v>
      </c>
      <c r="Q829" s="28" t="s">
        <v>2249</v>
      </c>
      <c r="R829" s="28" t="s">
        <v>2250</v>
      </c>
    </row>
    <row r="830" spans="1:18">
      <c r="A830" s="28">
        <v>3</v>
      </c>
      <c r="B830" s="29" t="s">
        <v>286</v>
      </c>
      <c r="C830" s="29" t="s">
        <v>287</v>
      </c>
      <c r="D830" s="29" t="s">
        <v>288</v>
      </c>
      <c r="E830" s="29" t="s">
        <v>172</v>
      </c>
      <c r="F830" s="28" t="s">
        <v>2009</v>
      </c>
      <c r="G830" s="28" t="s">
        <v>2046</v>
      </c>
      <c r="H830" s="28" t="s">
        <v>384</v>
      </c>
      <c r="I830" s="28">
        <v>2</v>
      </c>
      <c r="J830" s="30">
        <v>8.5000000000000006E-2</v>
      </c>
      <c r="K830" s="28" t="s">
        <v>504</v>
      </c>
      <c r="L830" s="31">
        <v>43922</v>
      </c>
      <c r="M830" s="28">
        <v>4</v>
      </c>
      <c r="N830" s="32" t="s">
        <v>191</v>
      </c>
      <c r="O830" s="28" t="s">
        <v>204</v>
      </c>
      <c r="P830" s="28" t="s">
        <v>2363</v>
      </c>
      <c r="Q830" s="28" t="s">
        <v>2364</v>
      </c>
      <c r="R830" s="28" t="s">
        <v>2365</v>
      </c>
    </row>
    <row r="831" spans="1:18">
      <c r="A831" s="28">
        <v>3</v>
      </c>
      <c r="B831" s="29" t="s">
        <v>286</v>
      </c>
      <c r="C831" s="29" t="s">
        <v>287</v>
      </c>
      <c r="D831" s="29" t="s">
        <v>288</v>
      </c>
      <c r="E831" s="29" t="s">
        <v>172</v>
      </c>
      <c r="F831" s="28" t="s">
        <v>2009</v>
      </c>
      <c r="G831" s="28" t="s">
        <v>2046</v>
      </c>
      <c r="H831" s="28" t="s">
        <v>384</v>
      </c>
      <c r="I831" s="28">
        <v>2</v>
      </c>
      <c r="J831" s="30">
        <v>8.5000000000000006E-2</v>
      </c>
      <c r="K831" s="28" t="s">
        <v>415</v>
      </c>
      <c r="L831" s="31">
        <v>43952</v>
      </c>
      <c r="M831" s="28">
        <v>5</v>
      </c>
      <c r="N831" s="32" t="s">
        <v>191</v>
      </c>
      <c r="O831" s="28" t="s">
        <v>204</v>
      </c>
      <c r="P831" s="28" t="s">
        <v>2366</v>
      </c>
      <c r="Q831" s="28" t="s">
        <v>2367</v>
      </c>
      <c r="R831" s="28" t="s">
        <v>2368</v>
      </c>
    </row>
    <row r="832" spans="1:18">
      <c r="A832" s="28">
        <v>3</v>
      </c>
      <c r="B832" s="29" t="s">
        <v>286</v>
      </c>
      <c r="C832" s="29" t="s">
        <v>287</v>
      </c>
      <c r="D832" s="29" t="s">
        <v>288</v>
      </c>
      <c r="E832" s="29" t="s">
        <v>172</v>
      </c>
      <c r="F832" s="28" t="s">
        <v>2009</v>
      </c>
      <c r="G832" s="28" t="s">
        <v>2046</v>
      </c>
      <c r="H832" s="28" t="s">
        <v>384</v>
      </c>
      <c r="I832" s="28">
        <v>2</v>
      </c>
      <c r="J832" s="30">
        <v>8.5000000000000006E-2</v>
      </c>
      <c r="K832" s="28" t="s">
        <v>415</v>
      </c>
      <c r="L832" s="31">
        <v>43952</v>
      </c>
      <c r="M832" s="28">
        <v>5</v>
      </c>
      <c r="N832" s="32" t="s">
        <v>191</v>
      </c>
      <c r="O832" s="28" t="s">
        <v>204</v>
      </c>
      <c r="P832" s="28" t="s">
        <v>2369</v>
      </c>
      <c r="Q832" s="28" t="s">
        <v>2370</v>
      </c>
      <c r="R832" s="28" t="s">
        <v>2371</v>
      </c>
    </row>
    <row r="833" spans="1:18">
      <c r="A833" s="28">
        <v>3</v>
      </c>
      <c r="B833" s="29" t="s">
        <v>286</v>
      </c>
      <c r="C833" s="29" t="s">
        <v>287</v>
      </c>
      <c r="D833" s="29" t="s">
        <v>288</v>
      </c>
      <c r="E833" s="29" t="s">
        <v>172</v>
      </c>
      <c r="F833" s="28" t="s">
        <v>2009</v>
      </c>
      <c r="G833" s="28" t="s">
        <v>2046</v>
      </c>
      <c r="H833" s="28" t="s">
        <v>384</v>
      </c>
      <c r="I833" s="28">
        <v>2</v>
      </c>
      <c r="J833" s="30">
        <v>8.5000000000000006E-2</v>
      </c>
      <c r="K833" s="28" t="s">
        <v>183</v>
      </c>
      <c r="L833" s="31">
        <v>43983</v>
      </c>
      <c r="M833" s="28">
        <v>6</v>
      </c>
      <c r="N833" s="32" t="s">
        <v>184</v>
      </c>
      <c r="O833" s="28" t="s">
        <v>204</v>
      </c>
      <c r="P833" s="28" t="s">
        <v>2372</v>
      </c>
      <c r="Q833" s="28" t="s">
        <v>2263</v>
      </c>
      <c r="R833" s="28" t="s">
        <v>2264</v>
      </c>
    </row>
    <row r="834" spans="1:18">
      <c r="A834" s="28">
        <v>3</v>
      </c>
      <c r="B834" s="29" t="s">
        <v>286</v>
      </c>
      <c r="C834" s="29" t="s">
        <v>287</v>
      </c>
      <c r="D834" s="29" t="s">
        <v>288</v>
      </c>
      <c r="E834" s="29" t="s">
        <v>172</v>
      </c>
      <c r="F834" s="28" t="s">
        <v>2009</v>
      </c>
      <c r="G834" s="28" t="s">
        <v>2046</v>
      </c>
      <c r="H834" s="28" t="s">
        <v>384</v>
      </c>
      <c r="I834" s="28">
        <v>2</v>
      </c>
      <c r="J834" s="30">
        <v>8.5000000000000006E-2</v>
      </c>
      <c r="K834" s="28" t="s">
        <v>643</v>
      </c>
      <c r="L834" s="31">
        <v>44013</v>
      </c>
      <c r="M834" s="28">
        <v>7</v>
      </c>
      <c r="N834" s="32" t="s">
        <v>184</v>
      </c>
      <c r="O834" s="28" t="s">
        <v>204</v>
      </c>
      <c r="P834" s="28" t="s">
        <v>2373</v>
      </c>
      <c r="Q834" s="28" t="s">
        <v>585</v>
      </c>
      <c r="R834" s="28" t="s">
        <v>589</v>
      </c>
    </row>
    <row r="835" spans="1:18">
      <c r="A835" s="28">
        <v>3</v>
      </c>
      <c r="B835" s="29" t="s">
        <v>286</v>
      </c>
      <c r="C835" s="29" t="s">
        <v>287</v>
      </c>
      <c r="D835" s="29" t="s">
        <v>288</v>
      </c>
      <c r="E835" s="29" t="s">
        <v>172</v>
      </c>
      <c r="F835" s="28" t="s">
        <v>2009</v>
      </c>
      <c r="G835" s="28" t="s">
        <v>2046</v>
      </c>
      <c r="H835" s="28" t="s">
        <v>384</v>
      </c>
      <c r="I835" s="28">
        <v>2</v>
      </c>
      <c r="J835" s="30">
        <v>8.5000000000000006E-2</v>
      </c>
      <c r="K835" s="28" t="s">
        <v>643</v>
      </c>
      <c r="L835" s="31">
        <v>44013</v>
      </c>
      <c r="M835" s="28">
        <v>7</v>
      </c>
      <c r="N835" s="32" t="s">
        <v>184</v>
      </c>
      <c r="O835" s="28" t="s">
        <v>204</v>
      </c>
      <c r="P835" s="28" t="s">
        <v>2374</v>
      </c>
      <c r="Q835" s="28" t="s">
        <v>585</v>
      </c>
      <c r="R835" s="28" t="s">
        <v>589</v>
      </c>
    </row>
    <row r="836" spans="1:18">
      <c r="A836" s="28">
        <v>3</v>
      </c>
      <c r="B836" s="29" t="s">
        <v>286</v>
      </c>
      <c r="C836" s="29" t="s">
        <v>287</v>
      </c>
      <c r="D836" s="29" t="s">
        <v>288</v>
      </c>
      <c r="E836" s="29" t="s">
        <v>172</v>
      </c>
      <c r="F836" s="28" t="s">
        <v>2009</v>
      </c>
      <c r="G836" s="28" t="s">
        <v>2046</v>
      </c>
      <c r="H836" s="28" t="s">
        <v>384</v>
      </c>
      <c r="I836" s="28">
        <v>2</v>
      </c>
      <c r="J836" s="30">
        <v>8.5000000000000006E-2</v>
      </c>
      <c r="K836" s="28" t="s">
        <v>643</v>
      </c>
      <c r="L836" s="31">
        <v>44013</v>
      </c>
      <c r="M836" s="28">
        <v>7</v>
      </c>
      <c r="N836" s="32" t="s">
        <v>184</v>
      </c>
      <c r="O836" s="28" t="s">
        <v>204</v>
      </c>
      <c r="P836" s="28" t="s">
        <v>2375</v>
      </c>
      <c r="Q836" s="28" t="s">
        <v>2249</v>
      </c>
      <c r="R836" s="28" t="s">
        <v>2250</v>
      </c>
    </row>
    <row r="837" spans="1:18">
      <c r="A837" s="28">
        <v>3</v>
      </c>
      <c r="B837" s="29" t="s">
        <v>286</v>
      </c>
      <c r="C837" s="29" t="s">
        <v>287</v>
      </c>
      <c r="D837" s="29" t="s">
        <v>288</v>
      </c>
      <c r="E837" s="29" t="s">
        <v>172</v>
      </c>
      <c r="F837" s="28" t="s">
        <v>2009</v>
      </c>
      <c r="G837" s="28" t="s">
        <v>2046</v>
      </c>
      <c r="H837" s="28" t="s">
        <v>384</v>
      </c>
      <c r="I837" s="28">
        <v>2</v>
      </c>
      <c r="J837" s="30">
        <v>8.5000000000000006E-2</v>
      </c>
      <c r="K837" s="28" t="s">
        <v>643</v>
      </c>
      <c r="L837" s="31">
        <v>44013</v>
      </c>
      <c r="M837" s="28">
        <v>7</v>
      </c>
      <c r="N837" s="32" t="s">
        <v>184</v>
      </c>
      <c r="O837" s="28" t="s">
        <v>244</v>
      </c>
      <c r="P837" s="28" t="s">
        <v>2376</v>
      </c>
      <c r="Q837" s="28" t="s">
        <v>2377</v>
      </c>
      <c r="R837" s="28" t="s">
        <v>2350</v>
      </c>
    </row>
    <row r="838" spans="1:18">
      <c r="A838" s="28">
        <v>3</v>
      </c>
      <c r="B838" s="29" t="s">
        <v>286</v>
      </c>
      <c r="C838" s="29" t="s">
        <v>287</v>
      </c>
      <c r="D838" s="29" t="s">
        <v>288</v>
      </c>
      <c r="E838" s="29" t="s">
        <v>172</v>
      </c>
      <c r="F838" s="28" t="s">
        <v>2009</v>
      </c>
      <c r="G838" s="28" t="s">
        <v>2046</v>
      </c>
      <c r="H838" s="28" t="s">
        <v>384</v>
      </c>
      <c r="I838" s="28">
        <v>2</v>
      </c>
      <c r="J838" s="30">
        <v>8.5000000000000006E-2</v>
      </c>
      <c r="K838" s="28" t="s">
        <v>218</v>
      </c>
      <c r="L838" s="31">
        <v>44044</v>
      </c>
      <c r="M838" s="28">
        <v>8</v>
      </c>
      <c r="N838" s="32" t="s">
        <v>184</v>
      </c>
      <c r="O838" s="28" t="s">
        <v>204</v>
      </c>
      <c r="P838" s="28" t="s">
        <v>2378</v>
      </c>
      <c r="Q838" s="28" t="s">
        <v>2249</v>
      </c>
      <c r="R838" s="28" t="s">
        <v>2250</v>
      </c>
    </row>
    <row r="839" spans="1:18">
      <c r="A839" s="28">
        <v>3</v>
      </c>
      <c r="B839" s="29" t="s">
        <v>286</v>
      </c>
      <c r="C839" s="29" t="s">
        <v>287</v>
      </c>
      <c r="D839" s="29" t="s">
        <v>288</v>
      </c>
      <c r="E839" s="29" t="s">
        <v>172</v>
      </c>
      <c r="F839" s="28" t="s">
        <v>2009</v>
      </c>
      <c r="G839" s="28" t="s">
        <v>2046</v>
      </c>
      <c r="H839" s="28" t="s">
        <v>384</v>
      </c>
      <c r="I839" s="28">
        <v>2</v>
      </c>
      <c r="J839" s="30">
        <v>8.5000000000000006E-2</v>
      </c>
      <c r="K839" s="28" t="s">
        <v>218</v>
      </c>
      <c r="L839" s="31">
        <v>44044</v>
      </c>
      <c r="M839" s="28">
        <v>8</v>
      </c>
      <c r="N839" s="32" t="s">
        <v>184</v>
      </c>
      <c r="O839" s="28" t="s">
        <v>204</v>
      </c>
      <c r="P839" s="28" t="s">
        <v>2379</v>
      </c>
      <c r="Q839" s="28" t="s">
        <v>2263</v>
      </c>
      <c r="R839" s="28" t="s">
        <v>2264</v>
      </c>
    </row>
    <row r="840" spans="1:18">
      <c r="A840" s="28">
        <v>3</v>
      </c>
      <c r="B840" s="29" t="s">
        <v>286</v>
      </c>
      <c r="C840" s="29" t="s">
        <v>287</v>
      </c>
      <c r="D840" s="29" t="s">
        <v>288</v>
      </c>
      <c r="E840" s="29" t="s">
        <v>172</v>
      </c>
      <c r="F840" s="28" t="s">
        <v>2009</v>
      </c>
      <c r="G840" s="28" t="s">
        <v>2013</v>
      </c>
      <c r="H840" s="28" t="s">
        <v>384</v>
      </c>
      <c r="I840" s="28">
        <v>2</v>
      </c>
      <c r="J840" s="30">
        <v>8.5000000000000006E-2</v>
      </c>
      <c r="K840" s="28" t="s">
        <v>646</v>
      </c>
      <c r="L840" s="31">
        <v>44075</v>
      </c>
      <c r="M840" s="28">
        <v>9</v>
      </c>
      <c r="N840" s="32" t="s">
        <v>191</v>
      </c>
      <c r="O840" s="28" t="s">
        <v>204</v>
      </c>
      <c r="P840" s="28" t="s">
        <v>2380</v>
      </c>
      <c r="Q840" s="28" t="s">
        <v>2381</v>
      </c>
      <c r="R840" s="28" t="s">
        <v>2382</v>
      </c>
    </row>
    <row r="841" spans="1:18">
      <c r="A841" s="28">
        <v>3</v>
      </c>
      <c r="B841" s="29" t="s">
        <v>286</v>
      </c>
      <c r="C841" s="29" t="s">
        <v>287</v>
      </c>
      <c r="D841" s="29" t="s">
        <v>288</v>
      </c>
      <c r="E841" s="29" t="s">
        <v>172</v>
      </c>
      <c r="F841" s="28" t="s">
        <v>2009</v>
      </c>
      <c r="G841" s="28" t="s">
        <v>2046</v>
      </c>
      <c r="H841" s="28" t="s">
        <v>384</v>
      </c>
      <c r="I841" s="28">
        <v>2</v>
      </c>
      <c r="J841" s="30">
        <v>8.5000000000000006E-2</v>
      </c>
      <c r="K841" s="28" t="s">
        <v>646</v>
      </c>
      <c r="L841" s="31">
        <v>44075</v>
      </c>
      <c r="M841" s="28">
        <v>9</v>
      </c>
      <c r="N841" s="32" t="s">
        <v>191</v>
      </c>
      <c r="O841" s="28" t="s">
        <v>204</v>
      </c>
      <c r="P841" s="28" t="s">
        <v>2383</v>
      </c>
      <c r="Q841" s="28" t="s">
        <v>2384</v>
      </c>
      <c r="R841" s="28" t="s">
        <v>2385</v>
      </c>
    </row>
    <row r="842" spans="1:18">
      <c r="A842" s="28">
        <v>3</v>
      </c>
      <c r="B842" s="29" t="s">
        <v>286</v>
      </c>
      <c r="C842" s="29" t="s">
        <v>287</v>
      </c>
      <c r="D842" s="29" t="s">
        <v>288</v>
      </c>
      <c r="E842" s="29" t="s">
        <v>172</v>
      </c>
      <c r="F842" s="28" t="s">
        <v>2009</v>
      </c>
      <c r="G842" s="28" t="s">
        <v>2013</v>
      </c>
      <c r="H842" s="28" t="s">
        <v>384</v>
      </c>
      <c r="I842" s="28">
        <v>2</v>
      </c>
      <c r="J842" s="30">
        <v>8.5000000000000006E-2</v>
      </c>
      <c r="K842" s="28" t="s">
        <v>430</v>
      </c>
      <c r="L842" s="31">
        <v>44105</v>
      </c>
      <c r="M842" s="28">
        <v>10</v>
      </c>
      <c r="N842" s="32" t="s">
        <v>191</v>
      </c>
      <c r="O842" s="28" t="s">
        <v>244</v>
      </c>
      <c r="P842" s="28" t="s">
        <v>2386</v>
      </c>
      <c r="Q842" s="28" t="s">
        <v>2387</v>
      </c>
      <c r="R842" s="28" t="s">
        <v>2388</v>
      </c>
    </row>
    <row r="843" spans="1:18">
      <c r="A843" s="28">
        <v>3</v>
      </c>
      <c r="B843" s="29" t="s">
        <v>286</v>
      </c>
      <c r="C843" s="29" t="s">
        <v>287</v>
      </c>
      <c r="D843" s="29" t="s">
        <v>288</v>
      </c>
      <c r="E843" s="29" t="s">
        <v>172</v>
      </c>
      <c r="F843" s="28" t="s">
        <v>2009</v>
      </c>
      <c r="G843" s="28" t="s">
        <v>2046</v>
      </c>
      <c r="H843" s="28" t="s">
        <v>384</v>
      </c>
      <c r="I843" s="28">
        <v>2</v>
      </c>
      <c r="J843" s="30">
        <v>8.5000000000000006E-2</v>
      </c>
      <c r="K843" s="28" t="s">
        <v>823</v>
      </c>
      <c r="L843" s="31">
        <v>44136</v>
      </c>
      <c r="M843" s="28">
        <v>11</v>
      </c>
      <c r="N843" s="32" t="s">
        <v>191</v>
      </c>
      <c r="O843" s="28" t="s">
        <v>204</v>
      </c>
      <c r="P843" s="28" t="s">
        <v>2389</v>
      </c>
      <c r="Q843" s="28" t="s">
        <v>2263</v>
      </c>
      <c r="R843" s="28" t="s">
        <v>2264</v>
      </c>
    </row>
    <row r="844" spans="1:18">
      <c r="A844" s="28">
        <v>3</v>
      </c>
      <c r="B844" s="29" t="s">
        <v>286</v>
      </c>
      <c r="C844" s="29" t="s">
        <v>287</v>
      </c>
      <c r="D844" s="29" t="s">
        <v>288</v>
      </c>
      <c r="E844" s="29" t="s">
        <v>172</v>
      </c>
      <c r="F844" s="28" t="s">
        <v>2009</v>
      </c>
      <c r="G844" s="28" t="s">
        <v>2013</v>
      </c>
      <c r="H844" s="28" t="s">
        <v>384</v>
      </c>
      <c r="I844" s="28">
        <v>2</v>
      </c>
      <c r="J844" s="30">
        <v>8.5000000000000006E-2</v>
      </c>
      <c r="K844" s="28" t="s">
        <v>730</v>
      </c>
      <c r="L844" s="31">
        <v>44166</v>
      </c>
      <c r="M844" s="28">
        <v>12</v>
      </c>
      <c r="N844" s="32" t="s">
        <v>176</v>
      </c>
      <c r="O844" s="28" t="s">
        <v>204</v>
      </c>
      <c r="P844" s="28" t="s">
        <v>2390</v>
      </c>
      <c r="Q844" s="28" t="s">
        <v>2391</v>
      </c>
      <c r="R844" s="28" t="s">
        <v>2392</v>
      </c>
    </row>
    <row r="845" spans="1:18">
      <c r="A845" s="28">
        <v>3</v>
      </c>
      <c r="B845" s="29" t="s">
        <v>286</v>
      </c>
      <c r="C845" s="29" t="s">
        <v>287</v>
      </c>
      <c r="D845" s="29" t="s">
        <v>288</v>
      </c>
      <c r="E845" s="29" t="s">
        <v>172</v>
      </c>
      <c r="F845" s="28" t="s">
        <v>2009</v>
      </c>
      <c r="G845" s="28" t="s">
        <v>2013</v>
      </c>
      <c r="H845" s="28" t="s">
        <v>384</v>
      </c>
      <c r="I845" s="28">
        <v>2</v>
      </c>
      <c r="J845" s="30">
        <v>8.5000000000000006E-2</v>
      </c>
      <c r="K845" s="28" t="s">
        <v>341</v>
      </c>
      <c r="L845" s="31">
        <v>44228</v>
      </c>
      <c r="M845" s="28">
        <v>2</v>
      </c>
      <c r="N845" s="32" t="s">
        <v>176</v>
      </c>
      <c r="O845" s="28" t="s">
        <v>204</v>
      </c>
      <c r="P845" s="28" t="s">
        <v>2393</v>
      </c>
      <c r="Q845" s="28" t="s">
        <v>2394</v>
      </c>
      <c r="R845" s="28" t="s">
        <v>2395</v>
      </c>
    </row>
    <row r="846" spans="1:18">
      <c r="A846" s="28">
        <v>3</v>
      </c>
      <c r="B846" s="29" t="s">
        <v>286</v>
      </c>
      <c r="C846" s="29" t="s">
        <v>287</v>
      </c>
      <c r="D846" s="29" t="s">
        <v>288</v>
      </c>
      <c r="E846" s="29" t="s">
        <v>172</v>
      </c>
      <c r="F846" s="28" t="s">
        <v>2009</v>
      </c>
      <c r="G846" s="28" t="s">
        <v>2046</v>
      </c>
      <c r="H846" s="28" t="s">
        <v>384</v>
      </c>
      <c r="I846" s="28">
        <v>2</v>
      </c>
      <c r="J846" s="30">
        <v>8.5000000000000006E-2</v>
      </c>
      <c r="K846" s="28" t="s">
        <v>522</v>
      </c>
      <c r="L846" s="31">
        <v>44256</v>
      </c>
      <c r="M846" s="28">
        <v>3</v>
      </c>
      <c r="N846" s="32" t="s">
        <v>191</v>
      </c>
      <c r="O846" s="28" t="s">
        <v>204</v>
      </c>
      <c r="P846" s="28" t="s">
        <v>2396</v>
      </c>
      <c r="Q846" s="28" t="s">
        <v>2249</v>
      </c>
      <c r="R846" s="28" t="s">
        <v>2250</v>
      </c>
    </row>
    <row r="847" spans="1:18">
      <c r="A847" s="28">
        <v>3</v>
      </c>
      <c r="B847" s="29" t="s">
        <v>286</v>
      </c>
      <c r="C847" s="29" t="s">
        <v>287</v>
      </c>
      <c r="D847" s="29" t="s">
        <v>288</v>
      </c>
      <c r="E847" s="29" t="s">
        <v>172</v>
      </c>
      <c r="F847" s="28" t="s">
        <v>2009</v>
      </c>
      <c r="G847" s="28" t="s">
        <v>2046</v>
      </c>
      <c r="H847" s="28" t="s">
        <v>384</v>
      </c>
      <c r="I847" s="28">
        <v>2</v>
      </c>
      <c r="J847" s="30">
        <v>8.5000000000000006E-2</v>
      </c>
      <c r="K847" s="28" t="s">
        <v>522</v>
      </c>
      <c r="L847" s="31">
        <v>44256</v>
      </c>
      <c r="M847" s="28">
        <v>3</v>
      </c>
      <c r="N847" s="32" t="s">
        <v>191</v>
      </c>
      <c r="O847" s="28" t="s">
        <v>204</v>
      </c>
      <c r="P847" s="28" t="s">
        <v>2397</v>
      </c>
      <c r="Q847" s="28" t="s">
        <v>2263</v>
      </c>
      <c r="R847" s="28" t="s">
        <v>2264</v>
      </c>
    </row>
    <row r="848" spans="1:18">
      <c r="A848" s="28">
        <v>3</v>
      </c>
      <c r="B848" s="29" t="s">
        <v>286</v>
      </c>
      <c r="C848" s="29" t="s">
        <v>287</v>
      </c>
      <c r="D848" s="29" t="s">
        <v>288</v>
      </c>
      <c r="E848" s="29" t="s">
        <v>172</v>
      </c>
      <c r="F848" s="28" t="s">
        <v>2009</v>
      </c>
      <c r="G848" s="28" t="s">
        <v>2013</v>
      </c>
      <c r="H848" s="28" t="s">
        <v>384</v>
      </c>
      <c r="I848" s="28">
        <v>2</v>
      </c>
      <c r="J848" s="30">
        <v>8.5000000000000006E-2</v>
      </c>
      <c r="K848" s="28" t="s">
        <v>190</v>
      </c>
      <c r="L848" s="31">
        <v>44287</v>
      </c>
      <c r="M848" s="28">
        <v>4</v>
      </c>
      <c r="N848" s="32" t="s">
        <v>191</v>
      </c>
      <c r="O848" s="28" t="s">
        <v>244</v>
      </c>
      <c r="P848" s="28" t="s">
        <v>2398</v>
      </c>
      <c r="Q848" s="28" t="s">
        <v>2399</v>
      </c>
      <c r="R848" s="28" t="s">
        <v>2400</v>
      </c>
    </row>
    <row r="849" spans="1:18">
      <c r="A849" s="28">
        <v>3</v>
      </c>
      <c r="B849" s="29" t="s">
        <v>286</v>
      </c>
      <c r="C849" s="29" t="s">
        <v>287</v>
      </c>
      <c r="D849" s="29" t="s">
        <v>288</v>
      </c>
      <c r="E849" s="29" t="s">
        <v>172</v>
      </c>
      <c r="F849" s="28" t="s">
        <v>2009</v>
      </c>
      <c r="G849" s="28" t="s">
        <v>2013</v>
      </c>
      <c r="H849" s="28" t="s">
        <v>384</v>
      </c>
      <c r="I849" s="28">
        <v>2</v>
      </c>
      <c r="J849" s="30">
        <v>8.5000000000000006E-2</v>
      </c>
      <c r="K849" s="28" t="s">
        <v>632</v>
      </c>
      <c r="L849" s="31">
        <v>44378</v>
      </c>
      <c r="M849" s="28">
        <v>7</v>
      </c>
      <c r="N849" s="32" t="s">
        <v>184</v>
      </c>
      <c r="O849" s="28" t="s">
        <v>204</v>
      </c>
      <c r="P849" s="28" t="s">
        <v>2401</v>
      </c>
      <c r="Q849" s="28" t="s">
        <v>2402</v>
      </c>
      <c r="R849" s="28" t="s">
        <v>2403</v>
      </c>
    </row>
    <row r="850" spans="1:18">
      <c r="A850" s="28">
        <v>3</v>
      </c>
      <c r="B850" s="29" t="s">
        <v>286</v>
      </c>
      <c r="C850" s="29" t="s">
        <v>287</v>
      </c>
      <c r="D850" s="29" t="s">
        <v>288</v>
      </c>
      <c r="E850" s="29" t="s">
        <v>172</v>
      </c>
      <c r="F850" s="28" t="s">
        <v>2009</v>
      </c>
      <c r="G850" s="28" t="s">
        <v>2046</v>
      </c>
      <c r="H850" s="28" t="s">
        <v>384</v>
      </c>
      <c r="I850" s="28">
        <v>2</v>
      </c>
      <c r="J850" s="30">
        <v>8.5000000000000006E-2</v>
      </c>
      <c r="K850" s="28" t="s">
        <v>345</v>
      </c>
      <c r="L850" s="31">
        <v>44440</v>
      </c>
      <c r="M850" s="28">
        <v>9</v>
      </c>
      <c r="N850" s="32" t="s">
        <v>191</v>
      </c>
      <c r="O850" s="28" t="s">
        <v>1060</v>
      </c>
      <c r="P850" s="28" t="s">
        <v>2404</v>
      </c>
      <c r="Q850" s="28" t="s">
        <v>2405</v>
      </c>
      <c r="R850" s="28" t="s">
        <v>2406</v>
      </c>
    </row>
    <row r="851" spans="1:18">
      <c r="A851" s="28">
        <v>3</v>
      </c>
      <c r="B851" s="29" t="s">
        <v>286</v>
      </c>
      <c r="C851" s="29" t="s">
        <v>287</v>
      </c>
      <c r="D851" s="29" t="s">
        <v>288</v>
      </c>
      <c r="E851" s="29" t="s">
        <v>172</v>
      </c>
      <c r="F851" s="28" t="s">
        <v>2009</v>
      </c>
      <c r="G851" s="28" t="s">
        <v>2046</v>
      </c>
      <c r="H851" s="28" t="s">
        <v>384</v>
      </c>
      <c r="I851" s="28">
        <v>2</v>
      </c>
      <c r="J851" s="30">
        <v>8.5000000000000006E-2</v>
      </c>
      <c r="K851" s="28" t="s">
        <v>670</v>
      </c>
      <c r="L851" s="31">
        <v>44501</v>
      </c>
      <c r="M851" s="28">
        <v>11</v>
      </c>
      <c r="N851" s="32" t="s">
        <v>191</v>
      </c>
      <c r="O851" s="28" t="s">
        <v>204</v>
      </c>
      <c r="P851" s="28" t="s">
        <v>2407</v>
      </c>
      <c r="Q851" s="28" t="s">
        <v>2408</v>
      </c>
      <c r="R851" s="28" t="s">
        <v>2409</v>
      </c>
    </row>
    <row r="852" spans="1:18">
      <c r="A852" s="28">
        <v>3</v>
      </c>
      <c r="B852" s="29" t="s">
        <v>286</v>
      </c>
      <c r="C852" s="29" t="s">
        <v>287</v>
      </c>
      <c r="D852" s="29" t="s">
        <v>288</v>
      </c>
      <c r="E852" s="29" t="s">
        <v>172</v>
      </c>
      <c r="F852" s="28" t="s">
        <v>2009</v>
      </c>
      <c r="G852" s="28" t="s">
        <v>2046</v>
      </c>
      <c r="H852" s="28" t="s">
        <v>384</v>
      </c>
      <c r="I852" s="28">
        <v>2</v>
      </c>
      <c r="J852" s="30">
        <v>8.5000000000000006E-2</v>
      </c>
      <c r="K852" s="28" t="s">
        <v>2410</v>
      </c>
      <c r="L852" s="31" t="s">
        <v>221</v>
      </c>
      <c r="M852" s="28" t="e">
        <v>#VALUE!</v>
      </c>
      <c r="N852" s="32" t="e">
        <v>#VALUE!</v>
      </c>
      <c r="O852" s="28" t="s">
        <v>204</v>
      </c>
      <c r="P852" s="28" t="s">
        <v>2411</v>
      </c>
      <c r="Q852" s="28" t="s">
        <v>2249</v>
      </c>
      <c r="R852" s="28" t="s">
        <v>2250</v>
      </c>
    </row>
    <row r="853" spans="1:18">
      <c r="A853" s="28">
        <v>3</v>
      </c>
      <c r="B853" s="29" t="s">
        <v>286</v>
      </c>
      <c r="C853" s="29" t="s">
        <v>287</v>
      </c>
      <c r="D853" s="29" t="s">
        <v>301</v>
      </c>
      <c r="E853" s="29" t="s">
        <v>172</v>
      </c>
      <c r="F853" s="28" t="s">
        <v>2009</v>
      </c>
      <c r="G853" s="28" t="s">
        <v>2046</v>
      </c>
      <c r="H853" s="28" t="s">
        <v>384</v>
      </c>
      <c r="I853" s="28">
        <v>2</v>
      </c>
      <c r="J853" s="30">
        <v>8.5000000000000006E-2</v>
      </c>
      <c r="K853" s="28" t="s">
        <v>263</v>
      </c>
      <c r="L853" s="31">
        <v>42430</v>
      </c>
      <c r="M853" s="28">
        <v>3</v>
      </c>
      <c r="N853" s="32" t="s">
        <v>191</v>
      </c>
      <c r="O853" s="28" t="s">
        <v>204</v>
      </c>
      <c r="P853" s="28" t="s">
        <v>2412</v>
      </c>
      <c r="Q853" s="28" t="s">
        <v>585</v>
      </c>
      <c r="R853" s="28" t="s">
        <v>586</v>
      </c>
    </row>
    <row r="854" spans="1:18">
      <c r="A854" s="28">
        <v>3</v>
      </c>
      <c r="B854" s="29" t="s">
        <v>286</v>
      </c>
      <c r="C854" s="29" t="s">
        <v>287</v>
      </c>
      <c r="D854" s="29" t="s">
        <v>301</v>
      </c>
      <c r="E854" s="29" t="s">
        <v>172</v>
      </c>
      <c r="F854" s="28" t="s">
        <v>2009</v>
      </c>
      <c r="G854" s="28" t="s">
        <v>2046</v>
      </c>
      <c r="H854" s="28" t="s">
        <v>384</v>
      </c>
      <c r="I854" s="28">
        <v>2</v>
      </c>
      <c r="J854" s="30">
        <v>8.5000000000000006E-2</v>
      </c>
      <c r="K854" s="28" t="s">
        <v>651</v>
      </c>
      <c r="L854" s="31">
        <v>42644</v>
      </c>
      <c r="M854" s="28">
        <v>10</v>
      </c>
      <c r="N854" s="32" t="s">
        <v>191</v>
      </c>
      <c r="O854" s="28" t="s">
        <v>204</v>
      </c>
      <c r="P854" s="28" t="s">
        <v>2413</v>
      </c>
      <c r="Q854" s="28" t="s">
        <v>585</v>
      </c>
      <c r="R854" s="28" t="s">
        <v>589</v>
      </c>
    </row>
    <row r="855" spans="1:18">
      <c r="A855" s="28">
        <v>3</v>
      </c>
      <c r="B855" s="29" t="s">
        <v>286</v>
      </c>
      <c r="C855" s="29" t="s">
        <v>287</v>
      </c>
      <c r="D855" s="29" t="s">
        <v>301</v>
      </c>
      <c r="E855" s="29" t="s">
        <v>172</v>
      </c>
      <c r="F855" s="28" t="s">
        <v>2009</v>
      </c>
      <c r="G855" s="28" t="s">
        <v>2046</v>
      </c>
      <c r="H855" s="28" t="s">
        <v>384</v>
      </c>
      <c r="I855" s="28">
        <v>2</v>
      </c>
      <c r="J855" s="30">
        <v>8.5000000000000006E-2</v>
      </c>
      <c r="K855" s="28" t="s">
        <v>769</v>
      </c>
      <c r="L855" s="31">
        <v>42826</v>
      </c>
      <c r="M855" s="28">
        <v>4</v>
      </c>
      <c r="N855" s="32" t="s">
        <v>191</v>
      </c>
      <c r="O855" s="28" t="s">
        <v>204</v>
      </c>
      <c r="P855" s="28" t="s">
        <v>2414</v>
      </c>
      <c r="Q855" s="28" t="s">
        <v>585</v>
      </c>
      <c r="R855" s="28" t="s">
        <v>589</v>
      </c>
    </row>
    <row r="856" spans="1:18">
      <c r="A856" s="28">
        <v>3</v>
      </c>
      <c r="B856" s="29" t="s">
        <v>286</v>
      </c>
      <c r="C856" s="29" t="s">
        <v>287</v>
      </c>
      <c r="D856" s="29" t="s">
        <v>301</v>
      </c>
      <c r="E856" s="29" t="s">
        <v>172</v>
      </c>
      <c r="F856" s="28" t="s">
        <v>2009</v>
      </c>
      <c r="G856" s="28" t="s">
        <v>2046</v>
      </c>
      <c r="H856" s="28" t="s">
        <v>384</v>
      </c>
      <c r="I856" s="28">
        <v>2</v>
      </c>
      <c r="J856" s="30">
        <v>8.5000000000000006E-2</v>
      </c>
      <c r="K856" s="28" t="s">
        <v>971</v>
      </c>
      <c r="L856" s="31">
        <v>42979</v>
      </c>
      <c r="M856" s="28">
        <v>9</v>
      </c>
      <c r="N856" s="32" t="s">
        <v>191</v>
      </c>
      <c r="O856" s="28" t="s">
        <v>204</v>
      </c>
      <c r="P856" s="28" t="s">
        <v>2415</v>
      </c>
      <c r="Q856" s="28" t="s">
        <v>2416</v>
      </c>
      <c r="R856" s="28" t="s">
        <v>2417</v>
      </c>
    </row>
    <row r="857" spans="1:18">
      <c r="A857" s="28">
        <v>3</v>
      </c>
      <c r="B857" s="29" t="s">
        <v>286</v>
      </c>
      <c r="C857" s="29" t="s">
        <v>287</v>
      </c>
      <c r="D857" s="29" t="s">
        <v>301</v>
      </c>
      <c r="E857" s="29" t="s">
        <v>172</v>
      </c>
      <c r="F857" s="28" t="s">
        <v>2009</v>
      </c>
      <c r="G857" s="28" t="s">
        <v>2046</v>
      </c>
      <c r="H857" s="28" t="s">
        <v>384</v>
      </c>
      <c r="I857" s="28">
        <v>2</v>
      </c>
      <c r="J857" s="30">
        <v>8.5000000000000006E-2</v>
      </c>
      <c r="K857" s="28" t="s">
        <v>971</v>
      </c>
      <c r="L857" s="31">
        <v>42979</v>
      </c>
      <c r="M857" s="28">
        <v>9</v>
      </c>
      <c r="N857" s="32" t="s">
        <v>191</v>
      </c>
      <c r="O857" s="28" t="s">
        <v>204</v>
      </c>
      <c r="P857" s="28" t="s">
        <v>2418</v>
      </c>
      <c r="Q857" s="28" t="s">
        <v>2419</v>
      </c>
      <c r="R857" s="28" t="s">
        <v>2420</v>
      </c>
    </row>
    <row r="858" spans="1:18">
      <c r="A858" s="28">
        <v>3</v>
      </c>
      <c r="B858" s="29" t="s">
        <v>286</v>
      </c>
      <c r="C858" s="29" t="s">
        <v>287</v>
      </c>
      <c r="D858" s="29" t="s">
        <v>301</v>
      </c>
      <c r="E858" s="29" t="s">
        <v>172</v>
      </c>
      <c r="F858" s="28" t="s">
        <v>2009</v>
      </c>
      <c r="G858" s="28" t="s">
        <v>2028</v>
      </c>
      <c r="H858" s="28" t="s">
        <v>174</v>
      </c>
      <c r="I858" s="28" t="s">
        <v>174</v>
      </c>
      <c r="J858" s="30" t="s">
        <v>174</v>
      </c>
      <c r="K858" s="28" t="s">
        <v>501</v>
      </c>
      <c r="L858" s="31">
        <v>43405</v>
      </c>
      <c r="M858" s="28">
        <v>11</v>
      </c>
      <c r="N858" s="32" t="s">
        <v>191</v>
      </c>
      <c r="O858" s="28" t="s">
        <v>204</v>
      </c>
      <c r="P858" s="28" t="s">
        <v>2421</v>
      </c>
      <c r="Q858" s="28" t="s">
        <v>585</v>
      </c>
      <c r="R858" s="28" t="s">
        <v>586</v>
      </c>
    </row>
    <row r="859" spans="1:18">
      <c r="A859" s="28">
        <v>3</v>
      </c>
      <c r="B859" s="29" t="s">
        <v>286</v>
      </c>
      <c r="C859" s="29" t="s">
        <v>287</v>
      </c>
      <c r="D859" s="29" t="s">
        <v>301</v>
      </c>
      <c r="E859" s="29" t="s">
        <v>172</v>
      </c>
      <c r="F859" s="28" t="s">
        <v>2009</v>
      </c>
      <c r="G859" s="28" t="s">
        <v>2046</v>
      </c>
      <c r="H859" s="28" t="s">
        <v>384</v>
      </c>
      <c r="I859" s="28">
        <v>2</v>
      </c>
      <c r="J859" s="30">
        <v>8.5000000000000006E-2</v>
      </c>
      <c r="K859" s="28" t="s">
        <v>501</v>
      </c>
      <c r="L859" s="31">
        <v>43405</v>
      </c>
      <c r="M859" s="28">
        <v>11</v>
      </c>
      <c r="N859" s="32" t="s">
        <v>191</v>
      </c>
      <c r="O859" s="28" t="s">
        <v>204</v>
      </c>
      <c r="P859" s="28" t="s">
        <v>2422</v>
      </c>
      <c r="Q859" s="28" t="s">
        <v>2249</v>
      </c>
      <c r="R859" s="28" t="s">
        <v>2250</v>
      </c>
    </row>
    <row r="860" spans="1:18">
      <c r="A860" s="28">
        <v>3</v>
      </c>
      <c r="B860" s="29" t="s">
        <v>286</v>
      </c>
      <c r="C860" s="29" t="s">
        <v>287</v>
      </c>
      <c r="D860" s="29" t="s">
        <v>301</v>
      </c>
      <c r="E860" s="29" t="s">
        <v>172</v>
      </c>
      <c r="F860" s="28" t="s">
        <v>2009</v>
      </c>
      <c r="G860" s="28" t="s">
        <v>2046</v>
      </c>
      <c r="H860" s="28" t="s">
        <v>384</v>
      </c>
      <c r="I860" s="28">
        <v>2</v>
      </c>
      <c r="J860" s="30">
        <v>8.5000000000000006E-2</v>
      </c>
      <c r="K860" s="28" t="s">
        <v>1136</v>
      </c>
      <c r="L860" s="31">
        <v>43497</v>
      </c>
      <c r="M860" s="28">
        <v>2</v>
      </c>
      <c r="N860" s="32" t="s">
        <v>176</v>
      </c>
      <c r="O860" s="28" t="s">
        <v>204</v>
      </c>
      <c r="P860" s="28" t="s">
        <v>2423</v>
      </c>
      <c r="Q860" s="28" t="s">
        <v>585</v>
      </c>
      <c r="R860" s="28" t="s">
        <v>589</v>
      </c>
    </row>
    <row r="861" spans="1:18">
      <c r="A861" s="28">
        <v>3</v>
      </c>
      <c r="B861" s="29" t="s">
        <v>286</v>
      </c>
      <c r="C861" s="29" t="s">
        <v>287</v>
      </c>
      <c r="D861" s="29" t="s">
        <v>301</v>
      </c>
      <c r="E861" s="29" t="s">
        <v>172</v>
      </c>
      <c r="F861" s="28" t="s">
        <v>2009</v>
      </c>
      <c r="G861" s="28" t="s">
        <v>2046</v>
      </c>
      <c r="H861" s="28" t="s">
        <v>384</v>
      </c>
      <c r="I861" s="28">
        <v>2</v>
      </c>
      <c r="J861" s="30">
        <v>8.5000000000000006E-2</v>
      </c>
      <c r="K861" s="28" t="s">
        <v>2424</v>
      </c>
      <c r="L861" s="31">
        <v>43525</v>
      </c>
      <c r="M861" s="28">
        <v>3</v>
      </c>
      <c r="N861" s="32" t="s">
        <v>191</v>
      </c>
      <c r="O861" s="28" t="s">
        <v>204</v>
      </c>
      <c r="P861" s="28" t="s">
        <v>2425</v>
      </c>
      <c r="Q861" s="28" t="s">
        <v>2426</v>
      </c>
      <c r="R861" s="28" t="s">
        <v>2427</v>
      </c>
    </row>
    <row r="862" spans="1:18">
      <c r="A862" s="28">
        <v>3</v>
      </c>
      <c r="B862" s="29" t="s">
        <v>286</v>
      </c>
      <c r="C862" s="29" t="s">
        <v>287</v>
      </c>
      <c r="D862" s="29" t="s">
        <v>301</v>
      </c>
      <c r="E862" s="29" t="s">
        <v>172</v>
      </c>
      <c r="F862" s="28" t="s">
        <v>2009</v>
      </c>
      <c r="G862" s="28" t="s">
        <v>2046</v>
      </c>
      <c r="H862" s="28" t="s">
        <v>384</v>
      </c>
      <c r="I862" s="28">
        <v>2</v>
      </c>
      <c r="J862" s="30">
        <v>8.5000000000000006E-2</v>
      </c>
      <c r="K862" s="28" t="s">
        <v>2428</v>
      </c>
      <c r="L862" s="31">
        <v>43617</v>
      </c>
      <c r="M862" s="28">
        <v>6</v>
      </c>
      <c r="N862" s="32" t="s">
        <v>184</v>
      </c>
      <c r="O862" s="28" t="s">
        <v>204</v>
      </c>
      <c r="P862" s="28" t="s">
        <v>2429</v>
      </c>
      <c r="Q862" s="28" t="s">
        <v>585</v>
      </c>
      <c r="R862" s="28" t="s">
        <v>586</v>
      </c>
    </row>
    <row r="863" spans="1:18">
      <c r="A863" s="28">
        <v>3</v>
      </c>
      <c r="B863" s="29" t="s">
        <v>286</v>
      </c>
      <c r="C863" s="29" t="s">
        <v>287</v>
      </c>
      <c r="D863" s="29" t="s">
        <v>301</v>
      </c>
      <c r="E863" s="29" t="s">
        <v>172</v>
      </c>
      <c r="F863" s="28" t="s">
        <v>2009</v>
      </c>
      <c r="G863" s="28" t="s">
        <v>2046</v>
      </c>
      <c r="H863" s="28" t="s">
        <v>384</v>
      </c>
      <c r="I863" s="28">
        <v>2</v>
      </c>
      <c r="J863" s="30">
        <v>8.5000000000000006E-2</v>
      </c>
      <c r="K863" s="28" t="s">
        <v>236</v>
      </c>
      <c r="L863" s="31">
        <v>43617</v>
      </c>
      <c r="M863" s="28">
        <v>6</v>
      </c>
      <c r="N863" s="32" t="s">
        <v>184</v>
      </c>
      <c r="O863" s="28" t="s">
        <v>204</v>
      </c>
      <c r="P863" s="28" t="s">
        <v>2430</v>
      </c>
      <c r="Q863" s="28" t="s">
        <v>2419</v>
      </c>
      <c r="R863" s="28" t="s">
        <v>2420</v>
      </c>
    </row>
    <row r="864" spans="1:18">
      <c r="A864" s="28">
        <v>3</v>
      </c>
      <c r="B864" s="29" t="s">
        <v>286</v>
      </c>
      <c r="C864" s="29" t="s">
        <v>287</v>
      </c>
      <c r="D864" s="29" t="s">
        <v>301</v>
      </c>
      <c r="E864" s="29" t="s">
        <v>172</v>
      </c>
      <c r="F864" s="28" t="s">
        <v>2009</v>
      </c>
      <c r="G864" s="28" t="s">
        <v>2046</v>
      </c>
      <c r="H864" s="28" t="s">
        <v>384</v>
      </c>
      <c r="I864" s="28">
        <v>2</v>
      </c>
      <c r="J864" s="30">
        <v>8.5000000000000006E-2</v>
      </c>
      <c r="K864" s="28" t="s">
        <v>218</v>
      </c>
      <c r="L864" s="31">
        <v>44044</v>
      </c>
      <c r="M864" s="28">
        <v>8</v>
      </c>
      <c r="N864" s="32" t="s">
        <v>184</v>
      </c>
      <c r="O864" s="28" t="s">
        <v>204</v>
      </c>
      <c r="P864" s="28" t="s">
        <v>2431</v>
      </c>
      <c r="Q864" s="28" t="s">
        <v>585</v>
      </c>
      <c r="R864" s="28" t="s">
        <v>586</v>
      </c>
    </row>
    <row r="865" spans="1:18" hidden="1">
      <c r="A865" s="28">
        <v>4</v>
      </c>
      <c r="B865" s="29" t="s">
        <v>306</v>
      </c>
      <c r="C865" s="29" t="s">
        <v>307</v>
      </c>
      <c r="D865" s="29" t="s">
        <v>604</v>
      </c>
      <c r="E865" s="29" t="s">
        <v>172</v>
      </c>
      <c r="F865" s="28" t="s">
        <v>2009</v>
      </c>
      <c r="G865" s="28" t="s">
        <v>2028</v>
      </c>
      <c r="H865" s="28" t="s">
        <v>174</v>
      </c>
      <c r="I865" s="28" t="s">
        <v>174</v>
      </c>
      <c r="J865" s="30" t="s">
        <v>174</v>
      </c>
      <c r="K865" s="28" t="s">
        <v>587</v>
      </c>
      <c r="L865" s="31">
        <v>42736</v>
      </c>
      <c r="M865" s="28">
        <v>1</v>
      </c>
      <c r="N865" s="32" t="s">
        <v>176</v>
      </c>
      <c r="O865" s="28" t="s">
        <v>177</v>
      </c>
      <c r="P865" s="28" t="s">
        <v>2432</v>
      </c>
      <c r="Q865" s="28" t="s">
        <v>2433</v>
      </c>
      <c r="R865" s="28" t="s">
        <v>2434</v>
      </c>
    </row>
    <row r="866" spans="1:18" hidden="1">
      <c r="A866" s="28">
        <v>4</v>
      </c>
      <c r="B866" s="29" t="s">
        <v>306</v>
      </c>
      <c r="C866" s="29" t="s">
        <v>307</v>
      </c>
      <c r="D866" s="29" t="s">
        <v>604</v>
      </c>
      <c r="E866" s="29" t="s">
        <v>172</v>
      </c>
      <c r="F866" s="28" t="s">
        <v>2009</v>
      </c>
      <c r="G866" s="28" t="s">
        <v>2028</v>
      </c>
      <c r="H866" s="28" t="s">
        <v>174</v>
      </c>
      <c r="I866" s="28" t="s">
        <v>174</v>
      </c>
      <c r="J866" s="30" t="s">
        <v>174</v>
      </c>
      <c r="K866" s="28" t="s">
        <v>424</v>
      </c>
      <c r="L866" s="31">
        <v>43678</v>
      </c>
      <c r="M866" s="28">
        <v>8</v>
      </c>
      <c r="N866" s="32" t="s">
        <v>184</v>
      </c>
      <c r="O866" s="28" t="s">
        <v>177</v>
      </c>
      <c r="P866" s="28" t="s">
        <v>2435</v>
      </c>
      <c r="Q866" s="28" t="s">
        <v>2436</v>
      </c>
      <c r="R866" s="28" t="s">
        <v>2437</v>
      </c>
    </row>
    <row r="867" spans="1:18" hidden="1">
      <c r="A867" s="28">
        <v>4</v>
      </c>
      <c r="B867" s="29" t="s">
        <v>306</v>
      </c>
      <c r="C867" s="29" t="s">
        <v>307</v>
      </c>
      <c r="D867" s="29" t="s">
        <v>308</v>
      </c>
      <c r="E867" s="29" t="s">
        <v>172</v>
      </c>
      <c r="F867" s="28" t="s">
        <v>2009</v>
      </c>
      <c r="G867" s="28" t="s">
        <v>2028</v>
      </c>
      <c r="H867" s="28" t="s">
        <v>174</v>
      </c>
      <c r="I867" s="28" t="s">
        <v>174</v>
      </c>
      <c r="J867" s="30" t="s">
        <v>174</v>
      </c>
      <c r="K867" s="28" t="s">
        <v>475</v>
      </c>
      <c r="L867" s="31">
        <v>43191</v>
      </c>
      <c r="M867" s="28">
        <v>4</v>
      </c>
      <c r="N867" s="32" t="s">
        <v>191</v>
      </c>
      <c r="O867" s="28" t="s">
        <v>204</v>
      </c>
      <c r="P867" s="28" t="s">
        <v>2438</v>
      </c>
      <c r="Q867" s="28" t="s">
        <v>2439</v>
      </c>
      <c r="R867" s="28" t="s">
        <v>2440</v>
      </c>
    </row>
    <row r="868" spans="1:18" hidden="1">
      <c r="A868" s="28">
        <v>4</v>
      </c>
      <c r="B868" s="29" t="s">
        <v>306</v>
      </c>
      <c r="C868" s="29" t="s">
        <v>307</v>
      </c>
      <c r="D868" s="29" t="s">
        <v>308</v>
      </c>
      <c r="E868" s="29" t="s">
        <v>172</v>
      </c>
      <c r="F868" s="28" t="s">
        <v>2009</v>
      </c>
      <c r="G868" s="28" t="s">
        <v>2035</v>
      </c>
      <c r="H868" s="28" t="s">
        <v>174</v>
      </c>
      <c r="I868" s="28" t="s">
        <v>174</v>
      </c>
      <c r="J868" s="30" t="s">
        <v>174</v>
      </c>
      <c r="K868" s="28" t="s">
        <v>361</v>
      </c>
      <c r="L868" s="31">
        <v>43435</v>
      </c>
      <c r="M868" s="28">
        <v>12</v>
      </c>
      <c r="N868" s="32" t="s">
        <v>176</v>
      </c>
      <c r="O868" s="28" t="s">
        <v>204</v>
      </c>
      <c r="P868" s="28" t="s">
        <v>2441</v>
      </c>
      <c r="Q868" s="28" t="s">
        <v>2442</v>
      </c>
      <c r="R868" s="28" t="s">
        <v>2443</v>
      </c>
    </row>
    <row r="869" spans="1:18" hidden="1">
      <c r="A869" s="28">
        <v>4</v>
      </c>
      <c r="B869" s="29" t="s">
        <v>306</v>
      </c>
      <c r="C869" s="29" t="s">
        <v>307</v>
      </c>
      <c r="D869" s="29" t="s">
        <v>308</v>
      </c>
      <c r="E869" s="29" t="s">
        <v>172</v>
      </c>
      <c r="F869" s="28" t="s">
        <v>2009</v>
      </c>
      <c r="G869" s="28" t="s">
        <v>2035</v>
      </c>
      <c r="H869" s="28" t="s">
        <v>174</v>
      </c>
      <c r="I869" s="28" t="s">
        <v>174</v>
      </c>
      <c r="J869" s="30" t="s">
        <v>174</v>
      </c>
      <c r="K869" s="28" t="s">
        <v>712</v>
      </c>
      <c r="L869" s="31">
        <v>44470</v>
      </c>
      <c r="M869" s="28">
        <v>10</v>
      </c>
      <c r="N869" s="32" t="s">
        <v>191</v>
      </c>
      <c r="O869" s="28" t="s">
        <v>177</v>
      </c>
      <c r="P869" s="28" t="s">
        <v>2444</v>
      </c>
      <c r="Q869" s="28" t="s">
        <v>2445</v>
      </c>
      <c r="R869" s="28" t="s">
        <v>2446</v>
      </c>
    </row>
    <row r="870" spans="1:18" hidden="1">
      <c r="A870" s="28">
        <v>4</v>
      </c>
      <c r="B870" s="29" t="s">
        <v>306</v>
      </c>
      <c r="C870" s="29" t="s">
        <v>312</v>
      </c>
      <c r="D870" s="29" t="s">
        <v>313</v>
      </c>
      <c r="E870" s="29" t="s">
        <v>172</v>
      </c>
      <c r="F870" s="28" t="s">
        <v>2009</v>
      </c>
      <c r="G870" s="28" t="s">
        <v>2028</v>
      </c>
      <c r="H870" s="28" t="s">
        <v>174</v>
      </c>
      <c r="I870" s="28" t="s">
        <v>174</v>
      </c>
      <c r="J870" s="30" t="s">
        <v>174</v>
      </c>
      <c r="K870" s="28" t="s">
        <v>293</v>
      </c>
      <c r="L870" s="31">
        <v>43374</v>
      </c>
      <c r="M870" s="28">
        <v>10</v>
      </c>
      <c r="N870" s="32" t="s">
        <v>191</v>
      </c>
      <c r="O870" s="28" t="s">
        <v>204</v>
      </c>
      <c r="P870" s="28" t="s">
        <v>2447</v>
      </c>
      <c r="Q870" s="28" t="s">
        <v>2448</v>
      </c>
      <c r="R870" s="28" t="s">
        <v>2449</v>
      </c>
    </row>
    <row r="871" spans="1:18" hidden="1">
      <c r="A871" s="28">
        <v>4</v>
      </c>
      <c r="B871" s="29" t="s">
        <v>306</v>
      </c>
      <c r="C871" s="29" t="s">
        <v>1776</v>
      </c>
      <c r="D871" s="29" t="s">
        <v>1777</v>
      </c>
      <c r="E871" s="29" t="s">
        <v>172</v>
      </c>
      <c r="F871" s="28" t="s">
        <v>2009</v>
      </c>
      <c r="G871" s="28" t="s">
        <v>2028</v>
      </c>
      <c r="H871" s="28" t="s">
        <v>174</v>
      </c>
      <c r="I871" s="28" t="s">
        <v>174</v>
      </c>
      <c r="J871" s="30" t="s">
        <v>174</v>
      </c>
      <c r="K871" s="28" t="s">
        <v>483</v>
      </c>
      <c r="L871" s="31">
        <v>44197</v>
      </c>
      <c r="M871" s="28">
        <v>1</v>
      </c>
      <c r="N871" s="32" t="s">
        <v>176</v>
      </c>
      <c r="O871" s="28" t="s">
        <v>177</v>
      </c>
      <c r="P871" s="28" t="s">
        <v>2450</v>
      </c>
      <c r="Q871" s="28" t="s">
        <v>2451</v>
      </c>
      <c r="R871" s="28" t="s">
        <v>2452</v>
      </c>
    </row>
    <row r="872" spans="1:18" hidden="1">
      <c r="A872" s="28">
        <v>4</v>
      </c>
      <c r="B872" s="29" t="s">
        <v>306</v>
      </c>
      <c r="C872" s="29" t="s">
        <v>624</v>
      </c>
      <c r="D872" s="29" t="s">
        <v>625</v>
      </c>
      <c r="E872" s="29" t="s">
        <v>172</v>
      </c>
      <c r="F872" s="28" t="s">
        <v>2009</v>
      </c>
      <c r="G872" s="28" t="s">
        <v>2046</v>
      </c>
      <c r="H872" s="28" t="s">
        <v>384</v>
      </c>
      <c r="I872" s="28">
        <v>2</v>
      </c>
      <c r="J872" s="30">
        <v>8.5000000000000006E-2</v>
      </c>
      <c r="K872" s="28" t="s">
        <v>198</v>
      </c>
      <c r="L872" s="31">
        <v>42767</v>
      </c>
      <c r="M872" s="28">
        <v>2</v>
      </c>
      <c r="N872" s="32" t="s">
        <v>176</v>
      </c>
      <c r="O872" s="28" t="s">
        <v>204</v>
      </c>
      <c r="P872" s="28" t="s">
        <v>2453</v>
      </c>
      <c r="Q872" s="28" t="s">
        <v>2454</v>
      </c>
      <c r="R872" s="28" t="s">
        <v>2455</v>
      </c>
    </row>
    <row r="873" spans="1:18" hidden="1">
      <c r="A873" s="28">
        <v>4</v>
      </c>
      <c r="B873" s="29" t="s">
        <v>306</v>
      </c>
      <c r="C873" s="29" t="s">
        <v>624</v>
      </c>
      <c r="D873" s="29" t="s">
        <v>625</v>
      </c>
      <c r="E873" s="29" t="s">
        <v>172</v>
      </c>
      <c r="F873" s="28" t="s">
        <v>2009</v>
      </c>
      <c r="G873" s="28" t="s">
        <v>2028</v>
      </c>
      <c r="H873" s="28" t="s">
        <v>174</v>
      </c>
      <c r="I873" s="28" t="s">
        <v>174</v>
      </c>
      <c r="J873" s="30" t="s">
        <v>174</v>
      </c>
      <c r="K873" s="28" t="s">
        <v>430</v>
      </c>
      <c r="L873" s="31">
        <v>44105</v>
      </c>
      <c r="M873" s="28">
        <v>10</v>
      </c>
      <c r="N873" s="32" t="s">
        <v>191</v>
      </c>
      <c r="O873" s="28" t="s">
        <v>2054</v>
      </c>
      <c r="P873" s="28" t="s">
        <v>2456</v>
      </c>
      <c r="Q873" s="28" t="s">
        <v>2457</v>
      </c>
      <c r="R873" s="28" t="s">
        <v>2458</v>
      </c>
    </row>
    <row r="874" spans="1:18" hidden="1">
      <c r="A874" s="28">
        <v>4</v>
      </c>
      <c r="B874" s="29" t="s">
        <v>306</v>
      </c>
      <c r="C874" s="29" t="s">
        <v>624</v>
      </c>
      <c r="D874" s="29" t="s">
        <v>630</v>
      </c>
      <c r="E874" s="29" t="s">
        <v>172</v>
      </c>
      <c r="F874" s="28" t="s">
        <v>2009</v>
      </c>
      <c r="G874" s="28" t="s">
        <v>2046</v>
      </c>
      <c r="H874" s="28" t="s">
        <v>384</v>
      </c>
      <c r="I874" s="28">
        <v>2</v>
      </c>
      <c r="J874" s="30">
        <v>8.5000000000000006E-2</v>
      </c>
      <c r="K874" s="28" t="s">
        <v>401</v>
      </c>
      <c r="L874" s="31">
        <v>42705</v>
      </c>
      <c r="M874" s="28">
        <v>12</v>
      </c>
      <c r="N874" s="32" t="s">
        <v>176</v>
      </c>
      <c r="O874" s="28" t="s">
        <v>204</v>
      </c>
      <c r="P874" s="28" t="s">
        <v>2459</v>
      </c>
      <c r="Q874" s="28" t="s">
        <v>2460</v>
      </c>
      <c r="R874" s="28" t="s">
        <v>2455</v>
      </c>
    </row>
    <row r="875" spans="1:18" hidden="1">
      <c r="A875" s="28">
        <v>4</v>
      </c>
      <c r="B875" s="29" t="s">
        <v>306</v>
      </c>
      <c r="C875" s="29" t="s">
        <v>318</v>
      </c>
      <c r="D875" s="29" t="s">
        <v>319</v>
      </c>
      <c r="E875" s="29" t="s">
        <v>172</v>
      </c>
      <c r="F875" s="28" t="s">
        <v>2009</v>
      </c>
      <c r="G875" s="28" t="s">
        <v>2028</v>
      </c>
      <c r="H875" s="28" t="s">
        <v>174</v>
      </c>
      <c r="I875" s="28" t="s">
        <v>174</v>
      </c>
      <c r="J875" s="30" t="s">
        <v>174</v>
      </c>
      <c r="K875" s="28" t="s">
        <v>397</v>
      </c>
      <c r="L875" s="31">
        <v>43739</v>
      </c>
      <c r="M875" s="28">
        <v>10</v>
      </c>
      <c r="N875" s="32" t="s">
        <v>191</v>
      </c>
      <c r="O875" s="28" t="s">
        <v>204</v>
      </c>
      <c r="P875" s="28" t="s">
        <v>2461</v>
      </c>
      <c r="Q875" s="28" t="s">
        <v>2462</v>
      </c>
      <c r="R875" s="28" t="s">
        <v>2463</v>
      </c>
    </row>
    <row r="876" spans="1:18" hidden="1">
      <c r="A876" s="28">
        <v>4</v>
      </c>
      <c r="B876" s="29" t="s">
        <v>306</v>
      </c>
      <c r="C876" s="29" t="s">
        <v>318</v>
      </c>
      <c r="D876" s="29" t="s">
        <v>323</v>
      </c>
      <c r="E876" s="29" t="s">
        <v>172</v>
      </c>
      <c r="F876" s="28" t="s">
        <v>2009</v>
      </c>
      <c r="G876" s="28" t="s">
        <v>2046</v>
      </c>
      <c r="H876" s="28" t="s">
        <v>384</v>
      </c>
      <c r="I876" s="28">
        <v>2</v>
      </c>
      <c r="J876" s="30">
        <v>8.5000000000000006E-2</v>
      </c>
      <c r="K876" s="28" t="s">
        <v>2464</v>
      </c>
      <c r="L876" s="31">
        <v>41456</v>
      </c>
      <c r="M876" s="28">
        <v>7</v>
      </c>
      <c r="N876" s="32" t="s">
        <v>184</v>
      </c>
      <c r="O876" s="28" t="s">
        <v>204</v>
      </c>
      <c r="P876" s="28" t="s">
        <v>2465</v>
      </c>
      <c r="Q876" s="28" t="s">
        <v>2466</v>
      </c>
      <c r="R876" s="28" t="s">
        <v>2467</v>
      </c>
    </row>
    <row r="877" spans="1:18" hidden="1">
      <c r="A877" s="28">
        <v>4</v>
      </c>
      <c r="B877" s="29" t="s">
        <v>306</v>
      </c>
      <c r="C877" s="29" t="s">
        <v>318</v>
      </c>
      <c r="D877" s="29" t="s">
        <v>323</v>
      </c>
      <c r="E877" s="29" t="s">
        <v>172</v>
      </c>
      <c r="F877" s="28" t="s">
        <v>2009</v>
      </c>
      <c r="G877" s="28" t="s">
        <v>2046</v>
      </c>
      <c r="H877" s="28" t="s">
        <v>384</v>
      </c>
      <c r="I877" s="28">
        <v>2</v>
      </c>
      <c r="J877" s="30">
        <v>8.5000000000000006E-2</v>
      </c>
      <c r="K877" s="28" t="s">
        <v>267</v>
      </c>
      <c r="L877" s="31">
        <v>42583</v>
      </c>
      <c r="M877" s="28">
        <v>8</v>
      </c>
      <c r="N877" s="32" t="s">
        <v>184</v>
      </c>
      <c r="O877" s="28" t="s">
        <v>204</v>
      </c>
      <c r="P877" s="28" t="s">
        <v>2468</v>
      </c>
      <c r="Q877" s="28" t="s">
        <v>2469</v>
      </c>
      <c r="R877" s="28" t="s">
        <v>2455</v>
      </c>
    </row>
    <row r="878" spans="1:18" hidden="1">
      <c r="A878" s="28">
        <v>4</v>
      </c>
      <c r="B878" s="29" t="s">
        <v>306</v>
      </c>
      <c r="C878" s="29" t="s">
        <v>318</v>
      </c>
      <c r="D878" s="29" t="s">
        <v>323</v>
      </c>
      <c r="E878" s="29" t="s">
        <v>172</v>
      </c>
      <c r="F878" s="28" t="s">
        <v>2009</v>
      </c>
      <c r="G878" s="28" t="s">
        <v>2046</v>
      </c>
      <c r="H878" s="28" t="s">
        <v>384</v>
      </c>
      <c r="I878" s="28">
        <v>2</v>
      </c>
      <c r="J878" s="30">
        <v>8.5000000000000006E-2</v>
      </c>
      <c r="K878" s="28" t="s">
        <v>335</v>
      </c>
      <c r="L878" s="31">
        <v>42614</v>
      </c>
      <c r="M878" s="28">
        <v>9</v>
      </c>
      <c r="N878" s="32" t="s">
        <v>191</v>
      </c>
      <c r="O878" s="28" t="s">
        <v>204</v>
      </c>
      <c r="P878" s="28" t="s">
        <v>2470</v>
      </c>
      <c r="Q878" s="28" t="s">
        <v>2471</v>
      </c>
      <c r="R878" s="28" t="s">
        <v>2455</v>
      </c>
    </row>
    <row r="879" spans="1:18" hidden="1">
      <c r="A879" s="28">
        <v>4</v>
      </c>
      <c r="B879" s="29" t="s">
        <v>306</v>
      </c>
      <c r="C879" s="29" t="s">
        <v>318</v>
      </c>
      <c r="D879" s="29" t="s">
        <v>323</v>
      </c>
      <c r="E879" s="29" t="s">
        <v>172</v>
      </c>
      <c r="F879" s="28" t="s">
        <v>2009</v>
      </c>
      <c r="G879" s="28" t="s">
        <v>2046</v>
      </c>
      <c r="H879" s="28" t="s">
        <v>384</v>
      </c>
      <c r="I879" s="28">
        <v>2</v>
      </c>
      <c r="J879" s="30">
        <v>8.5000000000000006E-2</v>
      </c>
      <c r="K879" s="28" t="s">
        <v>401</v>
      </c>
      <c r="L879" s="31">
        <v>42705</v>
      </c>
      <c r="M879" s="28">
        <v>12</v>
      </c>
      <c r="N879" s="32" t="s">
        <v>176</v>
      </c>
      <c r="O879" s="28" t="s">
        <v>204</v>
      </c>
      <c r="P879" s="28" t="s">
        <v>2472</v>
      </c>
      <c r="Q879" s="28" t="s">
        <v>2469</v>
      </c>
      <c r="R879" s="28" t="s">
        <v>2455</v>
      </c>
    </row>
    <row r="880" spans="1:18" hidden="1">
      <c r="A880" s="28">
        <v>4</v>
      </c>
      <c r="B880" s="29" t="s">
        <v>306</v>
      </c>
      <c r="C880" s="29" t="s">
        <v>318</v>
      </c>
      <c r="D880" s="29" t="s">
        <v>323</v>
      </c>
      <c r="E880" s="29" t="s">
        <v>172</v>
      </c>
      <c r="F880" s="28" t="s">
        <v>2009</v>
      </c>
      <c r="G880" s="28" t="s">
        <v>2028</v>
      </c>
      <c r="H880" s="28" t="s">
        <v>174</v>
      </c>
      <c r="I880" s="28" t="s">
        <v>174</v>
      </c>
      <c r="J880" s="30" t="s">
        <v>174</v>
      </c>
      <c r="K880" s="28" t="s">
        <v>289</v>
      </c>
      <c r="L880" s="31">
        <v>42795</v>
      </c>
      <c r="M880" s="28">
        <v>3</v>
      </c>
      <c r="N880" s="32" t="s">
        <v>191</v>
      </c>
      <c r="O880" s="28" t="s">
        <v>204</v>
      </c>
      <c r="P880" s="28" t="s">
        <v>2473</v>
      </c>
      <c r="Q880" s="28" t="s">
        <v>2474</v>
      </c>
      <c r="R880" s="28" t="s">
        <v>2463</v>
      </c>
    </row>
    <row r="881" spans="1:18" hidden="1">
      <c r="A881" s="28">
        <v>4</v>
      </c>
      <c r="B881" s="29" t="s">
        <v>306</v>
      </c>
      <c r="C881" s="29" t="s">
        <v>318</v>
      </c>
      <c r="D881" s="29" t="s">
        <v>323</v>
      </c>
      <c r="E881" s="29" t="s">
        <v>172</v>
      </c>
      <c r="F881" s="28" t="s">
        <v>2009</v>
      </c>
      <c r="G881" s="28" t="s">
        <v>2046</v>
      </c>
      <c r="H881" s="28" t="s">
        <v>384</v>
      </c>
      <c r="I881" s="28">
        <v>2</v>
      </c>
      <c r="J881" s="30">
        <v>8.5000000000000006E-2</v>
      </c>
      <c r="K881" s="28" t="s">
        <v>971</v>
      </c>
      <c r="L881" s="31">
        <v>42979</v>
      </c>
      <c r="M881" s="28">
        <v>9</v>
      </c>
      <c r="N881" s="32" t="s">
        <v>191</v>
      </c>
      <c r="O881" s="28" t="s">
        <v>204</v>
      </c>
      <c r="P881" s="28" t="s">
        <v>2475</v>
      </c>
      <c r="Q881" s="28" t="s">
        <v>2476</v>
      </c>
      <c r="R881" s="28" t="s">
        <v>642</v>
      </c>
    </row>
    <row r="882" spans="1:18" hidden="1">
      <c r="A882" s="28">
        <v>4</v>
      </c>
      <c r="B882" s="29" t="s">
        <v>306</v>
      </c>
      <c r="C882" s="29" t="s">
        <v>318</v>
      </c>
      <c r="D882" s="29" t="s">
        <v>323</v>
      </c>
      <c r="E882" s="29" t="s">
        <v>172</v>
      </c>
      <c r="F882" s="28" t="s">
        <v>2009</v>
      </c>
      <c r="G882" s="28" t="s">
        <v>2046</v>
      </c>
      <c r="H882" s="28" t="s">
        <v>384</v>
      </c>
      <c r="I882" s="28">
        <v>2</v>
      </c>
      <c r="J882" s="30">
        <v>8.5000000000000006E-2</v>
      </c>
      <c r="K882" s="28" t="s">
        <v>813</v>
      </c>
      <c r="L882" s="31">
        <v>43009</v>
      </c>
      <c r="M882" s="28">
        <v>10</v>
      </c>
      <c r="N882" s="32" t="s">
        <v>191</v>
      </c>
      <c r="O882" s="28" t="s">
        <v>204</v>
      </c>
      <c r="P882" s="28" t="s">
        <v>2477</v>
      </c>
      <c r="Q882" s="28" t="s">
        <v>2471</v>
      </c>
      <c r="R882" s="28" t="s">
        <v>2455</v>
      </c>
    </row>
    <row r="883" spans="1:18" hidden="1">
      <c r="A883" s="28">
        <v>4</v>
      </c>
      <c r="B883" s="29" t="s">
        <v>306</v>
      </c>
      <c r="C883" s="29" t="s">
        <v>318</v>
      </c>
      <c r="D883" s="29" t="s">
        <v>323</v>
      </c>
      <c r="E883" s="29" t="s">
        <v>172</v>
      </c>
      <c r="F883" s="28" t="s">
        <v>2009</v>
      </c>
      <c r="G883" s="28" t="s">
        <v>2028</v>
      </c>
      <c r="H883" s="28" t="s">
        <v>174</v>
      </c>
      <c r="I883" s="28" t="s">
        <v>174</v>
      </c>
      <c r="J883" s="30" t="s">
        <v>174</v>
      </c>
      <c r="K883" s="28" t="s">
        <v>248</v>
      </c>
      <c r="L883" s="31">
        <v>43070</v>
      </c>
      <c r="M883" s="28">
        <v>12</v>
      </c>
      <c r="N883" s="32" t="s">
        <v>176</v>
      </c>
      <c r="O883" s="28" t="s">
        <v>204</v>
      </c>
      <c r="P883" s="28" t="s">
        <v>2478</v>
      </c>
      <c r="Q883" s="28" t="s">
        <v>2479</v>
      </c>
      <c r="R883" s="28" t="s">
        <v>2480</v>
      </c>
    </row>
    <row r="884" spans="1:18" hidden="1">
      <c r="A884" s="28">
        <v>4</v>
      </c>
      <c r="B884" s="29" t="s">
        <v>306</v>
      </c>
      <c r="C884" s="29" t="s">
        <v>649</v>
      </c>
      <c r="D884" s="29" t="s">
        <v>2481</v>
      </c>
      <c r="E884" s="29" t="s">
        <v>172</v>
      </c>
      <c r="F884" s="28" t="s">
        <v>2009</v>
      </c>
      <c r="G884" s="28" t="s">
        <v>2028</v>
      </c>
      <c r="H884" s="28" t="s">
        <v>174</v>
      </c>
      <c r="I884" s="28" t="s">
        <v>174</v>
      </c>
      <c r="J884" s="30" t="s">
        <v>174</v>
      </c>
      <c r="K884" s="28" t="s">
        <v>391</v>
      </c>
      <c r="L884" s="31">
        <v>42370</v>
      </c>
      <c r="M884" s="28">
        <v>1</v>
      </c>
      <c r="N884" s="32" t="s">
        <v>176</v>
      </c>
      <c r="O884" s="28" t="s">
        <v>185</v>
      </c>
      <c r="P884" s="28" t="s">
        <v>2482</v>
      </c>
      <c r="Q884" s="28" t="s">
        <v>2483</v>
      </c>
      <c r="R884" s="28" t="s">
        <v>2484</v>
      </c>
    </row>
    <row r="885" spans="1:18" hidden="1">
      <c r="A885" s="28">
        <v>4</v>
      </c>
      <c r="B885" s="29" t="s">
        <v>306</v>
      </c>
      <c r="C885" s="29" t="s">
        <v>649</v>
      </c>
      <c r="D885" s="29" t="s">
        <v>2481</v>
      </c>
      <c r="E885" s="29" t="s">
        <v>172</v>
      </c>
      <c r="F885" s="28" t="s">
        <v>2009</v>
      </c>
      <c r="G885" s="28" t="s">
        <v>2028</v>
      </c>
      <c r="H885" s="28" t="s">
        <v>174</v>
      </c>
      <c r="I885" s="28" t="s">
        <v>174</v>
      </c>
      <c r="J885" s="30" t="s">
        <v>174</v>
      </c>
      <c r="K885" s="28" t="s">
        <v>501</v>
      </c>
      <c r="L885" s="31">
        <v>43405</v>
      </c>
      <c r="M885" s="28">
        <v>11</v>
      </c>
      <c r="N885" s="32" t="s">
        <v>191</v>
      </c>
      <c r="O885" s="28" t="s">
        <v>185</v>
      </c>
      <c r="P885" s="28" t="s">
        <v>2485</v>
      </c>
      <c r="Q885" s="28" t="s">
        <v>2486</v>
      </c>
      <c r="R885" s="28" t="s">
        <v>2484</v>
      </c>
    </row>
    <row r="886" spans="1:18" hidden="1">
      <c r="A886" s="28">
        <v>4</v>
      </c>
      <c r="B886" s="29" t="s">
        <v>306</v>
      </c>
      <c r="C886" s="29" t="s">
        <v>649</v>
      </c>
      <c r="D886" s="29" t="s">
        <v>650</v>
      </c>
      <c r="E886" s="29" t="s">
        <v>172</v>
      </c>
      <c r="F886" s="28" t="s">
        <v>2009</v>
      </c>
      <c r="G886" s="28" t="s">
        <v>2046</v>
      </c>
      <c r="H886" s="28" t="s">
        <v>384</v>
      </c>
      <c r="I886" s="28">
        <v>2</v>
      </c>
      <c r="J886" s="30">
        <v>8.5000000000000006E-2</v>
      </c>
      <c r="K886" s="28" t="s">
        <v>643</v>
      </c>
      <c r="L886" s="31">
        <v>44013</v>
      </c>
      <c r="M886" s="28">
        <v>7</v>
      </c>
      <c r="N886" s="32" t="s">
        <v>184</v>
      </c>
      <c r="O886" s="28" t="s">
        <v>204</v>
      </c>
      <c r="P886" s="28" t="s">
        <v>2487</v>
      </c>
      <c r="Q886" s="28" t="s">
        <v>2488</v>
      </c>
      <c r="R886" s="28" t="s">
        <v>598</v>
      </c>
    </row>
    <row r="887" spans="1:18" hidden="1">
      <c r="A887" s="28">
        <v>4</v>
      </c>
      <c r="B887" s="29" t="s">
        <v>306</v>
      </c>
      <c r="C887" s="29" t="s">
        <v>333</v>
      </c>
      <c r="D887" s="29" t="s">
        <v>334</v>
      </c>
      <c r="E887" s="29" t="s">
        <v>172</v>
      </c>
      <c r="F887" s="28" t="s">
        <v>2009</v>
      </c>
      <c r="G887" s="28" t="s">
        <v>2028</v>
      </c>
      <c r="H887" s="28" t="s">
        <v>174</v>
      </c>
      <c r="I887" s="28" t="s">
        <v>174</v>
      </c>
      <c r="J887" s="30" t="s">
        <v>174</v>
      </c>
      <c r="K887" s="28" t="s">
        <v>2489</v>
      </c>
      <c r="L887" s="31">
        <v>43040</v>
      </c>
      <c r="M887" s="28">
        <v>11</v>
      </c>
      <c r="N887" s="32" t="s">
        <v>191</v>
      </c>
      <c r="O887" s="28" t="s">
        <v>794</v>
      </c>
      <c r="P887" s="28" t="s">
        <v>2490</v>
      </c>
      <c r="Q887" s="28" t="s">
        <v>2491</v>
      </c>
      <c r="R887" s="28" t="s">
        <v>2492</v>
      </c>
    </row>
    <row r="888" spans="1:18" hidden="1">
      <c r="A888" s="28">
        <v>4</v>
      </c>
      <c r="B888" s="29" t="s">
        <v>306</v>
      </c>
      <c r="C888" s="29" t="s">
        <v>333</v>
      </c>
      <c r="D888" s="29" t="s">
        <v>334</v>
      </c>
      <c r="E888" s="29" t="s">
        <v>172</v>
      </c>
      <c r="F888" s="28" t="s">
        <v>2009</v>
      </c>
      <c r="G888" s="28" t="s">
        <v>2028</v>
      </c>
      <c r="H888" s="28" t="s">
        <v>174</v>
      </c>
      <c r="I888" s="28" t="s">
        <v>174</v>
      </c>
      <c r="J888" s="30" t="s">
        <v>174</v>
      </c>
      <c r="K888" s="28" t="s">
        <v>183</v>
      </c>
      <c r="L888" s="31">
        <v>43983</v>
      </c>
      <c r="M888" s="28">
        <v>6</v>
      </c>
      <c r="N888" s="32" t="s">
        <v>184</v>
      </c>
      <c r="O888" s="28" t="s">
        <v>177</v>
      </c>
      <c r="P888" s="28" t="s">
        <v>2493</v>
      </c>
      <c r="Q888" s="28" t="s">
        <v>2494</v>
      </c>
      <c r="R888" s="28" t="s">
        <v>1801</v>
      </c>
    </row>
    <row r="889" spans="1:18" hidden="1">
      <c r="A889" s="28">
        <v>4</v>
      </c>
      <c r="B889" s="29" t="s">
        <v>306</v>
      </c>
      <c r="C889" s="29" t="s">
        <v>333</v>
      </c>
      <c r="D889" s="29" t="s">
        <v>334</v>
      </c>
      <c r="E889" s="29" t="s">
        <v>172</v>
      </c>
      <c r="F889" s="28" t="s">
        <v>2009</v>
      </c>
      <c r="G889" s="28" t="s">
        <v>2028</v>
      </c>
      <c r="H889" s="28" t="s">
        <v>174</v>
      </c>
      <c r="I889" s="28" t="s">
        <v>174</v>
      </c>
      <c r="J889" s="30" t="s">
        <v>174</v>
      </c>
      <c r="K889" s="28" t="s">
        <v>522</v>
      </c>
      <c r="L889" s="31">
        <v>44256</v>
      </c>
      <c r="M889" s="28">
        <v>3</v>
      </c>
      <c r="N889" s="32" t="s">
        <v>191</v>
      </c>
      <c r="O889" s="28" t="s">
        <v>794</v>
      </c>
      <c r="P889" s="28" t="s">
        <v>2495</v>
      </c>
      <c r="Q889" s="28" t="s">
        <v>2496</v>
      </c>
      <c r="R889" s="28" t="s">
        <v>1792</v>
      </c>
    </row>
    <row r="890" spans="1:18" hidden="1">
      <c r="A890" s="28">
        <v>4</v>
      </c>
      <c r="B890" s="29" t="s">
        <v>306</v>
      </c>
      <c r="C890" s="29" t="s">
        <v>333</v>
      </c>
      <c r="D890" s="29" t="s">
        <v>673</v>
      </c>
      <c r="E890" s="29" t="s">
        <v>172</v>
      </c>
      <c r="F890" s="28" t="s">
        <v>2009</v>
      </c>
      <c r="G890" s="28" t="s">
        <v>2028</v>
      </c>
      <c r="H890" s="28" t="s">
        <v>174</v>
      </c>
      <c r="I890" s="28" t="s">
        <v>174</v>
      </c>
      <c r="J890" s="30" t="s">
        <v>174</v>
      </c>
      <c r="K890" s="28" t="s">
        <v>464</v>
      </c>
      <c r="L890" s="31">
        <v>42887</v>
      </c>
      <c r="M890" s="28">
        <v>6</v>
      </c>
      <c r="N890" s="32" t="s">
        <v>184</v>
      </c>
      <c r="O890" s="28" t="s">
        <v>204</v>
      </c>
      <c r="P890" s="28" t="s">
        <v>2497</v>
      </c>
      <c r="Q890" s="28" t="s">
        <v>2498</v>
      </c>
      <c r="R890" s="28" t="s">
        <v>2499</v>
      </c>
    </row>
    <row r="891" spans="1:18" hidden="1">
      <c r="A891" s="28">
        <v>4</v>
      </c>
      <c r="B891" s="29" t="s">
        <v>306</v>
      </c>
      <c r="C891" s="29" t="s">
        <v>333</v>
      </c>
      <c r="D891" s="29" t="s">
        <v>673</v>
      </c>
      <c r="E891" s="29" t="s">
        <v>172</v>
      </c>
      <c r="F891" s="28" t="s">
        <v>2009</v>
      </c>
      <c r="G891" s="28" t="s">
        <v>2028</v>
      </c>
      <c r="H891" s="28" t="s">
        <v>174</v>
      </c>
      <c r="I891" s="28" t="s">
        <v>174</v>
      </c>
      <c r="J891" s="30" t="s">
        <v>174</v>
      </c>
      <c r="K891" s="28" t="s">
        <v>302</v>
      </c>
      <c r="L891" s="31">
        <v>43282</v>
      </c>
      <c r="M891" s="28">
        <v>7</v>
      </c>
      <c r="N891" s="32" t="s">
        <v>184</v>
      </c>
      <c r="O891" s="28" t="s">
        <v>204</v>
      </c>
      <c r="P891" s="28" t="s">
        <v>2500</v>
      </c>
      <c r="Q891" s="28" t="s">
        <v>2501</v>
      </c>
      <c r="R891" s="28" t="s">
        <v>2502</v>
      </c>
    </row>
    <row r="892" spans="1:18" hidden="1">
      <c r="A892" s="28">
        <v>4</v>
      </c>
      <c r="B892" s="29" t="s">
        <v>306</v>
      </c>
      <c r="C892" s="29" t="s">
        <v>333</v>
      </c>
      <c r="D892" s="29" t="s">
        <v>673</v>
      </c>
      <c r="E892" s="29" t="s">
        <v>172</v>
      </c>
      <c r="F892" s="28" t="s">
        <v>2009</v>
      </c>
      <c r="G892" s="28" t="s">
        <v>2046</v>
      </c>
      <c r="H892" s="28" t="s">
        <v>384</v>
      </c>
      <c r="I892" s="28">
        <v>2</v>
      </c>
      <c r="J892" s="30">
        <v>8.5000000000000006E-2</v>
      </c>
      <c r="K892" s="28" t="s">
        <v>424</v>
      </c>
      <c r="L892" s="31">
        <v>43678</v>
      </c>
      <c r="M892" s="28">
        <v>8</v>
      </c>
      <c r="N892" s="32" t="s">
        <v>184</v>
      </c>
      <c r="O892" s="28" t="s">
        <v>204</v>
      </c>
      <c r="P892" s="28" t="s">
        <v>2503</v>
      </c>
      <c r="Q892" s="28" t="s">
        <v>2504</v>
      </c>
      <c r="R892" s="28" t="s">
        <v>2505</v>
      </c>
    </row>
    <row r="893" spans="1:18" hidden="1">
      <c r="A893" s="28">
        <v>4</v>
      </c>
      <c r="B893" s="29" t="s">
        <v>306</v>
      </c>
      <c r="C893" s="29" t="s">
        <v>333</v>
      </c>
      <c r="D893" s="29" t="s">
        <v>673</v>
      </c>
      <c r="E893" s="29" t="s">
        <v>172</v>
      </c>
      <c r="F893" s="28" t="s">
        <v>2009</v>
      </c>
      <c r="G893" s="28" t="s">
        <v>2028</v>
      </c>
      <c r="H893" s="28" t="s">
        <v>174</v>
      </c>
      <c r="I893" s="28" t="s">
        <v>174</v>
      </c>
      <c r="J893" s="30" t="s">
        <v>174</v>
      </c>
      <c r="K893" s="28" t="s">
        <v>328</v>
      </c>
      <c r="L893" s="31">
        <v>43891</v>
      </c>
      <c r="M893" s="28">
        <v>3</v>
      </c>
      <c r="N893" s="32" t="s">
        <v>191</v>
      </c>
      <c r="O893" s="28" t="s">
        <v>177</v>
      </c>
      <c r="P893" s="28" t="s">
        <v>2506</v>
      </c>
      <c r="Q893" s="28" t="s">
        <v>2507</v>
      </c>
      <c r="R893" s="28" t="s">
        <v>2508</v>
      </c>
    </row>
    <row r="894" spans="1:18" hidden="1">
      <c r="A894" s="28">
        <v>4</v>
      </c>
      <c r="B894" s="29" t="s">
        <v>306</v>
      </c>
      <c r="C894" s="29" t="s">
        <v>339</v>
      </c>
      <c r="D894" s="29" t="s">
        <v>687</v>
      </c>
      <c r="E894" s="29" t="s">
        <v>172</v>
      </c>
      <c r="F894" s="28" t="s">
        <v>2009</v>
      </c>
      <c r="G894" s="28" t="s">
        <v>2046</v>
      </c>
      <c r="H894" s="28" t="s">
        <v>384</v>
      </c>
      <c r="I894" s="28">
        <v>2</v>
      </c>
      <c r="J894" s="30">
        <v>8.5000000000000006E-2</v>
      </c>
      <c r="K894" s="28" t="s">
        <v>430</v>
      </c>
      <c r="L894" s="31">
        <v>44105</v>
      </c>
      <c r="M894" s="28">
        <v>10</v>
      </c>
      <c r="N894" s="32" t="s">
        <v>191</v>
      </c>
      <c r="O894" s="28" t="s">
        <v>204</v>
      </c>
      <c r="P894" s="28" t="s">
        <v>2509</v>
      </c>
      <c r="Q894" s="28" t="s">
        <v>2510</v>
      </c>
      <c r="R894" s="28" t="s">
        <v>2511</v>
      </c>
    </row>
    <row r="895" spans="1:18" hidden="1">
      <c r="A895" s="28">
        <v>4</v>
      </c>
      <c r="B895" s="29" t="s">
        <v>306</v>
      </c>
      <c r="C895" s="29" t="s">
        <v>339</v>
      </c>
      <c r="D895" s="29" t="s">
        <v>340</v>
      </c>
      <c r="E895" s="29" t="s">
        <v>172</v>
      </c>
      <c r="F895" s="28" t="s">
        <v>2009</v>
      </c>
      <c r="G895" s="28" t="s">
        <v>2046</v>
      </c>
      <c r="H895" s="28" t="s">
        <v>384</v>
      </c>
      <c r="I895" s="28">
        <v>2</v>
      </c>
      <c r="J895" s="30">
        <v>8.5000000000000006E-2</v>
      </c>
      <c r="K895" s="28" t="s">
        <v>243</v>
      </c>
      <c r="L895" s="31">
        <v>42461</v>
      </c>
      <c r="M895" s="28">
        <v>4</v>
      </c>
      <c r="N895" s="32" t="s">
        <v>191</v>
      </c>
      <c r="O895" s="28" t="s">
        <v>204</v>
      </c>
      <c r="P895" s="28" t="s">
        <v>2512</v>
      </c>
      <c r="Q895" s="28" t="s">
        <v>2513</v>
      </c>
      <c r="R895" s="28" t="s">
        <v>2511</v>
      </c>
    </row>
    <row r="896" spans="1:18" hidden="1">
      <c r="A896" s="28">
        <v>4</v>
      </c>
      <c r="B896" s="29" t="s">
        <v>306</v>
      </c>
      <c r="C896" s="29" t="s">
        <v>339</v>
      </c>
      <c r="D896" s="29" t="s">
        <v>340</v>
      </c>
      <c r="E896" s="29" t="s">
        <v>172</v>
      </c>
      <c r="F896" s="28" t="s">
        <v>2009</v>
      </c>
      <c r="G896" s="28" t="s">
        <v>2028</v>
      </c>
      <c r="H896" s="28" t="s">
        <v>174</v>
      </c>
      <c r="I896" s="28" t="s">
        <v>174</v>
      </c>
      <c r="J896" s="30" t="s">
        <v>174</v>
      </c>
      <c r="K896" s="28" t="s">
        <v>2514</v>
      </c>
      <c r="L896" s="31">
        <v>42522</v>
      </c>
      <c r="M896" s="28">
        <v>6</v>
      </c>
      <c r="N896" s="32" t="s">
        <v>184</v>
      </c>
      <c r="O896" s="28" t="s">
        <v>204</v>
      </c>
      <c r="P896" s="28" t="s">
        <v>2515</v>
      </c>
      <c r="Q896" s="28" t="s">
        <v>2516</v>
      </c>
      <c r="R896" s="28" t="s">
        <v>690</v>
      </c>
    </row>
    <row r="897" spans="1:18" hidden="1">
      <c r="A897" s="28">
        <v>4</v>
      </c>
      <c r="B897" s="29" t="s">
        <v>306</v>
      </c>
      <c r="C897" s="29" t="s">
        <v>339</v>
      </c>
      <c r="D897" s="29" t="s">
        <v>340</v>
      </c>
      <c r="E897" s="29" t="s">
        <v>172</v>
      </c>
      <c r="F897" s="28" t="s">
        <v>2009</v>
      </c>
      <c r="G897" s="28" t="s">
        <v>2046</v>
      </c>
      <c r="H897" s="28" t="s">
        <v>384</v>
      </c>
      <c r="I897" s="28">
        <v>2</v>
      </c>
      <c r="J897" s="30">
        <v>8.5000000000000006E-2</v>
      </c>
      <c r="K897" s="28" t="s">
        <v>257</v>
      </c>
      <c r="L897" s="31">
        <v>42552</v>
      </c>
      <c r="M897" s="28">
        <v>7</v>
      </c>
      <c r="N897" s="32" t="s">
        <v>184</v>
      </c>
      <c r="O897" s="28" t="s">
        <v>204</v>
      </c>
      <c r="P897" s="28" t="s">
        <v>2517</v>
      </c>
      <c r="Q897" s="28" t="s">
        <v>2518</v>
      </c>
      <c r="R897" s="28" t="s">
        <v>2511</v>
      </c>
    </row>
    <row r="898" spans="1:18" hidden="1">
      <c r="A898" s="28">
        <v>4</v>
      </c>
      <c r="B898" s="29" t="s">
        <v>306</v>
      </c>
      <c r="C898" s="29" t="s">
        <v>339</v>
      </c>
      <c r="D898" s="29" t="s">
        <v>340</v>
      </c>
      <c r="E898" s="29" t="s">
        <v>172</v>
      </c>
      <c r="F898" s="28" t="s">
        <v>2009</v>
      </c>
      <c r="G898" s="28" t="s">
        <v>2046</v>
      </c>
      <c r="H898" s="28" t="s">
        <v>384</v>
      </c>
      <c r="I898" s="28">
        <v>2</v>
      </c>
      <c r="J898" s="30">
        <v>8.5000000000000006E-2</v>
      </c>
      <c r="K898" s="28" t="s">
        <v>401</v>
      </c>
      <c r="L898" s="31">
        <v>42705</v>
      </c>
      <c r="M898" s="28">
        <v>12</v>
      </c>
      <c r="N898" s="32" t="s">
        <v>176</v>
      </c>
      <c r="O898" s="28" t="s">
        <v>204</v>
      </c>
      <c r="P898" s="28" t="s">
        <v>2519</v>
      </c>
      <c r="Q898" s="28" t="s">
        <v>2520</v>
      </c>
      <c r="R898" s="28" t="s">
        <v>2511</v>
      </c>
    </row>
    <row r="899" spans="1:18" hidden="1">
      <c r="A899" s="28">
        <v>4</v>
      </c>
      <c r="B899" s="29" t="s">
        <v>306</v>
      </c>
      <c r="C899" s="29" t="s">
        <v>339</v>
      </c>
      <c r="D899" s="29" t="s">
        <v>340</v>
      </c>
      <c r="E899" s="29" t="s">
        <v>172</v>
      </c>
      <c r="F899" s="28" t="s">
        <v>2009</v>
      </c>
      <c r="G899" s="28" t="s">
        <v>2028</v>
      </c>
      <c r="H899" s="28" t="s">
        <v>174</v>
      </c>
      <c r="I899" s="28" t="s">
        <v>174</v>
      </c>
      <c r="J899" s="30" t="s">
        <v>174</v>
      </c>
      <c r="K899" s="28" t="s">
        <v>587</v>
      </c>
      <c r="L899" s="31">
        <v>42736</v>
      </c>
      <c r="M899" s="28">
        <v>1</v>
      </c>
      <c r="N899" s="32" t="s">
        <v>176</v>
      </c>
      <c r="O899" s="28" t="s">
        <v>204</v>
      </c>
      <c r="P899" s="28" t="s">
        <v>2521</v>
      </c>
      <c r="Q899" s="28" t="s">
        <v>2522</v>
      </c>
      <c r="R899" s="28" t="s">
        <v>2523</v>
      </c>
    </row>
    <row r="900" spans="1:18" hidden="1">
      <c r="A900" s="28">
        <v>4</v>
      </c>
      <c r="B900" s="29" t="s">
        <v>306</v>
      </c>
      <c r="C900" s="29" t="s">
        <v>339</v>
      </c>
      <c r="D900" s="29" t="s">
        <v>340</v>
      </c>
      <c r="E900" s="29" t="s">
        <v>172</v>
      </c>
      <c r="F900" s="28" t="s">
        <v>2009</v>
      </c>
      <c r="G900" s="28" t="s">
        <v>2035</v>
      </c>
      <c r="H900" s="28" t="s">
        <v>174</v>
      </c>
      <c r="I900" s="28" t="s">
        <v>174</v>
      </c>
      <c r="J900" s="30" t="s">
        <v>174</v>
      </c>
      <c r="K900" s="28" t="s">
        <v>473</v>
      </c>
      <c r="L900" s="31">
        <v>43160</v>
      </c>
      <c r="M900" s="28">
        <v>3</v>
      </c>
      <c r="N900" s="32" t="s">
        <v>191</v>
      </c>
      <c r="O900" s="28" t="s">
        <v>204</v>
      </c>
      <c r="P900" s="28" t="s">
        <v>2524</v>
      </c>
      <c r="Q900" s="28" t="s">
        <v>2525</v>
      </c>
      <c r="R900" s="28" t="s">
        <v>695</v>
      </c>
    </row>
    <row r="901" spans="1:18" hidden="1">
      <c r="A901" s="28">
        <v>4</v>
      </c>
      <c r="B901" s="29" t="s">
        <v>306</v>
      </c>
      <c r="C901" s="29" t="s">
        <v>339</v>
      </c>
      <c r="D901" s="29" t="s">
        <v>340</v>
      </c>
      <c r="E901" s="29" t="s">
        <v>172</v>
      </c>
      <c r="F901" s="28" t="s">
        <v>2009</v>
      </c>
      <c r="G901" s="28" t="s">
        <v>2013</v>
      </c>
      <c r="H901" s="28" t="s">
        <v>384</v>
      </c>
      <c r="I901" s="28">
        <v>2</v>
      </c>
      <c r="J901" s="30">
        <v>8.5000000000000006E-2</v>
      </c>
      <c r="K901" s="28" t="s">
        <v>405</v>
      </c>
      <c r="L901" s="31">
        <v>43221</v>
      </c>
      <c r="M901" s="28">
        <v>5</v>
      </c>
      <c r="N901" s="32" t="s">
        <v>191</v>
      </c>
      <c r="O901" s="28" t="s">
        <v>204</v>
      </c>
      <c r="P901" s="28" t="s">
        <v>2526</v>
      </c>
      <c r="Q901" s="28" t="s">
        <v>2527</v>
      </c>
      <c r="R901" s="28" t="s">
        <v>2528</v>
      </c>
    </row>
    <row r="902" spans="1:18" hidden="1">
      <c r="A902" s="28">
        <v>4</v>
      </c>
      <c r="B902" s="29" t="s">
        <v>306</v>
      </c>
      <c r="C902" s="29" t="s">
        <v>339</v>
      </c>
      <c r="D902" s="29" t="s">
        <v>340</v>
      </c>
      <c r="E902" s="29" t="s">
        <v>172</v>
      </c>
      <c r="F902" s="28" t="s">
        <v>2009</v>
      </c>
      <c r="G902" s="28" t="s">
        <v>2046</v>
      </c>
      <c r="H902" s="28" t="s">
        <v>384</v>
      </c>
      <c r="I902" s="28">
        <v>2</v>
      </c>
      <c r="J902" s="30">
        <v>8.5000000000000006E-2</v>
      </c>
      <c r="K902" s="28" t="s">
        <v>302</v>
      </c>
      <c r="L902" s="31">
        <v>43282</v>
      </c>
      <c r="M902" s="28">
        <v>7</v>
      </c>
      <c r="N902" s="32" t="s">
        <v>184</v>
      </c>
      <c r="O902" s="28" t="s">
        <v>204</v>
      </c>
      <c r="P902" s="28" t="s">
        <v>2529</v>
      </c>
      <c r="Q902" s="28" t="s">
        <v>2530</v>
      </c>
      <c r="R902" s="28" t="s">
        <v>2511</v>
      </c>
    </row>
    <row r="903" spans="1:18" hidden="1">
      <c r="A903" s="28">
        <v>4</v>
      </c>
      <c r="B903" s="29" t="s">
        <v>306</v>
      </c>
      <c r="C903" s="29" t="s">
        <v>339</v>
      </c>
      <c r="D903" s="29" t="s">
        <v>340</v>
      </c>
      <c r="E903" s="29" t="s">
        <v>172</v>
      </c>
      <c r="F903" s="28" t="s">
        <v>2009</v>
      </c>
      <c r="G903" s="28" t="s">
        <v>2013</v>
      </c>
      <c r="H903" s="28" t="s">
        <v>384</v>
      </c>
      <c r="I903" s="28">
        <v>2</v>
      </c>
      <c r="J903" s="30">
        <v>8.5000000000000006E-2</v>
      </c>
      <c r="K903" s="28" t="s">
        <v>293</v>
      </c>
      <c r="L903" s="31">
        <v>43374</v>
      </c>
      <c r="M903" s="28">
        <v>10</v>
      </c>
      <c r="N903" s="32" t="s">
        <v>191</v>
      </c>
      <c r="O903" s="28" t="s">
        <v>204</v>
      </c>
      <c r="P903" s="28" t="s">
        <v>2531</v>
      </c>
      <c r="Q903" s="28" t="s">
        <v>2518</v>
      </c>
      <c r="R903" s="28" t="s">
        <v>2511</v>
      </c>
    </row>
    <row r="904" spans="1:18" hidden="1">
      <c r="A904" s="28">
        <v>4</v>
      </c>
      <c r="B904" s="29" t="s">
        <v>306</v>
      </c>
      <c r="C904" s="29" t="s">
        <v>339</v>
      </c>
      <c r="D904" s="29" t="s">
        <v>340</v>
      </c>
      <c r="E904" s="29" t="s">
        <v>172</v>
      </c>
      <c r="F904" s="28" t="s">
        <v>2009</v>
      </c>
      <c r="G904" s="28" t="s">
        <v>2046</v>
      </c>
      <c r="H904" s="28" t="s">
        <v>384</v>
      </c>
      <c r="I904" s="28">
        <v>2</v>
      </c>
      <c r="J904" s="30">
        <v>8.5000000000000006E-2</v>
      </c>
      <c r="K904" s="28" t="s">
        <v>361</v>
      </c>
      <c r="L904" s="31">
        <v>43435</v>
      </c>
      <c r="M904" s="28">
        <v>12</v>
      </c>
      <c r="N904" s="32" t="s">
        <v>176</v>
      </c>
      <c r="O904" s="28" t="s">
        <v>204</v>
      </c>
      <c r="P904" s="28" t="s">
        <v>2532</v>
      </c>
      <c r="Q904" s="28" t="s">
        <v>2518</v>
      </c>
      <c r="R904" s="28" t="s">
        <v>2511</v>
      </c>
    </row>
    <row r="905" spans="1:18" hidden="1">
      <c r="A905" s="28">
        <v>4</v>
      </c>
      <c r="B905" s="29" t="s">
        <v>306</v>
      </c>
      <c r="C905" s="29" t="s">
        <v>339</v>
      </c>
      <c r="D905" s="29" t="s">
        <v>340</v>
      </c>
      <c r="E905" s="29" t="s">
        <v>172</v>
      </c>
      <c r="F905" s="28" t="s">
        <v>2009</v>
      </c>
      <c r="G905" s="28" t="s">
        <v>2046</v>
      </c>
      <c r="H905" s="28" t="s">
        <v>384</v>
      </c>
      <c r="I905" s="28">
        <v>2</v>
      </c>
      <c r="J905" s="30">
        <v>8.5000000000000006E-2</v>
      </c>
      <c r="K905" s="28" t="s">
        <v>520</v>
      </c>
      <c r="L905" s="31">
        <v>43800</v>
      </c>
      <c r="M905" s="28">
        <v>12</v>
      </c>
      <c r="N905" s="32" t="s">
        <v>176</v>
      </c>
      <c r="O905" s="28" t="s">
        <v>204</v>
      </c>
      <c r="P905" s="28" t="s">
        <v>2533</v>
      </c>
      <c r="Q905" s="28" t="s">
        <v>2518</v>
      </c>
      <c r="R905" s="28" t="s">
        <v>2511</v>
      </c>
    </row>
    <row r="906" spans="1:18" hidden="1">
      <c r="A906" s="28">
        <v>4</v>
      </c>
      <c r="B906" s="29" t="s">
        <v>306</v>
      </c>
      <c r="C906" s="29" t="s">
        <v>339</v>
      </c>
      <c r="D906" s="29" t="s">
        <v>340</v>
      </c>
      <c r="E906" s="29" t="s">
        <v>172</v>
      </c>
      <c r="F906" s="28" t="s">
        <v>2009</v>
      </c>
      <c r="G906" s="28" t="s">
        <v>2046</v>
      </c>
      <c r="H906" s="28" t="s">
        <v>384</v>
      </c>
      <c r="I906" s="28">
        <v>2</v>
      </c>
      <c r="J906" s="30">
        <v>8.5000000000000006E-2</v>
      </c>
      <c r="K906" s="28" t="s">
        <v>183</v>
      </c>
      <c r="L906" s="31">
        <v>43983</v>
      </c>
      <c r="M906" s="28">
        <v>6</v>
      </c>
      <c r="N906" s="32" t="s">
        <v>184</v>
      </c>
      <c r="O906" s="28" t="s">
        <v>204</v>
      </c>
      <c r="P906" s="28" t="s">
        <v>2534</v>
      </c>
      <c r="Q906" s="28" t="s">
        <v>2513</v>
      </c>
      <c r="R906" s="28" t="s">
        <v>2511</v>
      </c>
    </row>
    <row r="907" spans="1:18" hidden="1">
      <c r="A907" s="28">
        <v>4</v>
      </c>
      <c r="B907" s="29" t="s">
        <v>306</v>
      </c>
      <c r="C907" s="29" t="s">
        <v>339</v>
      </c>
      <c r="D907" s="29" t="s">
        <v>340</v>
      </c>
      <c r="E907" s="29" t="s">
        <v>172</v>
      </c>
      <c r="F907" s="28" t="s">
        <v>2009</v>
      </c>
      <c r="G907" s="28" t="s">
        <v>2046</v>
      </c>
      <c r="H907" s="28" t="s">
        <v>384</v>
      </c>
      <c r="I907" s="28">
        <v>2</v>
      </c>
      <c r="J907" s="30">
        <v>8.5000000000000006E-2</v>
      </c>
      <c r="K907" s="28" t="s">
        <v>643</v>
      </c>
      <c r="L907" s="31">
        <v>44013</v>
      </c>
      <c r="M907" s="28">
        <v>7</v>
      </c>
      <c r="N907" s="32" t="s">
        <v>184</v>
      </c>
      <c r="O907" s="28" t="s">
        <v>204</v>
      </c>
      <c r="P907" s="28" t="s">
        <v>2535</v>
      </c>
      <c r="Q907" s="28" t="s">
        <v>2536</v>
      </c>
      <c r="R907" s="28" t="s">
        <v>2511</v>
      </c>
    </row>
    <row r="908" spans="1:18" hidden="1">
      <c r="A908" s="28">
        <v>5</v>
      </c>
      <c r="B908" s="29" t="s">
        <v>349</v>
      </c>
      <c r="C908" s="29" t="s">
        <v>350</v>
      </c>
      <c r="D908" s="29" t="s">
        <v>714</v>
      </c>
      <c r="E908" s="29" t="s">
        <v>172</v>
      </c>
      <c r="F908" s="28" t="s">
        <v>2009</v>
      </c>
      <c r="G908" s="28" t="s">
        <v>2028</v>
      </c>
      <c r="H908" s="28" t="s">
        <v>174</v>
      </c>
      <c r="I908" s="28" t="s">
        <v>174</v>
      </c>
      <c r="J908" s="30" t="s">
        <v>174</v>
      </c>
      <c r="K908" s="28" t="s">
        <v>198</v>
      </c>
      <c r="L908" s="31">
        <v>42767</v>
      </c>
      <c r="M908" s="28">
        <v>2</v>
      </c>
      <c r="N908" s="32" t="s">
        <v>176</v>
      </c>
      <c r="O908" s="28" t="s">
        <v>2537</v>
      </c>
      <c r="P908" s="28" t="s">
        <v>2538</v>
      </c>
      <c r="Q908" s="28" t="s">
        <v>2539</v>
      </c>
      <c r="R908" s="28" t="s">
        <v>2540</v>
      </c>
    </row>
    <row r="909" spans="1:18" hidden="1">
      <c r="A909" s="28">
        <v>5</v>
      </c>
      <c r="B909" s="29" t="s">
        <v>349</v>
      </c>
      <c r="C909" s="29" t="s">
        <v>350</v>
      </c>
      <c r="D909" s="29" t="s">
        <v>716</v>
      </c>
      <c r="E909" s="29" t="s">
        <v>172</v>
      </c>
      <c r="F909" s="28" t="s">
        <v>2009</v>
      </c>
      <c r="G909" s="28" t="s">
        <v>2028</v>
      </c>
      <c r="H909" s="28" t="s">
        <v>174</v>
      </c>
      <c r="I909" s="28" t="s">
        <v>174</v>
      </c>
      <c r="J909" s="30" t="s">
        <v>174</v>
      </c>
      <c r="K909" s="28" t="s">
        <v>559</v>
      </c>
      <c r="L909" s="31">
        <v>43252</v>
      </c>
      <c r="M909" s="28">
        <v>6</v>
      </c>
      <c r="N909" s="32" t="s">
        <v>184</v>
      </c>
      <c r="O909" s="28" t="s">
        <v>2054</v>
      </c>
      <c r="P909" s="28" t="s">
        <v>2541</v>
      </c>
      <c r="Q909" s="28" t="s">
        <v>2542</v>
      </c>
      <c r="R909" s="28" t="s">
        <v>2543</v>
      </c>
    </row>
    <row r="910" spans="1:18" hidden="1">
      <c r="A910" s="28">
        <v>5</v>
      </c>
      <c r="B910" s="29" t="s">
        <v>349</v>
      </c>
      <c r="C910" s="29" t="s">
        <v>350</v>
      </c>
      <c r="D910" s="29" t="s">
        <v>716</v>
      </c>
      <c r="E910" s="29" t="s">
        <v>172</v>
      </c>
      <c r="F910" s="28" t="s">
        <v>2009</v>
      </c>
      <c r="G910" s="28" t="s">
        <v>2028</v>
      </c>
      <c r="H910" s="28" t="s">
        <v>174</v>
      </c>
      <c r="I910" s="28" t="s">
        <v>174</v>
      </c>
      <c r="J910" s="30" t="s">
        <v>174</v>
      </c>
      <c r="K910" s="28" t="s">
        <v>1136</v>
      </c>
      <c r="L910" s="31">
        <v>43497</v>
      </c>
      <c r="M910" s="28">
        <v>2</v>
      </c>
      <c r="N910" s="32" t="s">
        <v>176</v>
      </c>
      <c r="O910" s="28" t="s">
        <v>204</v>
      </c>
      <c r="P910" s="28" t="s">
        <v>2544</v>
      </c>
      <c r="Q910" s="28" t="s">
        <v>2545</v>
      </c>
      <c r="R910" s="28" t="s">
        <v>2546</v>
      </c>
    </row>
    <row r="911" spans="1:18" hidden="1">
      <c r="A911" s="28">
        <v>5</v>
      </c>
      <c r="B911" s="29" t="s">
        <v>349</v>
      </c>
      <c r="C911" s="29" t="s">
        <v>350</v>
      </c>
      <c r="D911" s="29" t="s">
        <v>716</v>
      </c>
      <c r="E911" s="29" t="s">
        <v>172</v>
      </c>
      <c r="F911" s="28" t="s">
        <v>2009</v>
      </c>
      <c r="G911" s="28" t="s">
        <v>2028</v>
      </c>
      <c r="H911" s="28" t="s">
        <v>174</v>
      </c>
      <c r="I911" s="28" t="s">
        <v>174</v>
      </c>
      <c r="J911" s="30" t="s">
        <v>174</v>
      </c>
      <c r="K911" s="28" t="s">
        <v>411</v>
      </c>
      <c r="L911" s="31">
        <v>43556</v>
      </c>
      <c r="M911" s="28">
        <v>4</v>
      </c>
      <c r="N911" s="32" t="s">
        <v>191</v>
      </c>
      <c r="O911" s="28" t="s">
        <v>204</v>
      </c>
      <c r="P911" s="28" t="s">
        <v>2547</v>
      </c>
      <c r="Q911" s="28" t="s">
        <v>2548</v>
      </c>
      <c r="R911" s="28" t="s">
        <v>2549</v>
      </c>
    </row>
    <row r="912" spans="1:18" hidden="1">
      <c r="A912" s="28">
        <v>5</v>
      </c>
      <c r="B912" s="29" t="s">
        <v>349</v>
      </c>
      <c r="C912" s="29" t="s">
        <v>350</v>
      </c>
      <c r="D912" s="29" t="s">
        <v>725</v>
      </c>
      <c r="E912" s="29" t="s">
        <v>172</v>
      </c>
      <c r="F912" s="28" t="s">
        <v>2009</v>
      </c>
      <c r="G912" s="28" t="s">
        <v>2028</v>
      </c>
      <c r="H912" s="28" t="s">
        <v>174</v>
      </c>
      <c r="I912" s="28" t="s">
        <v>174</v>
      </c>
      <c r="J912" s="30" t="s">
        <v>174</v>
      </c>
      <c r="K912" s="28" t="s">
        <v>391</v>
      </c>
      <c r="L912" s="31">
        <v>42370</v>
      </c>
      <c r="M912" s="28">
        <v>1</v>
      </c>
      <c r="N912" s="32" t="s">
        <v>176</v>
      </c>
      <c r="O912" s="28" t="s">
        <v>177</v>
      </c>
      <c r="P912" s="28" t="s">
        <v>2550</v>
      </c>
      <c r="Q912" s="28" t="s">
        <v>2551</v>
      </c>
      <c r="R912" s="28" t="s">
        <v>2552</v>
      </c>
    </row>
    <row r="913" spans="1:18" hidden="1">
      <c r="A913" s="28">
        <v>5</v>
      </c>
      <c r="B913" s="29" t="s">
        <v>349</v>
      </c>
      <c r="C913" s="29" t="s">
        <v>350</v>
      </c>
      <c r="D913" s="29" t="s">
        <v>351</v>
      </c>
      <c r="E913" s="29" t="s">
        <v>172</v>
      </c>
      <c r="F913" s="28" t="s">
        <v>2009</v>
      </c>
      <c r="G913" s="28" t="s">
        <v>2046</v>
      </c>
      <c r="H913" s="28" t="s">
        <v>384</v>
      </c>
      <c r="I913" s="28">
        <v>2</v>
      </c>
      <c r="J913" s="30">
        <v>8.5000000000000006E-2</v>
      </c>
      <c r="K913" s="28" t="s">
        <v>335</v>
      </c>
      <c r="L913" s="31">
        <v>42614</v>
      </c>
      <c r="M913" s="28">
        <v>9</v>
      </c>
      <c r="N913" s="32" t="s">
        <v>191</v>
      </c>
      <c r="O913" s="28" t="s">
        <v>204</v>
      </c>
      <c r="P913" s="28" t="s">
        <v>2553</v>
      </c>
      <c r="Q913" s="28" t="s">
        <v>2554</v>
      </c>
      <c r="R913" s="28" t="s">
        <v>2555</v>
      </c>
    </row>
    <row r="914" spans="1:18" hidden="1">
      <c r="A914" s="28">
        <v>5</v>
      </c>
      <c r="B914" s="29" t="s">
        <v>349</v>
      </c>
      <c r="C914" s="29" t="s">
        <v>350</v>
      </c>
      <c r="D914" s="29" t="s">
        <v>351</v>
      </c>
      <c r="E914" s="29" t="s">
        <v>172</v>
      </c>
      <c r="F914" s="28" t="s">
        <v>2009</v>
      </c>
      <c r="G914" s="28" t="s">
        <v>2013</v>
      </c>
      <c r="H914" s="28" t="s">
        <v>384</v>
      </c>
      <c r="I914" s="28">
        <v>2</v>
      </c>
      <c r="J914" s="30">
        <v>8.5000000000000006E-2</v>
      </c>
      <c r="K914" s="28" t="s">
        <v>742</v>
      </c>
      <c r="L914" s="31">
        <v>42948</v>
      </c>
      <c r="M914" s="28">
        <v>8</v>
      </c>
      <c r="N914" s="32" t="s">
        <v>184</v>
      </c>
      <c r="O914" s="28" t="s">
        <v>177</v>
      </c>
      <c r="P914" s="28" t="s">
        <v>2556</v>
      </c>
      <c r="Q914" s="28" t="s">
        <v>2557</v>
      </c>
      <c r="R914" s="28" t="s">
        <v>2558</v>
      </c>
    </row>
    <row r="915" spans="1:18" hidden="1">
      <c r="A915" s="28">
        <v>5</v>
      </c>
      <c r="B915" s="29" t="s">
        <v>349</v>
      </c>
      <c r="C915" s="29" t="s">
        <v>355</v>
      </c>
      <c r="D915" s="29" t="s">
        <v>356</v>
      </c>
      <c r="E915" s="29" t="s">
        <v>172</v>
      </c>
      <c r="F915" s="28" t="s">
        <v>2009</v>
      </c>
      <c r="G915" s="28" t="s">
        <v>2028</v>
      </c>
      <c r="H915" s="28" t="s">
        <v>174</v>
      </c>
      <c r="I915" s="28" t="s">
        <v>174</v>
      </c>
      <c r="J915" s="30" t="s">
        <v>174</v>
      </c>
      <c r="K915" s="28" t="s">
        <v>243</v>
      </c>
      <c r="L915" s="31">
        <v>42461</v>
      </c>
      <c r="M915" s="28">
        <v>4</v>
      </c>
      <c r="N915" s="32" t="s">
        <v>191</v>
      </c>
      <c r="O915" s="28" t="s">
        <v>204</v>
      </c>
      <c r="P915" s="28" t="s">
        <v>2559</v>
      </c>
      <c r="Q915" s="28" t="s">
        <v>2560</v>
      </c>
      <c r="R915" s="28" t="s">
        <v>2561</v>
      </c>
    </row>
    <row r="916" spans="1:18" hidden="1">
      <c r="A916" s="28">
        <v>5</v>
      </c>
      <c r="B916" s="29" t="s">
        <v>349</v>
      </c>
      <c r="C916" s="29" t="s">
        <v>355</v>
      </c>
      <c r="D916" s="29" t="s">
        <v>356</v>
      </c>
      <c r="E916" s="29" t="s">
        <v>172</v>
      </c>
      <c r="F916" s="28" t="s">
        <v>2009</v>
      </c>
      <c r="G916" s="28" t="s">
        <v>2028</v>
      </c>
      <c r="H916" s="28" t="s">
        <v>174</v>
      </c>
      <c r="I916" s="28" t="s">
        <v>174</v>
      </c>
      <c r="J916" s="30" t="s">
        <v>174</v>
      </c>
      <c r="K916" s="28" t="s">
        <v>293</v>
      </c>
      <c r="L916" s="31">
        <v>43374</v>
      </c>
      <c r="M916" s="28">
        <v>10</v>
      </c>
      <c r="N916" s="32" t="s">
        <v>191</v>
      </c>
      <c r="O916" s="28" t="s">
        <v>185</v>
      </c>
      <c r="P916" s="28" t="s">
        <v>2562</v>
      </c>
      <c r="Q916" s="28" t="s">
        <v>2563</v>
      </c>
      <c r="R916" s="28" t="s">
        <v>2564</v>
      </c>
    </row>
    <row r="917" spans="1:18" hidden="1">
      <c r="A917" s="28">
        <v>5</v>
      </c>
      <c r="B917" s="29" t="s">
        <v>349</v>
      </c>
      <c r="C917" s="29" t="s">
        <v>355</v>
      </c>
      <c r="D917" s="29" t="s">
        <v>356</v>
      </c>
      <c r="E917" s="29" t="s">
        <v>172</v>
      </c>
      <c r="F917" s="28" t="s">
        <v>2009</v>
      </c>
      <c r="G917" s="28" t="s">
        <v>2028</v>
      </c>
      <c r="H917" s="28" t="s">
        <v>174</v>
      </c>
      <c r="I917" s="28" t="s">
        <v>174</v>
      </c>
      <c r="J917" s="30" t="s">
        <v>174</v>
      </c>
      <c r="K917" s="28" t="s">
        <v>397</v>
      </c>
      <c r="L917" s="31">
        <v>43739</v>
      </c>
      <c r="M917" s="28">
        <v>10</v>
      </c>
      <c r="N917" s="32" t="s">
        <v>191</v>
      </c>
      <c r="O917" s="28" t="s">
        <v>1060</v>
      </c>
      <c r="P917" s="28" t="s">
        <v>2565</v>
      </c>
      <c r="Q917" s="28" t="s">
        <v>2566</v>
      </c>
      <c r="R917" s="28" t="s">
        <v>2567</v>
      </c>
    </row>
    <row r="918" spans="1:18" hidden="1">
      <c r="A918" s="28">
        <v>5</v>
      </c>
      <c r="B918" s="29" t="s">
        <v>349</v>
      </c>
      <c r="C918" s="29" t="s">
        <v>355</v>
      </c>
      <c r="D918" s="29" t="s">
        <v>360</v>
      </c>
      <c r="E918" s="29" t="s">
        <v>172</v>
      </c>
      <c r="F918" s="28" t="s">
        <v>2009</v>
      </c>
      <c r="G918" s="28" t="s">
        <v>2028</v>
      </c>
      <c r="H918" s="28" t="s">
        <v>174</v>
      </c>
      <c r="I918" s="28" t="s">
        <v>174</v>
      </c>
      <c r="J918" s="30" t="s">
        <v>174</v>
      </c>
      <c r="K918" s="28" t="s">
        <v>243</v>
      </c>
      <c r="L918" s="31">
        <v>42461</v>
      </c>
      <c r="M918" s="28">
        <v>4</v>
      </c>
      <c r="N918" s="32" t="s">
        <v>191</v>
      </c>
      <c r="O918" s="28" t="s">
        <v>204</v>
      </c>
      <c r="P918" s="28" t="s">
        <v>2568</v>
      </c>
      <c r="Q918" s="28" t="s">
        <v>2569</v>
      </c>
      <c r="R918" s="28" t="s">
        <v>2570</v>
      </c>
    </row>
    <row r="919" spans="1:18" hidden="1">
      <c r="A919" s="28">
        <v>5</v>
      </c>
      <c r="B919" s="29" t="s">
        <v>349</v>
      </c>
      <c r="C919" s="29" t="s">
        <v>355</v>
      </c>
      <c r="D919" s="29" t="s">
        <v>360</v>
      </c>
      <c r="E919" s="29" t="s">
        <v>172</v>
      </c>
      <c r="F919" s="28" t="s">
        <v>2009</v>
      </c>
      <c r="G919" s="28" t="s">
        <v>2028</v>
      </c>
      <c r="H919" s="28" t="s">
        <v>174</v>
      </c>
      <c r="I919" s="28" t="s">
        <v>174</v>
      </c>
      <c r="J919" s="30" t="s">
        <v>174</v>
      </c>
      <c r="K919" s="28" t="s">
        <v>587</v>
      </c>
      <c r="L919" s="31">
        <v>42736</v>
      </c>
      <c r="M919" s="28">
        <v>1</v>
      </c>
      <c r="N919" s="32" t="s">
        <v>176</v>
      </c>
      <c r="O919" s="28" t="s">
        <v>185</v>
      </c>
      <c r="P919" s="28" t="s">
        <v>2571</v>
      </c>
      <c r="Q919" s="28" t="s">
        <v>2572</v>
      </c>
      <c r="R919" s="28" t="s">
        <v>2570</v>
      </c>
    </row>
    <row r="920" spans="1:18" hidden="1">
      <c r="A920" s="28">
        <v>5</v>
      </c>
      <c r="B920" s="29" t="s">
        <v>349</v>
      </c>
      <c r="C920" s="29" t="s">
        <v>355</v>
      </c>
      <c r="D920" s="29" t="s">
        <v>360</v>
      </c>
      <c r="E920" s="29" t="s">
        <v>172</v>
      </c>
      <c r="F920" s="28" t="s">
        <v>2009</v>
      </c>
      <c r="G920" s="28" t="s">
        <v>2046</v>
      </c>
      <c r="H920" s="28" t="s">
        <v>384</v>
      </c>
      <c r="I920" s="28">
        <v>2</v>
      </c>
      <c r="J920" s="30">
        <v>8.5000000000000006E-2</v>
      </c>
      <c r="K920" s="28" t="s">
        <v>769</v>
      </c>
      <c r="L920" s="31">
        <v>42826</v>
      </c>
      <c r="M920" s="28">
        <v>4</v>
      </c>
      <c r="N920" s="32" t="s">
        <v>191</v>
      </c>
      <c r="O920" s="28" t="s">
        <v>953</v>
      </c>
      <c r="P920" s="28" t="s">
        <v>2573</v>
      </c>
      <c r="Q920" s="28" t="s">
        <v>2574</v>
      </c>
      <c r="R920" s="28" t="s">
        <v>2575</v>
      </c>
    </row>
    <row r="921" spans="1:18" hidden="1">
      <c r="A921" s="28">
        <v>5</v>
      </c>
      <c r="B921" s="29" t="s">
        <v>349</v>
      </c>
      <c r="C921" s="29" t="s">
        <v>355</v>
      </c>
      <c r="D921" s="29" t="s">
        <v>360</v>
      </c>
      <c r="E921" s="29" t="s">
        <v>172</v>
      </c>
      <c r="F921" s="28" t="s">
        <v>2009</v>
      </c>
      <c r="G921" s="28" t="s">
        <v>2028</v>
      </c>
      <c r="H921" s="28" t="s">
        <v>174</v>
      </c>
      <c r="I921" s="28" t="s">
        <v>174</v>
      </c>
      <c r="J921" s="30" t="s">
        <v>174</v>
      </c>
      <c r="K921" s="28" t="s">
        <v>742</v>
      </c>
      <c r="L921" s="31">
        <v>42948</v>
      </c>
      <c r="M921" s="28">
        <v>8</v>
      </c>
      <c r="N921" s="32" t="s">
        <v>184</v>
      </c>
      <c r="O921" s="28" t="s">
        <v>204</v>
      </c>
      <c r="P921" s="28" t="s">
        <v>2576</v>
      </c>
      <c r="Q921" s="28" t="s">
        <v>2577</v>
      </c>
      <c r="R921" s="28" t="s">
        <v>2578</v>
      </c>
    </row>
    <row r="922" spans="1:18" hidden="1">
      <c r="A922" s="28">
        <v>5</v>
      </c>
      <c r="B922" s="29" t="s">
        <v>349</v>
      </c>
      <c r="C922" s="29" t="s">
        <v>355</v>
      </c>
      <c r="D922" s="29" t="s">
        <v>360</v>
      </c>
      <c r="E922" s="29" t="s">
        <v>172</v>
      </c>
      <c r="F922" s="28" t="s">
        <v>2009</v>
      </c>
      <c r="G922" s="28" t="s">
        <v>2013</v>
      </c>
      <c r="H922" s="28" t="s">
        <v>384</v>
      </c>
      <c r="I922" s="28">
        <v>2</v>
      </c>
      <c r="J922" s="30">
        <v>8.5000000000000006E-2</v>
      </c>
      <c r="K922" s="28" t="s">
        <v>742</v>
      </c>
      <c r="L922" s="31">
        <v>42948</v>
      </c>
      <c r="M922" s="28">
        <v>8</v>
      </c>
      <c r="N922" s="32" t="s">
        <v>184</v>
      </c>
      <c r="O922" s="28" t="s">
        <v>204</v>
      </c>
      <c r="P922" s="28" t="s">
        <v>2579</v>
      </c>
      <c r="Q922" s="28" t="s">
        <v>721</v>
      </c>
      <c r="R922" s="28" t="s">
        <v>2580</v>
      </c>
    </row>
    <row r="923" spans="1:18" hidden="1">
      <c r="A923" s="28">
        <v>5</v>
      </c>
      <c r="B923" s="29" t="s">
        <v>349</v>
      </c>
      <c r="C923" s="29" t="s">
        <v>355</v>
      </c>
      <c r="D923" s="29" t="s">
        <v>360</v>
      </c>
      <c r="E923" s="29" t="s">
        <v>172</v>
      </c>
      <c r="F923" s="28" t="s">
        <v>2009</v>
      </c>
      <c r="G923" s="28" t="s">
        <v>2046</v>
      </c>
      <c r="H923" s="28" t="s">
        <v>384</v>
      </c>
      <c r="I923" s="28">
        <v>2</v>
      </c>
      <c r="J923" s="30">
        <v>8.5000000000000006E-2</v>
      </c>
      <c r="K923" s="28" t="s">
        <v>475</v>
      </c>
      <c r="L923" s="31">
        <v>43191</v>
      </c>
      <c r="M923" s="28">
        <v>4</v>
      </c>
      <c r="N923" s="32" t="s">
        <v>191</v>
      </c>
      <c r="O923" s="28" t="s">
        <v>794</v>
      </c>
      <c r="P923" s="28" t="s">
        <v>2581</v>
      </c>
      <c r="Q923" s="28" t="s">
        <v>2582</v>
      </c>
      <c r="R923" s="28" t="s">
        <v>2583</v>
      </c>
    </row>
    <row r="924" spans="1:18" hidden="1">
      <c r="A924" s="28">
        <v>5</v>
      </c>
      <c r="B924" s="29" t="s">
        <v>349</v>
      </c>
      <c r="C924" s="29" t="s">
        <v>355</v>
      </c>
      <c r="D924" s="29" t="s">
        <v>360</v>
      </c>
      <c r="E924" s="29" t="s">
        <v>172</v>
      </c>
      <c r="F924" s="28" t="s">
        <v>2009</v>
      </c>
      <c r="G924" s="28" t="s">
        <v>2028</v>
      </c>
      <c r="H924" s="28" t="s">
        <v>174</v>
      </c>
      <c r="I924" s="28" t="s">
        <v>174</v>
      </c>
      <c r="J924" s="30" t="s">
        <v>174</v>
      </c>
      <c r="K924" s="28" t="s">
        <v>559</v>
      </c>
      <c r="L924" s="31">
        <v>43252</v>
      </c>
      <c r="M924" s="28">
        <v>6</v>
      </c>
      <c r="N924" s="32" t="s">
        <v>184</v>
      </c>
      <c r="O924" s="28" t="s">
        <v>204</v>
      </c>
      <c r="P924" s="28" t="s">
        <v>2584</v>
      </c>
      <c r="Q924" s="28" t="s">
        <v>2585</v>
      </c>
      <c r="R924" s="28" t="s">
        <v>2570</v>
      </c>
    </row>
    <row r="925" spans="1:18" hidden="1">
      <c r="A925" s="28">
        <v>5</v>
      </c>
      <c r="B925" s="29" t="s">
        <v>349</v>
      </c>
      <c r="C925" s="29" t="s">
        <v>355</v>
      </c>
      <c r="D925" s="29" t="s">
        <v>360</v>
      </c>
      <c r="E925" s="29" t="s">
        <v>172</v>
      </c>
      <c r="F925" s="28" t="s">
        <v>2009</v>
      </c>
      <c r="G925" s="28" t="s">
        <v>2028</v>
      </c>
      <c r="H925" s="28" t="s">
        <v>174</v>
      </c>
      <c r="I925" s="28" t="s">
        <v>174</v>
      </c>
      <c r="J925" s="30" t="s">
        <v>174</v>
      </c>
      <c r="K925" s="28" t="s">
        <v>522</v>
      </c>
      <c r="L925" s="31">
        <v>44256</v>
      </c>
      <c r="M925" s="28">
        <v>3</v>
      </c>
      <c r="N925" s="32" t="s">
        <v>191</v>
      </c>
      <c r="O925" s="28" t="s">
        <v>794</v>
      </c>
      <c r="P925" s="28" t="s">
        <v>2586</v>
      </c>
      <c r="Q925" s="28" t="s">
        <v>2587</v>
      </c>
      <c r="R925" s="28" t="s">
        <v>2588</v>
      </c>
    </row>
    <row r="926" spans="1:18" hidden="1">
      <c r="A926" s="28">
        <v>5</v>
      </c>
      <c r="B926" s="29" t="s">
        <v>349</v>
      </c>
      <c r="C926" s="29" t="s">
        <v>355</v>
      </c>
      <c r="D926" s="29" t="s">
        <v>360</v>
      </c>
      <c r="E926" s="29" t="s">
        <v>172</v>
      </c>
      <c r="F926" s="28" t="s">
        <v>2009</v>
      </c>
      <c r="G926" s="28" t="s">
        <v>2028</v>
      </c>
      <c r="H926" s="28" t="s">
        <v>174</v>
      </c>
      <c r="I926" s="28" t="s">
        <v>174</v>
      </c>
      <c r="J926" s="30" t="s">
        <v>174</v>
      </c>
      <c r="K926" s="28" t="s">
        <v>632</v>
      </c>
      <c r="L926" s="31">
        <v>44378</v>
      </c>
      <c r="M926" s="28">
        <v>7</v>
      </c>
      <c r="N926" s="32" t="s">
        <v>184</v>
      </c>
      <c r="O926" s="28" t="s">
        <v>177</v>
      </c>
      <c r="P926" s="28" t="s">
        <v>2589</v>
      </c>
      <c r="Q926" s="28" t="s">
        <v>2590</v>
      </c>
      <c r="R926" s="28" t="s">
        <v>2591</v>
      </c>
    </row>
    <row r="927" spans="1:18" hidden="1">
      <c r="A927" s="28">
        <v>5</v>
      </c>
      <c r="B927" s="29" t="s">
        <v>349</v>
      </c>
      <c r="C927" s="29" t="s">
        <v>761</v>
      </c>
      <c r="D927" s="29" t="s">
        <v>762</v>
      </c>
      <c r="E927" s="29" t="s">
        <v>172</v>
      </c>
      <c r="F927" s="28" t="s">
        <v>2009</v>
      </c>
      <c r="G927" s="28" t="s">
        <v>2028</v>
      </c>
      <c r="H927" s="28" t="s">
        <v>174</v>
      </c>
      <c r="I927" s="28" t="s">
        <v>174</v>
      </c>
      <c r="J927" s="30" t="s">
        <v>174</v>
      </c>
      <c r="K927" s="28" t="s">
        <v>278</v>
      </c>
      <c r="L927" s="31">
        <v>43525</v>
      </c>
      <c r="M927" s="28">
        <v>3</v>
      </c>
      <c r="N927" s="32" t="s">
        <v>191</v>
      </c>
      <c r="O927" s="28" t="s">
        <v>204</v>
      </c>
      <c r="P927" s="28" t="s">
        <v>2592</v>
      </c>
      <c r="Q927" s="28" t="s">
        <v>2593</v>
      </c>
      <c r="R927" s="28" t="s">
        <v>2594</v>
      </c>
    </row>
    <row r="928" spans="1:18" hidden="1">
      <c r="A928" s="28">
        <v>6</v>
      </c>
      <c r="B928" s="29" t="s">
        <v>365</v>
      </c>
      <c r="C928" s="29" t="s">
        <v>366</v>
      </c>
      <c r="D928" s="29" t="s">
        <v>1887</v>
      </c>
      <c r="E928" s="29" t="s">
        <v>172</v>
      </c>
      <c r="F928" s="28" t="s">
        <v>2009</v>
      </c>
      <c r="G928" s="28" t="s">
        <v>2013</v>
      </c>
      <c r="H928" s="28" t="s">
        <v>384</v>
      </c>
      <c r="I928" s="28">
        <v>2</v>
      </c>
      <c r="J928" s="30">
        <v>8.5000000000000006E-2</v>
      </c>
      <c r="K928" s="28" t="s">
        <v>489</v>
      </c>
      <c r="L928" s="31">
        <v>42491</v>
      </c>
      <c r="M928" s="28">
        <v>5</v>
      </c>
      <c r="N928" s="32" t="s">
        <v>191</v>
      </c>
      <c r="O928" s="28" t="s">
        <v>794</v>
      </c>
      <c r="P928" s="28" t="s">
        <v>2595</v>
      </c>
      <c r="Q928" s="28" t="s">
        <v>2596</v>
      </c>
      <c r="R928" s="28" t="s">
        <v>2597</v>
      </c>
    </row>
    <row r="929" spans="1:18" hidden="1">
      <c r="A929" s="28">
        <v>6</v>
      </c>
      <c r="B929" s="29" t="s">
        <v>365</v>
      </c>
      <c r="C929" s="29" t="s">
        <v>366</v>
      </c>
      <c r="D929" s="29" t="s">
        <v>1887</v>
      </c>
      <c r="E929" s="29" t="s">
        <v>172</v>
      </c>
      <c r="F929" s="28" t="s">
        <v>2009</v>
      </c>
      <c r="G929" s="28" t="s">
        <v>2028</v>
      </c>
      <c r="H929" s="28" t="s">
        <v>174</v>
      </c>
      <c r="I929" s="28" t="s">
        <v>174</v>
      </c>
      <c r="J929" s="30" t="s">
        <v>174</v>
      </c>
      <c r="K929" s="28" t="s">
        <v>424</v>
      </c>
      <c r="L929" s="31">
        <v>43678</v>
      </c>
      <c r="M929" s="28">
        <v>8</v>
      </c>
      <c r="N929" s="32" t="s">
        <v>184</v>
      </c>
      <c r="O929" s="28" t="s">
        <v>794</v>
      </c>
      <c r="P929" s="28" t="s">
        <v>2598</v>
      </c>
      <c r="Q929" s="28" t="s">
        <v>2599</v>
      </c>
      <c r="R929" s="28" t="s">
        <v>2600</v>
      </c>
    </row>
    <row r="930" spans="1:18" hidden="1">
      <c r="A930" s="28">
        <v>8</v>
      </c>
      <c r="B930" s="29" t="s">
        <v>371</v>
      </c>
      <c r="C930" s="29" t="s">
        <v>787</v>
      </c>
      <c r="D930" s="29" t="s">
        <v>788</v>
      </c>
      <c r="E930" s="29" t="s">
        <v>374</v>
      </c>
      <c r="F930" s="28" t="s">
        <v>2009</v>
      </c>
      <c r="G930" s="28" t="s">
        <v>2035</v>
      </c>
      <c r="H930" s="28" t="s">
        <v>174</v>
      </c>
      <c r="I930" s="28" t="s">
        <v>174</v>
      </c>
      <c r="J930" s="30" t="s">
        <v>174</v>
      </c>
      <c r="K930" s="28" t="s">
        <v>208</v>
      </c>
      <c r="L930" s="31">
        <v>43101</v>
      </c>
      <c r="M930" s="28">
        <v>1</v>
      </c>
      <c r="N930" s="32" t="s">
        <v>176</v>
      </c>
      <c r="O930" s="28" t="s">
        <v>185</v>
      </c>
      <c r="P930" s="28" t="s">
        <v>2601</v>
      </c>
      <c r="Q930" s="28" t="s">
        <v>2602</v>
      </c>
      <c r="R930" s="28" t="s">
        <v>2603</v>
      </c>
    </row>
    <row r="931" spans="1:18" hidden="1">
      <c r="A931" s="28">
        <v>9</v>
      </c>
      <c r="B931" s="29" t="s">
        <v>1992</v>
      </c>
      <c r="C931" s="29" t="s">
        <v>1993</v>
      </c>
      <c r="D931" s="29" t="s">
        <v>1994</v>
      </c>
      <c r="E931" s="29" t="s">
        <v>374</v>
      </c>
      <c r="F931" s="28" t="s">
        <v>2009</v>
      </c>
      <c r="G931" s="28" t="s">
        <v>2028</v>
      </c>
      <c r="H931" s="28" t="s">
        <v>174</v>
      </c>
      <c r="I931" s="28" t="s">
        <v>174</v>
      </c>
      <c r="J931" s="30" t="s">
        <v>174</v>
      </c>
      <c r="K931" s="28" t="s">
        <v>712</v>
      </c>
      <c r="L931" s="31">
        <v>44470</v>
      </c>
      <c r="M931" s="28">
        <v>10</v>
      </c>
      <c r="N931" s="32" t="s">
        <v>191</v>
      </c>
      <c r="O931" s="28" t="s">
        <v>177</v>
      </c>
      <c r="P931" s="28" t="s">
        <v>2604</v>
      </c>
      <c r="Q931" s="28" t="s">
        <v>2605</v>
      </c>
      <c r="R931" s="28" t="s">
        <v>2606</v>
      </c>
    </row>
    <row r="932" spans="1:18" hidden="1">
      <c r="A932" s="28">
        <v>9</v>
      </c>
      <c r="B932" s="29" t="s">
        <v>1992</v>
      </c>
      <c r="C932" s="29" t="s">
        <v>2607</v>
      </c>
      <c r="D932" s="29" t="s">
        <v>2608</v>
      </c>
      <c r="E932" s="29" t="s">
        <v>374</v>
      </c>
      <c r="F932" s="28" t="s">
        <v>2009</v>
      </c>
      <c r="G932" s="28" t="s">
        <v>2035</v>
      </c>
      <c r="H932" s="28" t="s">
        <v>174</v>
      </c>
      <c r="I932" s="28" t="s">
        <v>174</v>
      </c>
      <c r="J932" s="30" t="s">
        <v>174</v>
      </c>
      <c r="K932" s="28" t="s">
        <v>464</v>
      </c>
      <c r="L932" s="31">
        <v>42887</v>
      </c>
      <c r="M932" s="28">
        <v>6</v>
      </c>
      <c r="N932" s="32" t="s">
        <v>184</v>
      </c>
      <c r="O932" s="28" t="s">
        <v>185</v>
      </c>
      <c r="P932" s="28" t="s">
        <v>2609</v>
      </c>
      <c r="Q932" s="28" t="s">
        <v>2610</v>
      </c>
      <c r="R932" s="28" t="s">
        <v>2611</v>
      </c>
    </row>
    <row r="933" spans="1:18" hidden="1">
      <c r="A933" s="28">
        <v>9</v>
      </c>
      <c r="B933" s="29" t="s">
        <v>1992</v>
      </c>
      <c r="C933" s="29" t="s">
        <v>2612</v>
      </c>
      <c r="D933" s="29" t="s">
        <v>2613</v>
      </c>
      <c r="E933" s="29" t="s">
        <v>374</v>
      </c>
      <c r="F933" s="28" t="s">
        <v>2009</v>
      </c>
      <c r="G933" s="28" t="s">
        <v>2013</v>
      </c>
      <c r="H933" s="28" t="s">
        <v>384</v>
      </c>
      <c r="I933" s="28">
        <v>2</v>
      </c>
      <c r="J933" s="30">
        <v>8.5000000000000006E-2</v>
      </c>
      <c r="K933" s="28" t="s">
        <v>401</v>
      </c>
      <c r="L933" s="31">
        <v>42705</v>
      </c>
      <c r="M933" s="28">
        <v>12</v>
      </c>
      <c r="N933" s="32" t="s">
        <v>176</v>
      </c>
      <c r="O933" s="28" t="s">
        <v>177</v>
      </c>
      <c r="P933" s="28" t="s">
        <v>2614</v>
      </c>
      <c r="Q933" s="28" t="s">
        <v>2615</v>
      </c>
      <c r="R933" s="28" t="s">
        <v>2616</v>
      </c>
    </row>
    <row r="934" spans="1:18" hidden="1">
      <c r="A934" s="28">
        <v>12</v>
      </c>
      <c r="B934" s="29" t="s">
        <v>195</v>
      </c>
      <c r="C934" s="29" t="s">
        <v>230</v>
      </c>
      <c r="D934" s="29" t="s">
        <v>231</v>
      </c>
      <c r="E934" s="29" t="s">
        <v>172</v>
      </c>
      <c r="F934" s="28" t="s">
        <v>2617</v>
      </c>
      <c r="G934" s="28" t="s">
        <v>2617</v>
      </c>
      <c r="H934" s="28" t="s">
        <v>174</v>
      </c>
      <c r="I934" s="28" t="s">
        <v>174</v>
      </c>
      <c r="J934" s="30" t="s">
        <v>174</v>
      </c>
      <c r="K934" s="28" t="s">
        <v>460</v>
      </c>
      <c r="L934" s="31">
        <v>42675</v>
      </c>
      <c r="M934" s="28">
        <v>11</v>
      </c>
      <c r="N934" s="32" t="s">
        <v>191</v>
      </c>
      <c r="O934" s="28" t="s">
        <v>204</v>
      </c>
      <c r="P934" s="28" t="s">
        <v>2618</v>
      </c>
      <c r="Q934" s="28" t="s">
        <v>2619</v>
      </c>
      <c r="R934" s="28" t="s">
        <v>2620</v>
      </c>
    </row>
    <row r="935" spans="1:18" hidden="1">
      <c r="A935" s="28">
        <v>12</v>
      </c>
      <c r="B935" s="29" t="s">
        <v>195</v>
      </c>
      <c r="C935" s="29" t="s">
        <v>230</v>
      </c>
      <c r="D935" s="29" t="s">
        <v>231</v>
      </c>
      <c r="E935" s="29" t="s">
        <v>172</v>
      </c>
      <c r="F935" s="28" t="s">
        <v>2617</v>
      </c>
      <c r="G935" s="28" t="s">
        <v>2617</v>
      </c>
      <c r="H935" s="28" t="s">
        <v>174</v>
      </c>
      <c r="I935" s="28" t="s">
        <v>174</v>
      </c>
      <c r="J935" s="30" t="s">
        <v>174</v>
      </c>
      <c r="K935" s="28" t="s">
        <v>683</v>
      </c>
      <c r="L935" s="31">
        <v>43831</v>
      </c>
      <c r="M935" s="28">
        <v>1</v>
      </c>
      <c r="N935" s="32" t="s">
        <v>176</v>
      </c>
      <c r="O935" s="28" t="s">
        <v>1060</v>
      </c>
      <c r="P935" s="28" t="s">
        <v>2621</v>
      </c>
      <c r="Q935" s="28" t="s">
        <v>2622</v>
      </c>
      <c r="R935" s="28" t="s">
        <v>2623</v>
      </c>
    </row>
    <row r="936" spans="1:18" hidden="1">
      <c r="A936" s="28">
        <v>2</v>
      </c>
      <c r="B936" s="29" t="s">
        <v>240</v>
      </c>
      <c r="C936" s="29" t="s">
        <v>241</v>
      </c>
      <c r="D936" s="29" t="s">
        <v>509</v>
      </c>
      <c r="E936" s="29" t="s">
        <v>172</v>
      </c>
      <c r="F936" s="28" t="s">
        <v>2617</v>
      </c>
      <c r="G936" s="28" t="s">
        <v>2617</v>
      </c>
      <c r="H936" s="28" t="s">
        <v>174</v>
      </c>
      <c r="I936" s="28" t="s">
        <v>174</v>
      </c>
      <c r="J936" s="30" t="s">
        <v>174</v>
      </c>
      <c r="K936" s="28" t="s">
        <v>391</v>
      </c>
      <c r="L936" s="31">
        <v>42370</v>
      </c>
      <c r="M936" s="28">
        <v>1</v>
      </c>
      <c r="N936" s="32" t="s">
        <v>176</v>
      </c>
      <c r="O936" s="28" t="s">
        <v>204</v>
      </c>
      <c r="P936" s="28" t="s">
        <v>2624</v>
      </c>
      <c r="Q936" s="28" t="s">
        <v>511</v>
      </c>
      <c r="R936" s="28" t="s">
        <v>512</v>
      </c>
    </row>
    <row r="937" spans="1:18" hidden="1">
      <c r="A937" s="28">
        <v>2</v>
      </c>
      <c r="B937" s="29" t="s">
        <v>240</v>
      </c>
      <c r="C937" s="29" t="s">
        <v>241</v>
      </c>
      <c r="D937" s="29" t="s">
        <v>252</v>
      </c>
      <c r="E937" s="29" t="s">
        <v>172</v>
      </c>
      <c r="F937" s="28" t="s">
        <v>2617</v>
      </c>
      <c r="G937" s="28" t="s">
        <v>2617</v>
      </c>
      <c r="H937" s="28" t="s">
        <v>174</v>
      </c>
      <c r="I937" s="28" t="s">
        <v>174</v>
      </c>
      <c r="J937" s="30" t="s">
        <v>174</v>
      </c>
      <c r="K937" s="28" t="s">
        <v>335</v>
      </c>
      <c r="L937" s="31">
        <v>42614</v>
      </c>
      <c r="M937" s="28">
        <v>9</v>
      </c>
      <c r="N937" s="32" t="s">
        <v>191</v>
      </c>
      <c r="O937" s="28" t="s">
        <v>185</v>
      </c>
      <c r="P937" s="28" t="s">
        <v>2625</v>
      </c>
      <c r="Q937" s="28" t="s">
        <v>2626</v>
      </c>
      <c r="R937" s="28" t="s">
        <v>2627</v>
      </c>
    </row>
    <row r="938" spans="1:18" hidden="1">
      <c r="A938" s="28">
        <v>2</v>
      </c>
      <c r="B938" s="29" t="s">
        <v>240</v>
      </c>
      <c r="C938" s="29" t="s">
        <v>241</v>
      </c>
      <c r="D938" s="29" t="s">
        <v>252</v>
      </c>
      <c r="E938" s="29" t="s">
        <v>172</v>
      </c>
      <c r="F938" s="28" t="s">
        <v>2617</v>
      </c>
      <c r="G938" s="28" t="s">
        <v>2617</v>
      </c>
      <c r="H938" s="28" t="s">
        <v>174</v>
      </c>
      <c r="I938" s="28" t="s">
        <v>174</v>
      </c>
      <c r="J938" s="30" t="s">
        <v>174</v>
      </c>
      <c r="K938" s="28" t="s">
        <v>271</v>
      </c>
      <c r="L938" s="31">
        <v>42856</v>
      </c>
      <c r="M938" s="28">
        <v>5</v>
      </c>
      <c r="N938" s="32" t="s">
        <v>191</v>
      </c>
      <c r="O938" s="28" t="s">
        <v>204</v>
      </c>
      <c r="P938" s="28" t="s">
        <v>2628</v>
      </c>
      <c r="Q938" s="28" t="s">
        <v>884</v>
      </c>
      <c r="R938" s="28" t="s">
        <v>885</v>
      </c>
    </row>
    <row r="939" spans="1:18" hidden="1">
      <c r="A939" s="28">
        <v>2</v>
      </c>
      <c r="B939" s="29" t="s">
        <v>240</v>
      </c>
      <c r="C939" s="29" t="s">
        <v>241</v>
      </c>
      <c r="D939" s="29" t="s">
        <v>252</v>
      </c>
      <c r="E939" s="29" t="s">
        <v>172</v>
      </c>
      <c r="F939" s="28" t="s">
        <v>2617</v>
      </c>
      <c r="G939" s="28" t="s">
        <v>2617</v>
      </c>
      <c r="H939" s="28" t="s">
        <v>174</v>
      </c>
      <c r="I939" s="28" t="s">
        <v>174</v>
      </c>
      <c r="J939" s="30" t="s">
        <v>174</v>
      </c>
      <c r="K939" s="28" t="s">
        <v>236</v>
      </c>
      <c r="L939" s="31">
        <v>43617</v>
      </c>
      <c r="M939" s="28">
        <v>6</v>
      </c>
      <c r="N939" s="32" t="s">
        <v>184</v>
      </c>
      <c r="O939" s="28" t="s">
        <v>204</v>
      </c>
      <c r="P939" s="28" t="s">
        <v>2629</v>
      </c>
      <c r="Q939" s="28" t="s">
        <v>2630</v>
      </c>
      <c r="R939" s="28" t="s">
        <v>2631</v>
      </c>
    </row>
    <row r="940" spans="1:18" hidden="1">
      <c r="A940" s="28">
        <v>2</v>
      </c>
      <c r="B940" s="29" t="s">
        <v>240</v>
      </c>
      <c r="C940" s="29" t="s">
        <v>261</v>
      </c>
      <c r="D940" s="29" t="s">
        <v>262</v>
      </c>
      <c r="E940" s="29" t="s">
        <v>172</v>
      </c>
      <c r="F940" s="28" t="s">
        <v>2617</v>
      </c>
      <c r="G940" s="28" t="s">
        <v>2617</v>
      </c>
      <c r="H940" s="28" t="s">
        <v>174</v>
      </c>
      <c r="I940" s="28" t="s">
        <v>174</v>
      </c>
      <c r="J940" s="30" t="s">
        <v>174</v>
      </c>
      <c r="K940" s="28" t="s">
        <v>267</v>
      </c>
      <c r="L940" s="31">
        <v>42583</v>
      </c>
      <c r="M940" s="28">
        <v>8</v>
      </c>
      <c r="N940" s="32" t="s">
        <v>184</v>
      </c>
      <c r="O940" s="28" t="s">
        <v>204</v>
      </c>
      <c r="P940" s="28" t="s">
        <v>2632</v>
      </c>
      <c r="Q940" s="28" t="s">
        <v>2633</v>
      </c>
      <c r="R940" s="28" t="s">
        <v>535</v>
      </c>
    </row>
    <row r="941" spans="1:18" hidden="1">
      <c r="A941" s="28">
        <v>2</v>
      </c>
      <c r="B941" s="29" t="s">
        <v>240</v>
      </c>
      <c r="C941" s="29" t="s">
        <v>276</v>
      </c>
      <c r="D941" s="29" t="s">
        <v>282</v>
      </c>
      <c r="E941" s="29" t="s">
        <v>172</v>
      </c>
      <c r="F941" s="28" t="s">
        <v>2617</v>
      </c>
      <c r="G941" s="28" t="s">
        <v>2617</v>
      </c>
      <c r="H941" s="28" t="s">
        <v>174</v>
      </c>
      <c r="I941" s="28" t="s">
        <v>174</v>
      </c>
      <c r="J941" s="30" t="s">
        <v>174</v>
      </c>
      <c r="K941" s="28" t="s">
        <v>813</v>
      </c>
      <c r="L941" s="31">
        <v>43009</v>
      </c>
      <c r="M941" s="28">
        <v>10</v>
      </c>
      <c r="N941" s="32" t="s">
        <v>191</v>
      </c>
      <c r="O941" s="28" t="s">
        <v>204</v>
      </c>
      <c r="P941" s="28" t="s">
        <v>2634</v>
      </c>
      <c r="Q941" s="28" t="s">
        <v>2635</v>
      </c>
      <c r="R941" s="28" t="s">
        <v>2636</v>
      </c>
    </row>
    <row r="942" spans="1:18">
      <c r="A942" s="28">
        <v>3</v>
      </c>
      <c r="B942" s="29" t="s">
        <v>286</v>
      </c>
      <c r="C942" s="29" t="s">
        <v>287</v>
      </c>
      <c r="D942" s="29" t="s">
        <v>288</v>
      </c>
      <c r="E942" s="29" t="s">
        <v>172</v>
      </c>
      <c r="F942" s="28" t="s">
        <v>2617</v>
      </c>
      <c r="G942" s="28" t="s">
        <v>2617</v>
      </c>
      <c r="H942" s="28" t="s">
        <v>174</v>
      </c>
      <c r="I942" s="28" t="s">
        <v>174</v>
      </c>
      <c r="J942" s="30" t="s">
        <v>174</v>
      </c>
      <c r="K942" s="28" t="s">
        <v>401</v>
      </c>
      <c r="L942" s="31">
        <v>42705</v>
      </c>
      <c r="M942" s="28">
        <v>12</v>
      </c>
      <c r="N942" s="32" t="s">
        <v>176</v>
      </c>
      <c r="O942" s="28" t="s">
        <v>204</v>
      </c>
      <c r="P942" s="28" t="s">
        <v>2637</v>
      </c>
      <c r="Q942" s="28" t="s">
        <v>2638</v>
      </c>
      <c r="R942" s="28" t="s">
        <v>2639</v>
      </c>
    </row>
    <row r="943" spans="1:18">
      <c r="A943" s="28">
        <v>3</v>
      </c>
      <c r="B943" s="29" t="s">
        <v>286</v>
      </c>
      <c r="C943" s="29" t="s">
        <v>287</v>
      </c>
      <c r="D943" s="29" t="s">
        <v>288</v>
      </c>
      <c r="E943" s="29" t="s">
        <v>172</v>
      </c>
      <c r="F943" s="28" t="s">
        <v>2617</v>
      </c>
      <c r="G943" s="28" t="s">
        <v>2617</v>
      </c>
      <c r="H943" s="28" t="s">
        <v>174</v>
      </c>
      <c r="I943" s="28" t="s">
        <v>174</v>
      </c>
      <c r="J943" s="30" t="s">
        <v>174</v>
      </c>
      <c r="K943" s="28" t="s">
        <v>813</v>
      </c>
      <c r="L943" s="31">
        <v>43009</v>
      </c>
      <c r="M943" s="28">
        <v>10</v>
      </c>
      <c r="N943" s="32" t="s">
        <v>191</v>
      </c>
      <c r="O943" s="28" t="s">
        <v>204</v>
      </c>
      <c r="P943" s="28" t="s">
        <v>2640</v>
      </c>
      <c r="Q943" s="28" t="s">
        <v>2638</v>
      </c>
      <c r="R943" s="28" t="s">
        <v>2639</v>
      </c>
    </row>
    <row r="944" spans="1:18">
      <c r="A944" s="28">
        <v>3</v>
      </c>
      <c r="B944" s="29" t="s">
        <v>286</v>
      </c>
      <c r="C944" s="29" t="s">
        <v>287</v>
      </c>
      <c r="D944" s="29" t="s">
        <v>288</v>
      </c>
      <c r="E944" s="29" t="s">
        <v>172</v>
      </c>
      <c r="F944" s="28" t="s">
        <v>2617</v>
      </c>
      <c r="G944" s="28" t="s">
        <v>2617</v>
      </c>
      <c r="H944" s="28" t="s">
        <v>174</v>
      </c>
      <c r="I944" s="28" t="s">
        <v>174</v>
      </c>
      <c r="J944" s="30" t="s">
        <v>174</v>
      </c>
      <c r="K944" s="28" t="s">
        <v>190</v>
      </c>
      <c r="L944" s="31">
        <v>44287</v>
      </c>
      <c r="M944" s="28">
        <v>4</v>
      </c>
      <c r="N944" s="32" t="s">
        <v>191</v>
      </c>
      <c r="O944" s="28" t="s">
        <v>204</v>
      </c>
      <c r="P944" s="28" t="s">
        <v>2641</v>
      </c>
      <c r="Q944" s="28" t="s">
        <v>2642</v>
      </c>
      <c r="R944" s="28" t="s">
        <v>2643</v>
      </c>
    </row>
    <row r="945" spans="1:18" hidden="1">
      <c r="A945" s="28">
        <v>4</v>
      </c>
      <c r="B945" s="29" t="s">
        <v>306</v>
      </c>
      <c r="C945" s="29" t="s">
        <v>307</v>
      </c>
      <c r="D945" s="29" t="s">
        <v>592</v>
      </c>
      <c r="E945" s="29" t="s">
        <v>172</v>
      </c>
      <c r="F945" s="28" t="s">
        <v>2617</v>
      </c>
      <c r="G945" s="28" t="s">
        <v>2617</v>
      </c>
      <c r="H945" s="28" t="s">
        <v>174</v>
      </c>
      <c r="I945" s="28" t="s">
        <v>174</v>
      </c>
      <c r="J945" s="30" t="s">
        <v>174</v>
      </c>
      <c r="K945" s="28" t="s">
        <v>257</v>
      </c>
      <c r="L945" s="31">
        <v>42552</v>
      </c>
      <c r="M945" s="28">
        <v>7</v>
      </c>
      <c r="N945" s="32" t="s">
        <v>184</v>
      </c>
      <c r="O945" s="28" t="s">
        <v>204</v>
      </c>
      <c r="P945" s="28" t="s">
        <v>2644</v>
      </c>
      <c r="Q945" s="28" t="s">
        <v>2645</v>
      </c>
      <c r="R945" s="28" t="s">
        <v>2646</v>
      </c>
    </row>
    <row r="946" spans="1:18" hidden="1">
      <c r="A946" s="28">
        <v>4</v>
      </c>
      <c r="B946" s="29" t="s">
        <v>306</v>
      </c>
      <c r="C946" s="29" t="s">
        <v>307</v>
      </c>
      <c r="D946" s="29" t="s">
        <v>592</v>
      </c>
      <c r="E946" s="29" t="s">
        <v>172</v>
      </c>
      <c r="F946" s="28" t="s">
        <v>2617</v>
      </c>
      <c r="G946" s="28" t="s">
        <v>2617</v>
      </c>
      <c r="H946" s="28" t="s">
        <v>174</v>
      </c>
      <c r="I946" s="28" t="s">
        <v>174</v>
      </c>
      <c r="J946" s="30" t="s">
        <v>174</v>
      </c>
      <c r="K946" s="28" t="s">
        <v>442</v>
      </c>
      <c r="L946" s="31">
        <v>43647</v>
      </c>
      <c r="M946" s="28">
        <v>7</v>
      </c>
      <c r="N946" s="32" t="s">
        <v>184</v>
      </c>
      <c r="O946" s="28" t="s">
        <v>204</v>
      </c>
      <c r="P946" s="28" t="s">
        <v>2647</v>
      </c>
      <c r="Q946" s="28" t="s">
        <v>2648</v>
      </c>
      <c r="R946" s="28" t="s">
        <v>2649</v>
      </c>
    </row>
    <row r="947" spans="1:18" hidden="1">
      <c r="A947" s="28">
        <v>4</v>
      </c>
      <c r="B947" s="29" t="s">
        <v>306</v>
      </c>
      <c r="C947" s="29" t="s">
        <v>307</v>
      </c>
      <c r="D947" s="29" t="s">
        <v>604</v>
      </c>
      <c r="E947" s="29" t="s">
        <v>172</v>
      </c>
      <c r="F947" s="28" t="s">
        <v>2617</v>
      </c>
      <c r="G947" s="28" t="s">
        <v>2617</v>
      </c>
      <c r="H947" s="28" t="s">
        <v>174</v>
      </c>
      <c r="I947" s="28" t="s">
        <v>174</v>
      </c>
      <c r="J947" s="30" t="s">
        <v>174</v>
      </c>
      <c r="K947" s="28" t="s">
        <v>1136</v>
      </c>
      <c r="L947" s="31">
        <v>43497</v>
      </c>
      <c r="M947" s="28">
        <v>2</v>
      </c>
      <c r="N947" s="32" t="s">
        <v>176</v>
      </c>
      <c r="O947" s="28" t="s">
        <v>204</v>
      </c>
      <c r="P947" s="28" t="s">
        <v>2650</v>
      </c>
      <c r="Q947" s="28" t="s">
        <v>2651</v>
      </c>
      <c r="R947" s="28" t="s">
        <v>2646</v>
      </c>
    </row>
    <row r="948" spans="1:18" hidden="1">
      <c r="A948" s="28">
        <v>4</v>
      </c>
      <c r="B948" s="29" t="s">
        <v>306</v>
      </c>
      <c r="C948" s="29" t="s">
        <v>307</v>
      </c>
      <c r="D948" s="29" t="s">
        <v>308</v>
      </c>
      <c r="E948" s="29" t="s">
        <v>172</v>
      </c>
      <c r="F948" s="28" t="s">
        <v>2617</v>
      </c>
      <c r="G948" s="28" t="s">
        <v>2617</v>
      </c>
      <c r="H948" s="28" t="s">
        <v>174</v>
      </c>
      <c r="I948" s="28" t="s">
        <v>174</v>
      </c>
      <c r="J948" s="30" t="s">
        <v>174</v>
      </c>
      <c r="K948" s="28" t="s">
        <v>263</v>
      </c>
      <c r="L948" s="31">
        <v>42430</v>
      </c>
      <c r="M948" s="28">
        <v>3</v>
      </c>
      <c r="N948" s="32" t="s">
        <v>191</v>
      </c>
      <c r="O948" s="28" t="s">
        <v>329</v>
      </c>
      <c r="P948" s="28" t="s">
        <v>2652</v>
      </c>
      <c r="Q948" s="28" t="s">
        <v>2653</v>
      </c>
      <c r="R948" s="28" t="s">
        <v>2654</v>
      </c>
    </row>
    <row r="949" spans="1:18" hidden="1">
      <c r="A949" s="28">
        <v>4</v>
      </c>
      <c r="B949" s="29" t="s">
        <v>306</v>
      </c>
      <c r="C949" s="29" t="s">
        <v>307</v>
      </c>
      <c r="D949" s="29" t="s">
        <v>308</v>
      </c>
      <c r="E949" s="29" t="s">
        <v>172</v>
      </c>
      <c r="F949" s="28" t="s">
        <v>2617</v>
      </c>
      <c r="G949" s="28" t="s">
        <v>2617</v>
      </c>
      <c r="H949" s="28" t="s">
        <v>174</v>
      </c>
      <c r="I949" s="28" t="s">
        <v>174</v>
      </c>
      <c r="J949" s="30" t="s">
        <v>174</v>
      </c>
      <c r="K949" s="28" t="s">
        <v>271</v>
      </c>
      <c r="L949" s="31">
        <v>42856</v>
      </c>
      <c r="M949" s="28">
        <v>5</v>
      </c>
      <c r="N949" s="32" t="s">
        <v>191</v>
      </c>
      <c r="O949" s="28" t="s">
        <v>204</v>
      </c>
      <c r="P949" s="28" t="s">
        <v>2655</v>
      </c>
      <c r="Q949" s="28" t="s">
        <v>2656</v>
      </c>
      <c r="R949" s="28" t="s">
        <v>2646</v>
      </c>
    </row>
    <row r="950" spans="1:18" hidden="1">
      <c r="A950" s="28">
        <v>4</v>
      </c>
      <c r="B950" s="29" t="s">
        <v>306</v>
      </c>
      <c r="C950" s="29" t="s">
        <v>307</v>
      </c>
      <c r="D950" s="29" t="s">
        <v>308</v>
      </c>
      <c r="E950" s="29" t="s">
        <v>172</v>
      </c>
      <c r="F950" s="28" t="s">
        <v>2617</v>
      </c>
      <c r="G950" s="28" t="s">
        <v>2617</v>
      </c>
      <c r="H950" s="28" t="s">
        <v>174</v>
      </c>
      <c r="I950" s="28" t="s">
        <v>174</v>
      </c>
      <c r="J950" s="30" t="s">
        <v>174</v>
      </c>
      <c r="K950" s="28" t="s">
        <v>730</v>
      </c>
      <c r="L950" s="31">
        <v>44166</v>
      </c>
      <c r="M950" s="28">
        <v>12</v>
      </c>
      <c r="N950" s="32" t="s">
        <v>176</v>
      </c>
      <c r="O950" s="28" t="s">
        <v>204</v>
      </c>
      <c r="P950" s="28" t="s">
        <v>2657</v>
      </c>
      <c r="Q950" s="28" t="s">
        <v>2656</v>
      </c>
      <c r="R950" s="28" t="s">
        <v>2646</v>
      </c>
    </row>
    <row r="951" spans="1:18" hidden="1">
      <c r="A951" s="28">
        <v>4</v>
      </c>
      <c r="B951" s="29" t="s">
        <v>306</v>
      </c>
      <c r="C951" s="29" t="s">
        <v>312</v>
      </c>
      <c r="D951" s="29" t="s">
        <v>313</v>
      </c>
      <c r="E951" s="29" t="s">
        <v>172</v>
      </c>
      <c r="F951" s="28" t="s">
        <v>2617</v>
      </c>
      <c r="G951" s="28" t="s">
        <v>2617</v>
      </c>
      <c r="H951" s="28" t="s">
        <v>174</v>
      </c>
      <c r="I951" s="28" t="s">
        <v>174</v>
      </c>
      <c r="J951" s="30" t="s">
        <v>174</v>
      </c>
      <c r="K951" s="28" t="s">
        <v>2658</v>
      </c>
      <c r="L951" s="31">
        <v>42979</v>
      </c>
      <c r="M951" s="28">
        <v>9</v>
      </c>
      <c r="N951" s="32" t="s">
        <v>191</v>
      </c>
      <c r="O951" s="28" t="s">
        <v>1060</v>
      </c>
      <c r="P951" s="28" t="s">
        <v>2659</v>
      </c>
      <c r="Q951" s="28" t="s">
        <v>2660</v>
      </c>
      <c r="R951" s="28" t="s">
        <v>2661</v>
      </c>
    </row>
    <row r="952" spans="1:18" hidden="1">
      <c r="A952" s="28">
        <v>4</v>
      </c>
      <c r="B952" s="29" t="s">
        <v>306</v>
      </c>
      <c r="C952" s="29" t="s">
        <v>1776</v>
      </c>
      <c r="D952" s="29" t="s">
        <v>1777</v>
      </c>
      <c r="E952" s="29" t="s">
        <v>172</v>
      </c>
      <c r="F952" s="28" t="s">
        <v>2617</v>
      </c>
      <c r="G952" s="28" t="s">
        <v>2617</v>
      </c>
      <c r="H952" s="28" t="s">
        <v>174</v>
      </c>
      <c r="I952" s="28" t="s">
        <v>174</v>
      </c>
      <c r="J952" s="30" t="s">
        <v>174</v>
      </c>
      <c r="K952" s="28" t="s">
        <v>391</v>
      </c>
      <c r="L952" s="31">
        <v>42370</v>
      </c>
      <c r="M952" s="28">
        <v>1</v>
      </c>
      <c r="N952" s="32" t="s">
        <v>176</v>
      </c>
      <c r="O952" s="28" t="s">
        <v>204</v>
      </c>
      <c r="P952" s="28" t="s">
        <v>2662</v>
      </c>
      <c r="Q952" s="28" t="s">
        <v>2663</v>
      </c>
      <c r="R952" s="28" t="s">
        <v>2646</v>
      </c>
    </row>
    <row r="953" spans="1:18" hidden="1">
      <c r="A953" s="28">
        <v>4</v>
      </c>
      <c r="B953" s="29" t="s">
        <v>306</v>
      </c>
      <c r="C953" s="29" t="s">
        <v>1776</v>
      </c>
      <c r="D953" s="29" t="s">
        <v>1777</v>
      </c>
      <c r="E953" s="29" t="s">
        <v>172</v>
      </c>
      <c r="F953" s="28" t="s">
        <v>2617</v>
      </c>
      <c r="G953" s="28" t="s">
        <v>2617</v>
      </c>
      <c r="H953" s="28" t="s">
        <v>174</v>
      </c>
      <c r="I953" s="28" t="s">
        <v>174</v>
      </c>
      <c r="J953" s="30" t="s">
        <v>174</v>
      </c>
      <c r="K953" s="28" t="s">
        <v>232</v>
      </c>
      <c r="L953" s="31">
        <v>42522</v>
      </c>
      <c r="M953" s="28">
        <v>6</v>
      </c>
      <c r="N953" s="32" t="s">
        <v>184</v>
      </c>
      <c r="O953" s="28" t="s">
        <v>204</v>
      </c>
      <c r="P953" s="28" t="s">
        <v>2664</v>
      </c>
      <c r="Q953" s="28" t="s">
        <v>2663</v>
      </c>
      <c r="R953" s="28" t="s">
        <v>2646</v>
      </c>
    </row>
    <row r="954" spans="1:18" hidden="1">
      <c r="A954" s="28">
        <v>4</v>
      </c>
      <c r="B954" s="29" t="s">
        <v>306</v>
      </c>
      <c r="C954" s="29" t="s">
        <v>1776</v>
      </c>
      <c r="D954" s="29" t="s">
        <v>1777</v>
      </c>
      <c r="E954" s="29" t="s">
        <v>172</v>
      </c>
      <c r="F954" s="28" t="s">
        <v>2617</v>
      </c>
      <c r="G954" s="28" t="s">
        <v>2617</v>
      </c>
      <c r="H954" s="28" t="s">
        <v>174</v>
      </c>
      <c r="I954" s="28" t="s">
        <v>174</v>
      </c>
      <c r="J954" s="30" t="s">
        <v>174</v>
      </c>
      <c r="K954" s="28" t="s">
        <v>293</v>
      </c>
      <c r="L954" s="31">
        <v>43374</v>
      </c>
      <c r="M954" s="28">
        <v>10</v>
      </c>
      <c r="N954" s="32" t="s">
        <v>191</v>
      </c>
      <c r="O954" s="28" t="s">
        <v>204</v>
      </c>
      <c r="P954" s="28" t="s">
        <v>2665</v>
      </c>
      <c r="Q954" s="28" t="s">
        <v>2663</v>
      </c>
      <c r="R954" s="28" t="s">
        <v>2646</v>
      </c>
    </row>
    <row r="955" spans="1:18" hidden="1">
      <c r="A955" s="28">
        <v>4</v>
      </c>
      <c r="B955" s="29" t="s">
        <v>306</v>
      </c>
      <c r="C955" s="29" t="s">
        <v>1776</v>
      </c>
      <c r="D955" s="29" t="s">
        <v>2666</v>
      </c>
      <c r="E955" s="29" t="s">
        <v>172</v>
      </c>
      <c r="F955" s="28" t="s">
        <v>2617</v>
      </c>
      <c r="G955" s="28" t="s">
        <v>2617</v>
      </c>
      <c r="H955" s="28" t="s">
        <v>174</v>
      </c>
      <c r="I955" s="28" t="s">
        <v>174</v>
      </c>
      <c r="J955" s="30" t="s">
        <v>174</v>
      </c>
      <c r="K955" s="28" t="s">
        <v>236</v>
      </c>
      <c r="L955" s="31">
        <v>43617</v>
      </c>
      <c r="M955" s="28">
        <v>6</v>
      </c>
      <c r="N955" s="32" t="s">
        <v>184</v>
      </c>
      <c r="O955" s="28" t="s">
        <v>204</v>
      </c>
      <c r="P955" s="28" t="s">
        <v>2667</v>
      </c>
      <c r="Q955" s="28" t="s">
        <v>2668</v>
      </c>
      <c r="R955" s="28" t="s">
        <v>2646</v>
      </c>
    </row>
    <row r="956" spans="1:18" hidden="1">
      <c r="A956" s="28">
        <v>4</v>
      </c>
      <c r="B956" s="29" t="s">
        <v>306</v>
      </c>
      <c r="C956" s="29" t="s">
        <v>1776</v>
      </c>
      <c r="D956" s="29" t="s">
        <v>2666</v>
      </c>
      <c r="E956" s="29" t="s">
        <v>172</v>
      </c>
      <c r="F956" s="28" t="s">
        <v>2617</v>
      </c>
      <c r="G956" s="28" t="s">
        <v>2617</v>
      </c>
      <c r="H956" s="28" t="s">
        <v>174</v>
      </c>
      <c r="I956" s="28" t="s">
        <v>174</v>
      </c>
      <c r="J956" s="30" t="s">
        <v>174</v>
      </c>
      <c r="K956" s="28" t="s">
        <v>752</v>
      </c>
      <c r="L956" s="31">
        <v>43709</v>
      </c>
      <c r="M956" s="28">
        <v>9</v>
      </c>
      <c r="N956" s="32" t="s">
        <v>191</v>
      </c>
      <c r="O956" s="28" t="s">
        <v>204</v>
      </c>
      <c r="P956" s="28" t="s">
        <v>2669</v>
      </c>
      <c r="Q956" s="28" t="s">
        <v>2668</v>
      </c>
      <c r="R956" s="28" t="s">
        <v>2646</v>
      </c>
    </row>
    <row r="957" spans="1:18" hidden="1">
      <c r="A957" s="28">
        <v>4</v>
      </c>
      <c r="B957" s="29" t="s">
        <v>306</v>
      </c>
      <c r="C957" s="29" t="s">
        <v>1776</v>
      </c>
      <c r="D957" s="29" t="s">
        <v>2666</v>
      </c>
      <c r="E957" s="29" t="s">
        <v>172</v>
      </c>
      <c r="F957" s="28" t="s">
        <v>2617</v>
      </c>
      <c r="G957" s="28" t="s">
        <v>2617</v>
      </c>
      <c r="H957" s="28" t="s">
        <v>174</v>
      </c>
      <c r="I957" s="28" t="s">
        <v>174</v>
      </c>
      <c r="J957" s="30" t="s">
        <v>174</v>
      </c>
      <c r="K957" s="28" t="s">
        <v>2670</v>
      </c>
      <c r="L957" s="31" t="s">
        <v>221</v>
      </c>
      <c r="M957" s="28" t="e">
        <v>#VALUE!</v>
      </c>
      <c r="N957" s="32" t="e">
        <v>#VALUE!</v>
      </c>
      <c r="O957" s="28" t="s">
        <v>204</v>
      </c>
      <c r="P957" s="28" t="s">
        <v>2671</v>
      </c>
      <c r="Q957" s="28" t="s">
        <v>2668</v>
      </c>
      <c r="R957" s="28" t="s">
        <v>2646</v>
      </c>
    </row>
    <row r="958" spans="1:18" hidden="1">
      <c r="A958" s="28">
        <v>4</v>
      </c>
      <c r="B958" s="29" t="s">
        <v>306</v>
      </c>
      <c r="C958" s="29" t="s">
        <v>624</v>
      </c>
      <c r="D958" s="29" t="s">
        <v>2672</v>
      </c>
      <c r="E958" s="29" t="s">
        <v>172</v>
      </c>
      <c r="F958" s="28" t="s">
        <v>2617</v>
      </c>
      <c r="G958" s="28" t="s">
        <v>2617</v>
      </c>
      <c r="H958" s="28" t="s">
        <v>174</v>
      </c>
      <c r="I958" s="28" t="s">
        <v>174</v>
      </c>
      <c r="J958" s="30" t="s">
        <v>174</v>
      </c>
      <c r="K958" s="28" t="s">
        <v>520</v>
      </c>
      <c r="L958" s="31">
        <v>43800</v>
      </c>
      <c r="M958" s="28">
        <v>12</v>
      </c>
      <c r="N958" s="32" t="s">
        <v>176</v>
      </c>
      <c r="O958" s="28" t="s">
        <v>204</v>
      </c>
      <c r="P958" s="28" t="s">
        <v>2673</v>
      </c>
      <c r="Q958" s="28" t="s">
        <v>2674</v>
      </c>
      <c r="R958" s="28" t="s">
        <v>2646</v>
      </c>
    </row>
    <row r="959" spans="1:18" hidden="1">
      <c r="A959" s="28">
        <v>4</v>
      </c>
      <c r="B959" s="29" t="s">
        <v>306</v>
      </c>
      <c r="C959" s="29" t="s">
        <v>624</v>
      </c>
      <c r="D959" s="29" t="s">
        <v>625</v>
      </c>
      <c r="E959" s="29" t="s">
        <v>172</v>
      </c>
      <c r="F959" s="28" t="s">
        <v>2617</v>
      </c>
      <c r="G959" s="28" t="s">
        <v>2617</v>
      </c>
      <c r="H959" s="28" t="s">
        <v>174</v>
      </c>
      <c r="I959" s="28" t="s">
        <v>174</v>
      </c>
      <c r="J959" s="30" t="s">
        <v>174</v>
      </c>
      <c r="K959" s="28" t="s">
        <v>971</v>
      </c>
      <c r="L959" s="31">
        <v>42979</v>
      </c>
      <c r="M959" s="28">
        <v>9</v>
      </c>
      <c r="N959" s="32" t="s">
        <v>191</v>
      </c>
      <c r="O959" s="28" t="s">
        <v>204</v>
      </c>
      <c r="P959" s="28" t="s">
        <v>2675</v>
      </c>
      <c r="Q959" s="28" t="s">
        <v>2676</v>
      </c>
      <c r="R959" s="28" t="s">
        <v>2646</v>
      </c>
    </row>
    <row r="960" spans="1:18" hidden="1">
      <c r="A960" s="28">
        <v>4</v>
      </c>
      <c r="B960" s="29" t="s">
        <v>306</v>
      </c>
      <c r="C960" s="29" t="s">
        <v>318</v>
      </c>
      <c r="D960" s="29" t="s">
        <v>323</v>
      </c>
      <c r="E960" s="29" t="s">
        <v>172</v>
      </c>
      <c r="F960" s="28" t="s">
        <v>2617</v>
      </c>
      <c r="G960" s="28" t="s">
        <v>2617</v>
      </c>
      <c r="H960" s="28" t="s">
        <v>174</v>
      </c>
      <c r="I960" s="28" t="s">
        <v>174</v>
      </c>
      <c r="J960" s="30" t="s">
        <v>174</v>
      </c>
      <c r="K960" s="28" t="s">
        <v>341</v>
      </c>
      <c r="L960" s="31">
        <v>44228</v>
      </c>
      <c r="M960" s="28">
        <v>2</v>
      </c>
      <c r="N960" s="32" t="s">
        <v>176</v>
      </c>
      <c r="O960" s="28" t="s">
        <v>204</v>
      </c>
      <c r="P960" s="28" t="s">
        <v>2677</v>
      </c>
      <c r="Q960" s="28" t="s">
        <v>2678</v>
      </c>
      <c r="R960" s="28" t="s">
        <v>2646</v>
      </c>
    </row>
    <row r="961" spans="1:18" hidden="1">
      <c r="A961" s="28">
        <v>4</v>
      </c>
      <c r="B961" s="29" t="s">
        <v>306</v>
      </c>
      <c r="C961" s="29" t="s">
        <v>333</v>
      </c>
      <c r="D961" s="29" t="s">
        <v>334</v>
      </c>
      <c r="E961" s="29" t="s">
        <v>172</v>
      </c>
      <c r="F961" s="28" t="s">
        <v>2617</v>
      </c>
      <c r="G961" s="28" t="s">
        <v>2617</v>
      </c>
      <c r="H961" s="28" t="s">
        <v>174</v>
      </c>
      <c r="I961" s="28" t="s">
        <v>174</v>
      </c>
      <c r="J961" s="30" t="s">
        <v>174</v>
      </c>
      <c r="K961" s="28" t="s">
        <v>324</v>
      </c>
      <c r="L961" s="31">
        <v>43862</v>
      </c>
      <c r="M961" s="28">
        <v>2</v>
      </c>
      <c r="N961" s="32" t="s">
        <v>176</v>
      </c>
      <c r="O961" s="28" t="s">
        <v>204</v>
      </c>
      <c r="P961" s="28" t="s">
        <v>2679</v>
      </c>
      <c r="Q961" s="28" t="s">
        <v>2680</v>
      </c>
      <c r="R961" s="28" t="s">
        <v>2681</v>
      </c>
    </row>
    <row r="962" spans="1:18" hidden="1">
      <c r="A962" s="28">
        <v>5</v>
      </c>
      <c r="B962" s="29" t="s">
        <v>349</v>
      </c>
      <c r="C962" s="29" t="s">
        <v>350</v>
      </c>
      <c r="D962" s="29" t="s">
        <v>716</v>
      </c>
      <c r="E962" s="29" t="s">
        <v>172</v>
      </c>
      <c r="F962" s="28" t="s">
        <v>2617</v>
      </c>
      <c r="G962" s="28" t="s">
        <v>2617</v>
      </c>
      <c r="H962" s="28" t="s">
        <v>174</v>
      </c>
      <c r="I962" s="28" t="s">
        <v>174</v>
      </c>
      <c r="J962" s="30" t="s">
        <v>174</v>
      </c>
      <c r="K962" s="28" t="s">
        <v>504</v>
      </c>
      <c r="L962" s="31">
        <v>43922</v>
      </c>
      <c r="M962" s="28">
        <v>4</v>
      </c>
      <c r="N962" s="32" t="s">
        <v>191</v>
      </c>
      <c r="O962" s="28" t="s">
        <v>204</v>
      </c>
      <c r="P962" s="28" t="s">
        <v>2682</v>
      </c>
      <c r="Q962" s="28" t="s">
        <v>2683</v>
      </c>
      <c r="R962" s="28" t="s">
        <v>2684</v>
      </c>
    </row>
    <row r="963" spans="1:18" hidden="1">
      <c r="A963" s="28">
        <v>5</v>
      </c>
      <c r="B963" s="29" t="s">
        <v>349</v>
      </c>
      <c r="C963" s="29" t="s">
        <v>355</v>
      </c>
      <c r="D963" s="29" t="s">
        <v>356</v>
      </c>
      <c r="E963" s="29" t="s">
        <v>172</v>
      </c>
      <c r="F963" s="28" t="s">
        <v>2617</v>
      </c>
      <c r="G963" s="28" t="s">
        <v>2617</v>
      </c>
      <c r="H963" s="28" t="s">
        <v>174</v>
      </c>
      <c r="I963" s="28" t="s">
        <v>174</v>
      </c>
      <c r="J963" s="30" t="s">
        <v>174</v>
      </c>
      <c r="K963" s="28" t="s">
        <v>401</v>
      </c>
      <c r="L963" s="31">
        <v>42705</v>
      </c>
      <c r="M963" s="28">
        <v>12</v>
      </c>
      <c r="N963" s="32" t="s">
        <v>176</v>
      </c>
      <c r="O963" s="28" t="s">
        <v>204</v>
      </c>
      <c r="P963" s="28" t="s">
        <v>2685</v>
      </c>
      <c r="Q963" s="28" t="s">
        <v>2686</v>
      </c>
      <c r="R963" s="28" t="s">
        <v>2687</v>
      </c>
    </row>
    <row r="964" spans="1:18" hidden="1">
      <c r="A964" s="28">
        <v>5</v>
      </c>
      <c r="B964" s="29" t="s">
        <v>349</v>
      </c>
      <c r="C964" s="29" t="s">
        <v>355</v>
      </c>
      <c r="D964" s="29" t="s">
        <v>360</v>
      </c>
      <c r="E964" s="29" t="s">
        <v>172</v>
      </c>
      <c r="F964" s="28" t="s">
        <v>2617</v>
      </c>
      <c r="G964" s="28" t="s">
        <v>2617</v>
      </c>
      <c r="H964" s="28" t="s">
        <v>174</v>
      </c>
      <c r="I964" s="28" t="s">
        <v>174</v>
      </c>
      <c r="J964" s="30" t="s">
        <v>174</v>
      </c>
      <c r="K964" s="28" t="s">
        <v>479</v>
      </c>
      <c r="L964" s="31">
        <v>43770</v>
      </c>
      <c r="M964" s="28">
        <v>11</v>
      </c>
      <c r="N964" s="32" t="s">
        <v>191</v>
      </c>
      <c r="O964" s="28" t="s">
        <v>204</v>
      </c>
      <c r="P964" s="28" t="s">
        <v>2688</v>
      </c>
      <c r="Q964" s="28" t="s">
        <v>2689</v>
      </c>
      <c r="R964" s="28" t="s">
        <v>2690</v>
      </c>
    </row>
    <row r="965" spans="1:18" hidden="1">
      <c r="A965" s="28">
        <v>6</v>
      </c>
      <c r="B965" s="29" t="s">
        <v>365</v>
      </c>
      <c r="C965" s="29" t="s">
        <v>366</v>
      </c>
      <c r="D965" s="29" t="s">
        <v>1887</v>
      </c>
      <c r="E965" s="29" t="s">
        <v>172</v>
      </c>
      <c r="F965" s="28" t="s">
        <v>2617</v>
      </c>
      <c r="G965" s="28" t="s">
        <v>2617</v>
      </c>
      <c r="H965" s="28" t="s">
        <v>174</v>
      </c>
      <c r="I965" s="28" t="s">
        <v>174</v>
      </c>
      <c r="J965" s="30" t="s">
        <v>174</v>
      </c>
      <c r="K965" s="28" t="s">
        <v>411</v>
      </c>
      <c r="L965" s="31">
        <v>43556</v>
      </c>
      <c r="M965" s="28">
        <v>4</v>
      </c>
      <c r="N965" s="32" t="s">
        <v>191</v>
      </c>
      <c r="O965" s="28" t="s">
        <v>204</v>
      </c>
      <c r="P965" s="28" t="s">
        <v>2691</v>
      </c>
      <c r="Q965" s="28" t="s">
        <v>2692</v>
      </c>
      <c r="R965" s="28" t="s">
        <v>2693</v>
      </c>
    </row>
    <row r="966" spans="1:18" hidden="1">
      <c r="A966" s="28">
        <v>1</v>
      </c>
      <c r="B966" s="29" t="s">
        <v>379</v>
      </c>
      <c r="C966" s="29" t="s">
        <v>1048</v>
      </c>
      <c r="D966" s="29" t="s">
        <v>1057</v>
      </c>
      <c r="E966" s="29" t="s">
        <v>172</v>
      </c>
      <c r="F966" s="28" t="s">
        <v>1245</v>
      </c>
      <c r="G966" s="28" t="s">
        <v>2694</v>
      </c>
      <c r="H966" s="28" t="s">
        <v>384</v>
      </c>
      <c r="I966" s="28">
        <v>6</v>
      </c>
      <c r="J966" s="30">
        <v>4.9000000000000002E-2</v>
      </c>
      <c r="K966" s="28" t="s">
        <v>218</v>
      </c>
      <c r="L966" s="31">
        <v>44044</v>
      </c>
      <c r="M966" s="28">
        <v>8</v>
      </c>
      <c r="N966" s="32" t="s">
        <v>184</v>
      </c>
      <c r="O966" s="28" t="s">
        <v>204</v>
      </c>
      <c r="P966" s="28" t="s">
        <v>2695</v>
      </c>
      <c r="Q966" s="28" t="s">
        <v>2696</v>
      </c>
      <c r="R966" s="28" t="s">
        <v>2697</v>
      </c>
    </row>
    <row r="967" spans="1:18" hidden="1">
      <c r="A967" s="28">
        <v>1</v>
      </c>
      <c r="B967" s="29" t="s">
        <v>379</v>
      </c>
      <c r="C967" s="29" t="s">
        <v>1048</v>
      </c>
      <c r="D967" s="29" t="s">
        <v>2698</v>
      </c>
      <c r="E967" s="29" t="s">
        <v>172</v>
      </c>
      <c r="F967" s="28" t="s">
        <v>1245</v>
      </c>
      <c r="G967" s="28" t="s">
        <v>2694</v>
      </c>
      <c r="H967" s="28" t="s">
        <v>384</v>
      </c>
      <c r="I967" s="28">
        <v>6</v>
      </c>
      <c r="J967" s="30">
        <v>4.9000000000000002E-2</v>
      </c>
      <c r="K967" s="28" t="s">
        <v>257</v>
      </c>
      <c r="L967" s="31">
        <v>42552</v>
      </c>
      <c r="M967" s="28">
        <v>7</v>
      </c>
      <c r="N967" s="32" t="s">
        <v>184</v>
      </c>
      <c r="O967" s="28" t="s">
        <v>204</v>
      </c>
      <c r="P967" s="28" t="s">
        <v>2699</v>
      </c>
      <c r="Q967" s="28" t="s">
        <v>2700</v>
      </c>
      <c r="R967" s="28" t="s">
        <v>2701</v>
      </c>
    </row>
    <row r="968" spans="1:18" hidden="1">
      <c r="A968" s="28">
        <v>12</v>
      </c>
      <c r="B968" s="29" t="s">
        <v>195</v>
      </c>
      <c r="C968" s="29" t="s">
        <v>196</v>
      </c>
      <c r="D968" s="29" t="s">
        <v>197</v>
      </c>
      <c r="E968" s="29" t="s">
        <v>172</v>
      </c>
      <c r="F968" s="28" t="s">
        <v>1245</v>
      </c>
      <c r="G968" s="28" t="s">
        <v>2694</v>
      </c>
      <c r="H968" s="28" t="s">
        <v>384</v>
      </c>
      <c r="I968" s="28">
        <v>6</v>
      </c>
      <c r="J968" s="30">
        <v>4.9000000000000002E-2</v>
      </c>
      <c r="K968" s="28" t="s">
        <v>464</v>
      </c>
      <c r="L968" s="31">
        <v>42887</v>
      </c>
      <c r="M968" s="28">
        <v>6</v>
      </c>
      <c r="N968" s="32" t="s">
        <v>184</v>
      </c>
      <c r="O968" s="28" t="s">
        <v>204</v>
      </c>
      <c r="P968" s="28" t="s">
        <v>2702</v>
      </c>
      <c r="Q968" s="28" t="s">
        <v>2703</v>
      </c>
      <c r="R968" s="28" t="s">
        <v>2704</v>
      </c>
    </row>
    <row r="969" spans="1:18" hidden="1">
      <c r="A969" s="28">
        <v>12</v>
      </c>
      <c r="B969" s="29" t="s">
        <v>195</v>
      </c>
      <c r="C969" s="29" t="s">
        <v>196</v>
      </c>
      <c r="D969" s="29" t="s">
        <v>197</v>
      </c>
      <c r="E969" s="29" t="s">
        <v>172</v>
      </c>
      <c r="F969" s="28" t="s">
        <v>1245</v>
      </c>
      <c r="G969" s="28" t="s">
        <v>2694</v>
      </c>
      <c r="H969" s="28" t="s">
        <v>384</v>
      </c>
      <c r="I969" s="28">
        <v>6</v>
      </c>
      <c r="J969" s="30">
        <v>4.9000000000000002E-2</v>
      </c>
      <c r="K969" s="28" t="s">
        <v>424</v>
      </c>
      <c r="L969" s="31">
        <v>43678</v>
      </c>
      <c r="M969" s="28">
        <v>8</v>
      </c>
      <c r="N969" s="32" t="s">
        <v>184</v>
      </c>
      <c r="O969" s="28" t="s">
        <v>794</v>
      </c>
      <c r="P969" s="28" t="s">
        <v>2705</v>
      </c>
      <c r="Q969" s="28" t="s">
        <v>2706</v>
      </c>
      <c r="R969" s="28" t="s">
        <v>2707</v>
      </c>
    </row>
    <row r="970" spans="1:18" hidden="1">
      <c r="A970" s="28">
        <v>12</v>
      </c>
      <c r="B970" s="29" t="s">
        <v>195</v>
      </c>
      <c r="C970" s="29" t="s">
        <v>1391</v>
      </c>
      <c r="D970" s="29" t="s">
        <v>2708</v>
      </c>
      <c r="E970" s="29" t="s">
        <v>172</v>
      </c>
      <c r="F970" s="28" t="s">
        <v>1245</v>
      </c>
      <c r="G970" s="28" t="s">
        <v>2694</v>
      </c>
      <c r="H970" s="28" t="s">
        <v>384</v>
      </c>
      <c r="I970" s="28">
        <v>6</v>
      </c>
      <c r="J970" s="30">
        <v>4.9000000000000002E-2</v>
      </c>
      <c r="K970" s="28" t="s">
        <v>208</v>
      </c>
      <c r="L970" s="31">
        <v>43101</v>
      </c>
      <c r="M970" s="28">
        <v>1</v>
      </c>
      <c r="N970" s="32" t="s">
        <v>176</v>
      </c>
      <c r="O970" s="28" t="s">
        <v>204</v>
      </c>
      <c r="P970" s="28" t="s">
        <v>2709</v>
      </c>
      <c r="Q970" s="28" t="s">
        <v>2710</v>
      </c>
      <c r="R970" s="28" t="s">
        <v>2711</v>
      </c>
    </row>
    <row r="971" spans="1:18" hidden="1">
      <c r="A971" s="28">
        <v>12</v>
      </c>
      <c r="B971" s="29" t="s">
        <v>195</v>
      </c>
      <c r="C971" s="29" t="s">
        <v>225</v>
      </c>
      <c r="D971" s="29" t="s">
        <v>2712</v>
      </c>
      <c r="E971" s="29" t="s">
        <v>172</v>
      </c>
      <c r="F971" s="28" t="s">
        <v>1245</v>
      </c>
      <c r="G971" s="28" t="s">
        <v>2694</v>
      </c>
      <c r="H971" s="28" t="s">
        <v>384</v>
      </c>
      <c r="I971" s="28">
        <v>6</v>
      </c>
      <c r="J971" s="30">
        <v>4.9000000000000002E-2</v>
      </c>
      <c r="K971" s="28" t="s">
        <v>263</v>
      </c>
      <c r="L971" s="31">
        <v>42430</v>
      </c>
      <c r="M971" s="28">
        <v>3</v>
      </c>
      <c r="N971" s="32" t="s">
        <v>191</v>
      </c>
      <c r="O971" s="28" t="s">
        <v>204</v>
      </c>
      <c r="P971" s="28" t="s">
        <v>2713</v>
      </c>
      <c r="Q971" s="28" t="s">
        <v>2714</v>
      </c>
      <c r="R971" s="28" t="s">
        <v>2715</v>
      </c>
    </row>
    <row r="972" spans="1:18" hidden="1">
      <c r="A972" s="28">
        <v>12</v>
      </c>
      <c r="B972" s="29" t="s">
        <v>195</v>
      </c>
      <c r="C972" s="29" t="s">
        <v>225</v>
      </c>
      <c r="D972" s="29" t="s">
        <v>2712</v>
      </c>
      <c r="E972" s="29" t="s">
        <v>172</v>
      </c>
      <c r="F972" s="28" t="s">
        <v>1245</v>
      </c>
      <c r="G972" s="28" t="s">
        <v>2694</v>
      </c>
      <c r="H972" s="28" t="s">
        <v>384</v>
      </c>
      <c r="I972" s="28">
        <v>6</v>
      </c>
      <c r="J972" s="30">
        <v>4.9000000000000002E-2</v>
      </c>
      <c r="K972" s="28" t="s">
        <v>214</v>
      </c>
      <c r="L972" s="31">
        <v>43466</v>
      </c>
      <c r="M972" s="28">
        <v>1</v>
      </c>
      <c r="N972" s="32" t="s">
        <v>176</v>
      </c>
      <c r="O972" s="28" t="s">
        <v>204</v>
      </c>
      <c r="P972" s="28" t="s">
        <v>2716</v>
      </c>
      <c r="Q972" s="28" t="s">
        <v>2717</v>
      </c>
      <c r="R972" s="28" t="s">
        <v>2718</v>
      </c>
    </row>
    <row r="973" spans="1:18" hidden="1">
      <c r="A973" s="28">
        <v>12</v>
      </c>
      <c r="B973" s="29" t="s">
        <v>195</v>
      </c>
      <c r="C973" s="29" t="s">
        <v>225</v>
      </c>
      <c r="D973" s="29" t="s">
        <v>2712</v>
      </c>
      <c r="E973" s="29" t="s">
        <v>172</v>
      </c>
      <c r="F973" s="28" t="s">
        <v>1245</v>
      </c>
      <c r="G973" s="28" t="s">
        <v>2694</v>
      </c>
      <c r="H973" s="28" t="s">
        <v>384</v>
      </c>
      <c r="I973" s="28">
        <v>6</v>
      </c>
      <c r="J973" s="30">
        <v>4.9000000000000002E-2</v>
      </c>
      <c r="K973" s="28" t="s">
        <v>397</v>
      </c>
      <c r="L973" s="31">
        <v>43739</v>
      </c>
      <c r="M973" s="28">
        <v>10</v>
      </c>
      <c r="N973" s="32" t="s">
        <v>191</v>
      </c>
      <c r="O973" s="28" t="s">
        <v>204</v>
      </c>
      <c r="P973" s="28" t="s">
        <v>2719</v>
      </c>
      <c r="Q973" s="28" t="s">
        <v>2720</v>
      </c>
      <c r="R973" s="28" t="s">
        <v>2721</v>
      </c>
    </row>
    <row r="974" spans="1:18" hidden="1">
      <c r="A974" s="28">
        <v>12</v>
      </c>
      <c r="B974" s="29" t="s">
        <v>195</v>
      </c>
      <c r="C974" s="29" t="s">
        <v>230</v>
      </c>
      <c r="D974" s="29" t="s">
        <v>231</v>
      </c>
      <c r="E974" s="29" t="s">
        <v>172</v>
      </c>
      <c r="F974" s="28" t="s">
        <v>1245</v>
      </c>
      <c r="G974" s="28" t="s">
        <v>2694</v>
      </c>
      <c r="H974" s="28" t="s">
        <v>384</v>
      </c>
      <c r="I974" s="28">
        <v>6</v>
      </c>
      <c r="J974" s="30">
        <v>4.9000000000000002E-2</v>
      </c>
      <c r="K974" s="28" t="s">
        <v>971</v>
      </c>
      <c r="L974" s="31">
        <v>42979</v>
      </c>
      <c r="M974" s="28">
        <v>9</v>
      </c>
      <c r="N974" s="32" t="s">
        <v>191</v>
      </c>
      <c r="O974" s="28" t="s">
        <v>204</v>
      </c>
      <c r="P974" s="28" t="s">
        <v>2722</v>
      </c>
      <c r="Q974" s="28" t="s">
        <v>2723</v>
      </c>
      <c r="R974" s="28" t="s">
        <v>2724</v>
      </c>
    </row>
    <row r="975" spans="1:18" hidden="1">
      <c r="A975" s="28">
        <v>12</v>
      </c>
      <c r="B975" s="29" t="s">
        <v>195</v>
      </c>
      <c r="C975" s="29" t="s">
        <v>230</v>
      </c>
      <c r="D975" s="29" t="s">
        <v>231</v>
      </c>
      <c r="E975" s="29" t="s">
        <v>172</v>
      </c>
      <c r="F975" s="28" t="s">
        <v>1245</v>
      </c>
      <c r="G975" s="28" t="s">
        <v>2694</v>
      </c>
      <c r="H975" s="28" t="s">
        <v>384</v>
      </c>
      <c r="I975" s="28">
        <v>6</v>
      </c>
      <c r="J975" s="30">
        <v>4.9000000000000002E-2</v>
      </c>
      <c r="K975" s="28" t="s">
        <v>844</v>
      </c>
      <c r="L975" s="31">
        <v>43586</v>
      </c>
      <c r="M975" s="28">
        <v>5</v>
      </c>
      <c r="N975" s="32" t="s">
        <v>191</v>
      </c>
      <c r="O975" s="28" t="s">
        <v>794</v>
      </c>
      <c r="P975" s="28" t="s">
        <v>2725</v>
      </c>
      <c r="Q975" s="28" t="s">
        <v>2726</v>
      </c>
      <c r="R975" s="28" t="s">
        <v>2727</v>
      </c>
    </row>
    <row r="976" spans="1:18" hidden="1">
      <c r="A976" s="28">
        <v>2</v>
      </c>
      <c r="B976" s="29" t="s">
        <v>240</v>
      </c>
      <c r="C976" s="29" t="s">
        <v>261</v>
      </c>
      <c r="D976" s="29" t="s">
        <v>262</v>
      </c>
      <c r="E976" s="29" t="s">
        <v>172</v>
      </c>
      <c r="F976" s="28" t="s">
        <v>1245</v>
      </c>
      <c r="G976" s="28" t="s">
        <v>2694</v>
      </c>
      <c r="H976" s="28" t="s">
        <v>384</v>
      </c>
      <c r="I976" s="28">
        <v>6</v>
      </c>
      <c r="J976" s="30">
        <v>4.9000000000000002E-2</v>
      </c>
      <c r="K976" s="28" t="s">
        <v>651</v>
      </c>
      <c r="L976" s="31">
        <v>42644</v>
      </c>
      <c r="M976" s="28">
        <v>10</v>
      </c>
      <c r="N976" s="32" t="s">
        <v>191</v>
      </c>
      <c r="O976" s="28" t="s">
        <v>244</v>
      </c>
      <c r="P976" s="28" t="s">
        <v>2728</v>
      </c>
      <c r="Q976" s="28" t="s">
        <v>2729</v>
      </c>
      <c r="R976" s="28" t="s">
        <v>2730</v>
      </c>
    </row>
    <row r="977" spans="1:18" hidden="1">
      <c r="A977" s="28">
        <v>2</v>
      </c>
      <c r="B977" s="29" t="s">
        <v>240</v>
      </c>
      <c r="C977" s="29" t="s">
        <v>261</v>
      </c>
      <c r="D977" s="29" t="s">
        <v>532</v>
      </c>
      <c r="E977" s="29" t="s">
        <v>172</v>
      </c>
      <c r="F977" s="28" t="s">
        <v>1245</v>
      </c>
      <c r="G977" s="28" t="s">
        <v>2694</v>
      </c>
      <c r="H977" s="28" t="s">
        <v>384</v>
      </c>
      <c r="I977" s="28">
        <v>6</v>
      </c>
      <c r="J977" s="30">
        <v>4.9000000000000002E-2</v>
      </c>
      <c r="K977" s="28" t="s">
        <v>297</v>
      </c>
      <c r="L977" s="31">
        <v>44409</v>
      </c>
      <c r="M977" s="28">
        <v>8</v>
      </c>
      <c r="N977" s="32" t="s">
        <v>184</v>
      </c>
      <c r="O977" s="28" t="s">
        <v>204</v>
      </c>
      <c r="P977" s="28" t="s">
        <v>2731</v>
      </c>
      <c r="Q977" s="28" t="s">
        <v>2732</v>
      </c>
      <c r="R977" s="28" t="s">
        <v>2733</v>
      </c>
    </row>
    <row r="978" spans="1:18">
      <c r="A978" s="28">
        <v>3</v>
      </c>
      <c r="B978" s="29" t="s">
        <v>286</v>
      </c>
      <c r="C978" s="29" t="s">
        <v>287</v>
      </c>
      <c r="D978" s="29" t="s">
        <v>558</v>
      </c>
      <c r="E978" s="29" t="s">
        <v>172</v>
      </c>
      <c r="F978" s="28" t="s">
        <v>1245</v>
      </c>
      <c r="G978" s="28" t="s">
        <v>2694</v>
      </c>
      <c r="H978" s="28" t="s">
        <v>384</v>
      </c>
      <c r="I978" s="28">
        <v>6</v>
      </c>
      <c r="J978" s="30">
        <v>4.9000000000000002E-2</v>
      </c>
      <c r="K978" s="28" t="s">
        <v>678</v>
      </c>
      <c r="L978" s="31">
        <v>43344</v>
      </c>
      <c r="M978" s="28">
        <v>9</v>
      </c>
      <c r="N978" s="32" t="s">
        <v>191</v>
      </c>
      <c r="O978" s="28" t="s">
        <v>204</v>
      </c>
      <c r="P978" s="28" t="s">
        <v>2734</v>
      </c>
      <c r="Q978" s="28" t="s">
        <v>2735</v>
      </c>
      <c r="R978" s="28" t="s">
        <v>2385</v>
      </c>
    </row>
    <row r="979" spans="1:18">
      <c r="A979" s="28">
        <v>3</v>
      </c>
      <c r="B979" s="29" t="s">
        <v>286</v>
      </c>
      <c r="C979" s="29" t="s">
        <v>287</v>
      </c>
      <c r="D979" s="29" t="s">
        <v>288</v>
      </c>
      <c r="E979" s="29" t="s">
        <v>172</v>
      </c>
      <c r="F979" s="28" t="s">
        <v>1245</v>
      </c>
      <c r="G979" s="28" t="s">
        <v>2694</v>
      </c>
      <c r="H979" s="28" t="s">
        <v>384</v>
      </c>
      <c r="I979" s="28">
        <v>6</v>
      </c>
      <c r="J979" s="30">
        <v>4.9000000000000002E-2</v>
      </c>
      <c r="K979" s="28" t="s">
        <v>2736</v>
      </c>
      <c r="L979" s="31">
        <v>42248</v>
      </c>
      <c r="M979" s="28">
        <v>9</v>
      </c>
      <c r="N979" s="32" t="s">
        <v>191</v>
      </c>
      <c r="O979" s="28" t="s">
        <v>204</v>
      </c>
      <c r="P979" s="28" t="s">
        <v>2737</v>
      </c>
      <c r="Q979" s="28" t="s">
        <v>2735</v>
      </c>
      <c r="R979" s="28" t="s">
        <v>2385</v>
      </c>
    </row>
    <row r="980" spans="1:18">
      <c r="A980" s="28">
        <v>3</v>
      </c>
      <c r="B980" s="29" t="s">
        <v>286</v>
      </c>
      <c r="C980" s="29" t="s">
        <v>287</v>
      </c>
      <c r="D980" s="29" t="s">
        <v>288</v>
      </c>
      <c r="E980" s="29" t="s">
        <v>172</v>
      </c>
      <c r="F980" s="28" t="s">
        <v>1245</v>
      </c>
      <c r="G980" s="28" t="s">
        <v>2694</v>
      </c>
      <c r="H980" s="28" t="s">
        <v>384</v>
      </c>
      <c r="I980" s="28">
        <v>6</v>
      </c>
      <c r="J980" s="30">
        <v>4.9000000000000002E-2</v>
      </c>
      <c r="K980" s="28" t="s">
        <v>587</v>
      </c>
      <c r="L980" s="31">
        <v>42736</v>
      </c>
      <c r="M980" s="28">
        <v>1</v>
      </c>
      <c r="N980" s="32" t="s">
        <v>176</v>
      </c>
      <c r="O980" s="28" t="s">
        <v>204</v>
      </c>
      <c r="P980" s="28" t="s">
        <v>2738</v>
      </c>
      <c r="Q980" s="28" t="s">
        <v>2739</v>
      </c>
      <c r="R980" s="28" t="s">
        <v>2740</v>
      </c>
    </row>
    <row r="981" spans="1:18">
      <c r="A981" s="28">
        <v>3</v>
      </c>
      <c r="B981" s="29" t="s">
        <v>286</v>
      </c>
      <c r="C981" s="29" t="s">
        <v>287</v>
      </c>
      <c r="D981" s="29" t="s">
        <v>288</v>
      </c>
      <c r="E981" s="29" t="s">
        <v>172</v>
      </c>
      <c r="F981" s="28" t="s">
        <v>1245</v>
      </c>
      <c r="G981" s="28" t="s">
        <v>2694</v>
      </c>
      <c r="H981" s="28" t="s">
        <v>384</v>
      </c>
      <c r="I981" s="28">
        <v>6</v>
      </c>
      <c r="J981" s="30">
        <v>4.9000000000000002E-2</v>
      </c>
      <c r="K981" s="28" t="s">
        <v>271</v>
      </c>
      <c r="L981" s="31">
        <v>42856</v>
      </c>
      <c r="M981" s="28">
        <v>5</v>
      </c>
      <c r="N981" s="32" t="s">
        <v>191</v>
      </c>
      <c r="O981" s="28" t="s">
        <v>204</v>
      </c>
      <c r="P981" s="28" t="s">
        <v>2741</v>
      </c>
      <c r="Q981" s="28" t="s">
        <v>2742</v>
      </c>
      <c r="R981" s="28" t="s">
        <v>2743</v>
      </c>
    </row>
    <row r="982" spans="1:18">
      <c r="A982" s="28">
        <v>3</v>
      </c>
      <c r="B982" s="29" t="s">
        <v>286</v>
      </c>
      <c r="C982" s="29" t="s">
        <v>287</v>
      </c>
      <c r="D982" s="29" t="s">
        <v>288</v>
      </c>
      <c r="E982" s="29" t="s">
        <v>172</v>
      </c>
      <c r="F982" s="28" t="s">
        <v>1245</v>
      </c>
      <c r="G982" s="28" t="s">
        <v>2694</v>
      </c>
      <c r="H982" s="28" t="s">
        <v>384</v>
      </c>
      <c r="I982" s="28">
        <v>6</v>
      </c>
      <c r="J982" s="30">
        <v>4.9000000000000002E-2</v>
      </c>
      <c r="K982" s="28" t="s">
        <v>742</v>
      </c>
      <c r="L982" s="31">
        <v>42948</v>
      </c>
      <c r="M982" s="28">
        <v>8</v>
      </c>
      <c r="N982" s="32" t="s">
        <v>184</v>
      </c>
      <c r="O982" s="28" t="s">
        <v>204</v>
      </c>
      <c r="P982" s="28" t="s">
        <v>2744</v>
      </c>
      <c r="Q982" s="28" t="s">
        <v>2745</v>
      </c>
      <c r="R982" s="28" t="s">
        <v>2292</v>
      </c>
    </row>
    <row r="983" spans="1:18">
      <c r="A983" s="28">
        <v>3</v>
      </c>
      <c r="B983" s="29" t="s">
        <v>286</v>
      </c>
      <c r="C983" s="29" t="s">
        <v>287</v>
      </c>
      <c r="D983" s="29" t="s">
        <v>288</v>
      </c>
      <c r="E983" s="29" t="s">
        <v>172</v>
      </c>
      <c r="F983" s="28" t="s">
        <v>1245</v>
      </c>
      <c r="G983" s="28" t="s">
        <v>2694</v>
      </c>
      <c r="H983" s="28" t="s">
        <v>384</v>
      </c>
      <c r="I983" s="28">
        <v>6</v>
      </c>
      <c r="J983" s="30">
        <v>4.9000000000000002E-2</v>
      </c>
      <c r="K983" s="28" t="s">
        <v>971</v>
      </c>
      <c r="L983" s="31">
        <v>42979</v>
      </c>
      <c r="M983" s="28">
        <v>9</v>
      </c>
      <c r="N983" s="32" t="s">
        <v>191</v>
      </c>
      <c r="O983" s="28" t="s">
        <v>204</v>
      </c>
      <c r="P983" s="28" t="s">
        <v>2746</v>
      </c>
      <c r="Q983" s="28" t="s">
        <v>2747</v>
      </c>
      <c r="R983" s="28" t="s">
        <v>2748</v>
      </c>
    </row>
    <row r="984" spans="1:18">
      <c r="A984" s="28">
        <v>3</v>
      </c>
      <c r="B984" s="29" t="s">
        <v>286</v>
      </c>
      <c r="C984" s="29" t="s">
        <v>287</v>
      </c>
      <c r="D984" s="29" t="s">
        <v>288</v>
      </c>
      <c r="E984" s="29" t="s">
        <v>172</v>
      </c>
      <c r="F984" s="28" t="s">
        <v>1245</v>
      </c>
      <c r="G984" s="28" t="s">
        <v>2694</v>
      </c>
      <c r="H984" s="28" t="s">
        <v>384</v>
      </c>
      <c r="I984" s="28">
        <v>6</v>
      </c>
      <c r="J984" s="30">
        <v>4.9000000000000002E-2</v>
      </c>
      <c r="K984" s="28" t="s">
        <v>214</v>
      </c>
      <c r="L984" s="31">
        <v>43466</v>
      </c>
      <c r="M984" s="28">
        <v>1</v>
      </c>
      <c r="N984" s="32" t="s">
        <v>176</v>
      </c>
      <c r="O984" s="28" t="s">
        <v>204</v>
      </c>
      <c r="P984" s="28" t="s">
        <v>2749</v>
      </c>
      <c r="Q984" s="28" t="s">
        <v>2750</v>
      </c>
      <c r="R984" s="28" t="s">
        <v>2751</v>
      </c>
    </row>
    <row r="985" spans="1:18">
      <c r="A985" s="28">
        <v>3</v>
      </c>
      <c r="B985" s="29" t="s">
        <v>286</v>
      </c>
      <c r="C985" s="29" t="s">
        <v>287</v>
      </c>
      <c r="D985" s="29" t="s">
        <v>288</v>
      </c>
      <c r="E985" s="29" t="s">
        <v>172</v>
      </c>
      <c r="F985" s="28" t="s">
        <v>1245</v>
      </c>
      <c r="G985" s="28" t="s">
        <v>2694</v>
      </c>
      <c r="H985" s="28" t="s">
        <v>384</v>
      </c>
      <c r="I985" s="28">
        <v>6</v>
      </c>
      <c r="J985" s="30">
        <v>4.9000000000000002E-2</v>
      </c>
      <c r="K985" s="28" t="s">
        <v>2752</v>
      </c>
      <c r="L985" s="31">
        <v>43647</v>
      </c>
      <c r="M985" s="28">
        <v>7</v>
      </c>
      <c r="N985" s="32" t="s">
        <v>184</v>
      </c>
      <c r="O985" s="28" t="s">
        <v>794</v>
      </c>
      <c r="P985" s="28" t="s">
        <v>2753</v>
      </c>
      <c r="Q985" s="28" t="s">
        <v>2754</v>
      </c>
      <c r="R985" s="28" t="s">
        <v>2755</v>
      </c>
    </row>
    <row r="986" spans="1:18">
      <c r="A986" s="28">
        <v>3</v>
      </c>
      <c r="B986" s="29" t="s">
        <v>286</v>
      </c>
      <c r="C986" s="29" t="s">
        <v>287</v>
      </c>
      <c r="D986" s="29" t="s">
        <v>288</v>
      </c>
      <c r="E986" s="29" t="s">
        <v>172</v>
      </c>
      <c r="F986" s="28" t="s">
        <v>1245</v>
      </c>
      <c r="G986" s="28" t="s">
        <v>2694</v>
      </c>
      <c r="H986" s="28" t="s">
        <v>384</v>
      </c>
      <c r="I986" s="28">
        <v>6</v>
      </c>
      <c r="J986" s="30">
        <v>4.9000000000000002E-2</v>
      </c>
      <c r="K986" s="28" t="s">
        <v>520</v>
      </c>
      <c r="L986" s="31">
        <v>43800</v>
      </c>
      <c r="M986" s="28">
        <v>12</v>
      </c>
      <c r="N986" s="32" t="s">
        <v>176</v>
      </c>
      <c r="O986" s="28" t="s">
        <v>204</v>
      </c>
      <c r="P986" s="28" t="s">
        <v>2756</v>
      </c>
      <c r="Q986" s="28" t="s">
        <v>2757</v>
      </c>
      <c r="R986" s="28" t="s">
        <v>2758</v>
      </c>
    </row>
    <row r="987" spans="1:18">
      <c r="A987" s="28">
        <v>3</v>
      </c>
      <c r="B987" s="29" t="s">
        <v>286</v>
      </c>
      <c r="C987" s="29" t="s">
        <v>287</v>
      </c>
      <c r="D987" s="29" t="s">
        <v>288</v>
      </c>
      <c r="E987" s="29" t="s">
        <v>172</v>
      </c>
      <c r="F987" s="28" t="s">
        <v>1245</v>
      </c>
      <c r="G987" s="28" t="s">
        <v>2694</v>
      </c>
      <c r="H987" s="28" t="s">
        <v>384</v>
      </c>
      <c r="I987" s="28">
        <v>6</v>
      </c>
      <c r="J987" s="30">
        <v>4.9000000000000002E-2</v>
      </c>
      <c r="K987" s="28" t="s">
        <v>183</v>
      </c>
      <c r="L987" s="31">
        <v>43983</v>
      </c>
      <c r="M987" s="28">
        <v>6</v>
      </c>
      <c r="N987" s="32" t="s">
        <v>184</v>
      </c>
      <c r="O987" s="28" t="s">
        <v>272</v>
      </c>
      <c r="P987" s="28" t="s">
        <v>2759</v>
      </c>
      <c r="Q987" s="28" t="s">
        <v>2760</v>
      </c>
      <c r="R987" s="28" t="s">
        <v>2761</v>
      </c>
    </row>
    <row r="988" spans="1:18">
      <c r="A988" s="28">
        <v>3</v>
      </c>
      <c r="B988" s="29" t="s">
        <v>286</v>
      </c>
      <c r="C988" s="29" t="s">
        <v>287</v>
      </c>
      <c r="D988" s="29" t="s">
        <v>288</v>
      </c>
      <c r="E988" s="29" t="s">
        <v>172</v>
      </c>
      <c r="F988" s="28" t="s">
        <v>1245</v>
      </c>
      <c r="G988" s="28" t="s">
        <v>2694</v>
      </c>
      <c r="H988" s="28" t="s">
        <v>384</v>
      </c>
      <c r="I988" s="28">
        <v>6</v>
      </c>
      <c r="J988" s="30">
        <v>4.9000000000000002E-2</v>
      </c>
      <c r="K988" s="28" t="s">
        <v>183</v>
      </c>
      <c r="L988" s="31">
        <v>43983</v>
      </c>
      <c r="M988" s="28">
        <v>6</v>
      </c>
      <c r="N988" s="32" t="s">
        <v>184</v>
      </c>
      <c r="O988" s="28" t="s">
        <v>204</v>
      </c>
      <c r="P988" s="28" t="s">
        <v>2762</v>
      </c>
      <c r="Q988" s="28" t="s">
        <v>2763</v>
      </c>
      <c r="R988" s="28" t="s">
        <v>2740</v>
      </c>
    </row>
    <row r="989" spans="1:18">
      <c r="A989" s="28">
        <v>3</v>
      </c>
      <c r="B989" s="29" t="s">
        <v>286</v>
      </c>
      <c r="C989" s="29" t="s">
        <v>287</v>
      </c>
      <c r="D989" s="29" t="s">
        <v>288</v>
      </c>
      <c r="E989" s="29" t="s">
        <v>172</v>
      </c>
      <c r="F989" s="28" t="s">
        <v>1245</v>
      </c>
      <c r="G989" s="28" t="s">
        <v>2694</v>
      </c>
      <c r="H989" s="28" t="s">
        <v>384</v>
      </c>
      <c r="I989" s="28">
        <v>6</v>
      </c>
      <c r="J989" s="30">
        <v>4.9000000000000002E-2</v>
      </c>
      <c r="K989" s="28" t="s">
        <v>430</v>
      </c>
      <c r="L989" s="31">
        <v>44105</v>
      </c>
      <c r="M989" s="28">
        <v>10</v>
      </c>
      <c r="N989" s="32" t="s">
        <v>191</v>
      </c>
      <c r="O989" s="28" t="s">
        <v>204</v>
      </c>
      <c r="P989" s="28" t="s">
        <v>2764</v>
      </c>
      <c r="Q989" s="28" t="s">
        <v>2765</v>
      </c>
      <c r="R989" s="28" t="s">
        <v>2766</v>
      </c>
    </row>
    <row r="990" spans="1:18">
      <c r="A990" s="28">
        <v>3</v>
      </c>
      <c r="B990" s="29" t="s">
        <v>286</v>
      </c>
      <c r="C990" s="29" t="s">
        <v>287</v>
      </c>
      <c r="D990" s="29" t="s">
        <v>288</v>
      </c>
      <c r="E990" s="29" t="s">
        <v>172</v>
      </c>
      <c r="F990" s="28" t="s">
        <v>1245</v>
      </c>
      <c r="G990" s="28" t="s">
        <v>2694</v>
      </c>
      <c r="H990" s="28" t="s">
        <v>384</v>
      </c>
      <c r="I990" s="28">
        <v>6</v>
      </c>
      <c r="J990" s="30">
        <v>4.9000000000000002E-2</v>
      </c>
      <c r="K990" s="28" t="s">
        <v>522</v>
      </c>
      <c r="L990" s="31">
        <v>44256</v>
      </c>
      <c r="M990" s="28">
        <v>3</v>
      </c>
      <c r="N990" s="32" t="s">
        <v>191</v>
      </c>
      <c r="O990" s="28" t="s">
        <v>204</v>
      </c>
      <c r="P990" s="28" t="s">
        <v>2767</v>
      </c>
      <c r="Q990" s="28" t="s">
        <v>2768</v>
      </c>
      <c r="R990" s="28" t="s">
        <v>2385</v>
      </c>
    </row>
    <row r="991" spans="1:18">
      <c r="A991" s="28">
        <v>3</v>
      </c>
      <c r="B991" s="29" t="s">
        <v>286</v>
      </c>
      <c r="C991" s="29" t="s">
        <v>287</v>
      </c>
      <c r="D991" s="29" t="s">
        <v>288</v>
      </c>
      <c r="E991" s="29" t="s">
        <v>172</v>
      </c>
      <c r="F991" s="28" t="s">
        <v>1245</v>
      </c>
      <c r="G991" s="28" t="s">
        <v>2694</v>
      </c>
      <c r="H991" s="28" t="s">
        <v>384</v>
      </c>
      <c r="I991" s="28">
        <v>6</v>
      </c>
      <c r="J991" s="30">
        <v>4.9000000000000002E-2</v>
      </c>
      <c r="K991" s="28" t="s">
        <v>554</v>
      </c>
      <c r="L991" s="31">
        <v>44317</v>
      </c>
      <c r="M991" s="28">
        <v>5</v>
      </c>
      <c r="N991" s="32" t="s">
        <v>191</v>
      </c>
      <c r="O991" s="28" t="s">
        <v>204</v>
      </c>
      <c r="P991" s="28" t="s">
        <v>2769</v>
      </c>
      <c r="Q991" s="28" t="s">
        <v>2745</v>
      </c>
      <c r="R991" s="28" t="s">
        <v>2292</v>
      </c>
    </row>
    <row r="992" spans="1:18">
      <c r="A992" s="28">
        <v>3</v>
      </c>
      <c r="B992" s="29" t="s">
        <v>286</v>
      </c>
      <c r="C992" s="29" t="s">
        <v>287</v>
      </c>
      <c r="D992" s="29" t="s">
        <v>288</v>
      </c>
      <c r="E992" s="29" t="s">
        <v>172</v>
      </c>
      <c r="F992" s="28" t="s">
        <v>1245</v>
      </c>
      <c r="G992" s="28" t="s">
        <v>2694</v>
      </c>
      <c r="H992" s="28" t="s">
        <v>384</v>
      </c>
      <c r="I992" s="28">
        <v>6</v>
      </c>
      <c r="J992" s="30">
        <v>4.9000000000000002E-2</v>
      </c>
      <c r="K992" s="28" t="s">
        <v>554</v>
      </c>
      <c r="L992" s="31">
        <v>44317</v>
      </c>
      <c r="M992" s="28">
        <v>5</v>
      </c>
      <c r="N992" s="32" t="s">
        <v>191</v>
      </c>
      <c r="O992" s="28" t="s">
        <v>204</v>
      </c>
      <c r="P992" s="28" t="s">
        <v>2770</v>
      </c>
      <c r="Q992" s="28" t="s">
        <v>2745</v>
      </c>
      <c r="R992" s="28" t="s">
        <v>2292</v>
      </c>
    </row>
    <row r="993" spans="1:18">
      <c r="A993" s="28">
        <v>3</v>
      </c>
      <c r="B993" s="29" t="s">
        <v>286</v>
      </c>
      <c r="C993" s="29" t="s">
        <v>287</v>
      </c>
      <c r="D993" s="29" t="s">
        <v>288</v>
      </c>
      <c r="E993" s="29" t="s">
        <v>172</v>
      </c>
      <c r="F993" s="28" t="s">
        <v>1245</v>
      </c>
      <c r="G993" s="28" t="s">
        <v>2694</v>
      </c>
      <c r="H993" s="28" t="s">
        <v>384</v>
      </c>
      <c r="I993" s="28">
        <v>6</v>
      </c>
      <c r="J993" s="30">
        <v>4.9000000000000002E-2</v>
      </c>
      <c r="K993" s="28" t="s">
        <v>2131</v>
      </c>
      <c r="L993" s="31">
        <v>44531</v>
      </c>
      <c r="M993" s="28">
        <v>12</v>
      </c>
      <c r="N993" s="32" t="s">
        <v>176</v>
      </c>
      <c r="O993" s="28" t="s">
        <v>204</v>
      </c>
      <c r="P993" s="28" t="s">
        <v>2771</v>
      </c>
      <c r="Q993" s="28" t="s">
        <v>2772</v>
      </c>
      <c r="R993" s="28" t="s">
        <v>2773</v>
      </c>
    </row>
    <row r="994" spans="1:18" hidden="1">
      <c r="A994" s="28">
        <v>4</v>
      </c>
      <c r="B994" s="29" t="s">
        <v>306</v>
      </c>
      <c r="C994" s="29" t="s">
        <v>307</v>
      </c>
      <c r="D994" s="29" t="s">
        <v>592</v>
      </c>
      <c r="E994" s="29" t="s">
        <v>172</v>
      </c>
      <c r="F994" s="28" t="s">
        <v>1245</v>
      </c>
      <c r="G994" s="28" t="s">
        <v>2694</v>
      </c>
      <c r="H994" s="28" t="s">
        <v>384</v>
      </c>
      <c r="I994" s="28">
        <v>6</v>
      </c>
      <c r="J994" s="30">
        <v>4.9000000000000002E-2</v>
      </c>
      <c r="K994" s="28" t="s">
        <v>769</v>
      </c>
      <c r="L994" s="31">
        <v>42826</v>
      </c>
      <c r="M994" s="28">
        <v>4</v>
      </c>
      <c r="N994" s="32" t="s">
        <v>191</v>
      </c>
      <c r="O994" s="28" t="s">
        <v>204</v>
      </c>
      <c r="P994" s="28" t="s">
        <v>2774</v>
      </c>
      <c r="Q994" s="28" t="s">
        <v>2775</v>
      </c>
      <c r="R994" s="28" t="s">
        <v>2776</v>
      </c>
    </row>
    <row r="995" spans="1:18" hidden="1">
      <c r="A995" s="28">
        <v>4</v>
      </c>
      <c r="B995" s="29" t="s">
        <v>306</v>
      </c>
      <c r="C995" s="29" t="s">
        <v>307</v>
      </c>
      <c r="D995" s="29" t="s">
        <v>308</v>
      </c>
      <c r="E995" s="29" t="s">
        <v>172</v>
      </c>
      <c r="F995" s="28" t="s">
        <v>1245</v>
      </c>
      <c r="G995" s="28" t="s">
        <v>2694</v>
      </c>
      <c r="H995" s="28" t="s">
        <v>384</v>
      </c>
      <c r="I995" s="28">
        <v>6</v>
      </c>
      <c r="J995" s="30">
        <v>4.9000000000000002E-2</v>
      </c>
      <c r="K995" s="28" t="s">
        <v>232</v>
      </c>
      <c r="L995" s="31">
        <v>42522</v>
      </c>
      <c r="M995" s="28">
        <v>6</v>
      </c>
      <c r="N995" s="32" t="s">
        <v>184</v>
      </c>
      <c r="O995" s="28" t="s">
        <v>794</v>
      </c>
      <c r="P995" s="28" t="s">
        <v>2777</v>
      </c>
      <c r="Q995" s="28" t="s">
        <v>2778</v>
      </c>
      <c r="R995" s="28" t="s">
        <v>2779</v>
      </c>
    </row>
    <row r="996" spans="1:18" hidden="1">
      <c r="A996" s="28">
        <v>4</v>
      </c>
      <c r="B996" s="29" t="s">
        <v>306</v>
      </c>
      <c r="C996" s="29" t="s">
        <v>307</v>
      </c>
      <c r="D996" s="29" t="s">
        <v>308</v>
      </c>
      <c r="E996" s="29" t="s">
        <v>172</v>
      </c>
      <c r="F996" s="28" t="s">
        <v>1245</v>
      </c>
      <c r="G996" s="28" t="s">
        <v>2694</v>
      </c>
      <c r="H996" s="28" t="s">
        <v>384</v>
      </c>
      <c r="I996" s="28">
        <v>6</v>
      </c>
      <c r="J996" s="30">
        <v>4.9000000000000002E-2</v>
      </c>
      <c r="K996" s="28" t="s">
        <v>267</v>
      </c>
      <c r="L996" s="31">
        <v>42583</v>
      </c>
      <c r="M996" s="28">
        <v>8</v>
      </c>
      <c r="N996" s="32" t="s">
        <v>184</v>
      </c>
      <c r="O996" s="28" t="s">
        <v>794</v>
      </c>
      <c r="P996" s="28" t="s">
        <v>2780</v>
      </c>
      <c r="Q996" s="28" t="s">
        <v>2778</v>
      </c>
      <c r="R996" s="28" t="s">
        <v>2779</v>
      </c>
    </row>
    <row r="997" spans="1:18" hidden="1">
      <c r="A997" s="28">
        <v>4</v>
      </c>
      <c r="B997" s="29" t="s">
        <v>306</v>
      </c>
      <c r="C997" s="29" t="s">
        <v>307</v>
      </c>
      <c r="D997" s="29" t="s">
        <v>308</v>
      </c>
      <c r="E997" s="29" t="s">
        <v>172</v>
      </c>
      <c r="F997" s="28" t="s">
        <v>1245</v>
      </c>
      <c r="G997" s="28" t="s">
        <v>2694</v>
      </c>
      <c r="H997" s="28" t="s">
        <v>384</v>
      </c>
      <c r="I997" s="28">
        <v>6</v>
      </c>
      <c r="J997" s="30">
        <v>4.9000000000000002E-2</v>
      </c>
      <c r="K997" s="28" t="s">
        <v>198</v>
      </c>
      <c r="L997" s="31">
        <v>42767</v>
      </c>
      <c r="M997" s="28">
        <v>2</v>
      </c>
      <c r="N997" s="32" t="s">
        <v>176</v>
      </c>
      <c r="O997" s="28" t="s">
        <v>794</v>
      </c>
      <c r="P997" s="28" t="s">
        <v>2781</v>
      </c>
      <c r="Q997" s="28" t="s">
        <v>2778</v>
      </c>
      <c r="R997" s="28" t="s">
        <v>2779</v>
      </c>
    </row>
    <row r="998" spans="1:18" hidden="1">
      <c r="A998" s="28">
        <v>4</v>
      </c>
      <c r="B998" s="29" t="s">
        <v>306</v>
      </c>
      <c r="C998" s="29" t="s">
        <v>307</v>
      </c>
      <c r="D998" s="29" t="s">
        <v>308</v>
      </c>
      <c r="E998" s="29" t="s">
        <v>172</v>
      </c>
      <c r="F998" s="28" t="s">
        <v>1245</v>
      </c>
      <c r="G998" s="28" t="s">
        <v>2694</v>
      </c>
      <c r="H998" s="28" t="s">
        <v>384</v>
      </c>
      <c r="I998" s="28">
        <v>6</v>
      </c>
      <c r="J998" s="30">
        <v>4.9000000000000002E-2</v>
      </c>
      <c r="K998" s="28" t="s">
        <v>218</v>
      </c>
      <c r="L998" s="31">
        <v>44044</v>
      </c>
      <c r="M998" s="28">
        <v>8</v>
      </c>
      <c r="N998" s="32" t="s">
        <v>184</v>
      </c>
      <c r="O998" s="28" t="s">
        <v>185</v>
      </c>
      <c r="P998" s="28" t="s">
        <v>2782</v>
      </c>
      <c r="Q998" s="28" t="s">
        <v>2783</v>
      </c>
      <c r="R998" s="28" t="s">
        <v>2784</v>
      </c>
    </row>
    <row r="999" spans="1:18" hidden="1">
      <c r="A999" s="28">
        <v>4</v>
      </c>
      <c r="B999" s="29" t="s">
        <v>306</v>
      </c>
      <c r="C999" s="29" t="s">
        <v>307</v>
      </c>
      <c r="D999" s="29" t="s">
        <v>308</v>
      </c>
      <c r="E999" s="29" t="s">
        <v>172</v>
      </c>
      <c r="F999" s="28" t="s">
        <v>1245</v>
      </c>
      <c r="G999" s="28" t="s">
        <v>2694</v>
      </c>
      <c r="H999" s="28" t="s">
        <v>384</v>
      </c>
      <c r="I999" s="28">
        <v>6</v>
      </c>
      <c r="J999" s="30">
        <v>4.9000000000000002E-2</v>
      </c>
      <c r="K999" s="28" t="s">
        <v>190</v>
      </c>
      <c r="L999" s="31">
        <v>44287</v>
      </c>
      <c r="M999" s="28">
        <v>4</v>
      </c>
      <c r="N999" s="32" t="s">
        <v>191</v>
      </c>
      <c r="O999" s="28" t="s">
        <v>794</v>
      </c>
      <c r="P999" s="28" t="s">
        <v>2785</v>
      </c>
      <c r="Q999" s="28" t="s">
        <v>2778</v>
      </c>
      <c r="R999" s="28" t="s">
        <v>2779</v>
      </c>
    </row>
    <row r="1000" spans="1:18" hidden="1">
      <c r="A1000" s="28">
        <v>4</v>
      </c>
      <c r="B1000" s="29" t="s">
        <v>306</v>
      </c>
      <c r="C1000" s="29" t="s">
        <v>312</v>
      </c>
      <c r="D1000" s="29" t="s">
        <v>313</v>
      </c>
      <c r="E1000" s="29" t="s">
        <v>172</v>
      </c>
      <c r="F1000" s="28" t="s">
        <v>1245</v>
      </c>
      <c r="G1000" s="28" t="s">
        <v>2694</v>
      </c>
      <c r="H1000" s="28" t="s">
        <v>384</v>
      </c>
      <c r="I1000" s="28">
        <v>6</v>
      </c>
      <c r="J1000" s="30">
        <v>4.9000000000000002E-2</v>
      </c>
      <c r="K1000" s="28" t="s">
        <v>769</v>
      </c>
      <c r="L1000" s="31">
        <v>42826</v>
      </c>
      <c r="M1000" s="28">
        <v>4</v>
      </c>
      <c r="N1000" s="32" t="s">
        <v>191</v>
      </c>
      <c r="O1000" s="28" t="s">
        <v>204</v>
      </c>
      <c r="P1000" s="28" t="s">
        <v>2786</v>
      </c>
      <c r="Q1000" s="28" t="s">
        <v>2714</v>
      </c>
      <c r="R1000" s="28" t="s">
        <v>2715</v>
      </c>
    </row>
    <row r="1001" spans="1:18" hidden="1">
      <c r="A1001" s="28">
        <v>4</v>
      </c>
      <c r="B1001" s="29" t="s">
        <v>306</v>
      </c>
      <c r="C1001" s="29" t="s">
        <v>312</v>
      </c>
      <c r="D1001" s="29" t="s">
        <v>313</v>
      </c>
      <c r="E1001" s="29" t="s">
        <v>172</v>
      </c>
      <c r="F1001" s="28" t="s">
        <v>1245</v>
      </c>
      <c r="G1001" s="28" t="s">
        <v>2694</v>
      </c>
      <c r="H1001" s="28" t="s">
        <v>384</v>
      </c>
      <c r="I1001" s="28">
        <v>6</v>
      </c>
      <c r="J1001" s="30">
        <v>4.9000000000000002E-2</v>
      </c>
      <c r="K1001" s="28" t="s">
        <v>430</v>
      </c>
      <c r="L1001" s="31">
        <v>44105</v>
      </c>
      <c r="M1001" s="28">
        <v>10</v>
      </c>
      <c r="N1001" s="32" t="s">
        <v>191</v>
      </c>
      <c r="O1001" s="28" t="s">
        <v>794</v>
      </c>
      <c r="P1001" s="28" t="s">
        <v>2787</v>
      </c>
      <c r="Q1001" s="28" t="s">
        <v>2788</v>
      </c>
      <c r="R1001" s="28" t="s">
        <v>2789</v>
      </c>
    </row>
    <row r="1002" spans="1:18" hidden="1">
      <c r="A1002" s="28">
        <v>4</v>
      </c>
      <c r="B1002" s="29" t="s">
        <v>306</v>
      </c>
      <c r="C1002" s="29" t="s">
        <v>1776</v>
      </c>
      <c r="D1002" s="29" t="s">
        <v>1777</v>
      </c>
      <c r="E1002" s="29" t="s">
        <v>172</v>
      </c>
      <c r="F1002" s="28" t="s">
        <v>1245</v>
      </c>
      <c r="G1002" s="28" t="s">
        <v>2694</v>
      </c>
      <c r="H1002" s="28" t="s">
        <v>384</v>
      </c>
      <c r="I1002" s="28">
        <v>6</v>
      </c>
      <c r="J1002" s="30">
        <v>4.9000000000000002E-2</v>
      </c>
      <c r="K1002" s="28" t="s">
        <v>401</v>
      </c>
      <c r="L1002" s="31">
        <v>42705</v>
      </c>
      <c r="M1002" s="28">
        <v>12</v>
      </c>
      <c r="N1002" s="32" t="s">
        <v>176</v>
      </c>
      <c r="O1002" s="28" t="s">
        <v>204</v>
      </c>
      <c r="P1002" s="28" t="s">
        <v>2790</v>
      </c>
      <c r="Q1002" s="28" t="s">
        <v>2791</v>
      </c>
      <c r="R1002" s="28" t="s">
        <v>2792</v>
      </c>
    </row>
    <row r="1003" spans="1:18" hidden="1">
      <c r="A1003" s="28">
        <v>4</v>
      </c>
      <c r="B1003" s="29" t="s">
        <v>306</v>
      </c>
      <c r="C1003" s="29" t="s">
        <v>624</v>
      </c>
      <c r="D1003" s="29" t="s">
        <v>625</v>
      </c>
      <c r="E1003" s="29" t="s">
        <v>172</v>
      </c>
      <c r="F1003" s="28" t="s">
        <v>1245</v>
      </c>
      <c r="G1003" s="28" t="s">
        <v>2694</v>
      </c>
      <c r="H1003" s="28" t="s">
        <v>384</v>
      </c>
      <c r="I1003" s="28">
        <v>6</v>
      </c>
      <c r="J1003" s="30">
        <v>4.9000000000000002E-2</v>
      </c>
      <c r="K1003" s="28" t="s">
        <v>361</v>
      </c>
      <c r="L1003" s="31">
        <v>43435</v>
      </c>
      <c r="M1003" s="28">
        <v>12</v>
      </c>
      <c r="N1003" s="32" t="s">
        <v>176</v>
      </c>
      <c r="O1003" s="28" t="s">
        <v>204</v>
      </c>
      <c r="P1003" s="28" t="s">
        <v>2793</v>
      </c>
      <c r="Q1003" s="28" t="s">
        <v>634</v>
      </c>
      <c r="R1003" s="28" t="s">
        <v>635</v>
      </c>
    </row>
    <row r="1004" spans="1:18" hidden="1">
      <c r="A1004" s="28">
        <v>4</v>
      </c>
      <c r="B1004" s="29" t="s">
        <v>306</v>
      </c>
      <c r="C1004" s="29" t="s">
        <v>624</v>
      </c>
      <c r="D1004" s="29" t="s">
        <v>630</v>
      </c>
      <c r="E1004" s="29" t="s">
        <v>172</v>
      </c>
      <c r="F1004" s="28" t="s">
        <v>1245</v>
      </c>
      <c r="G1004" s="28" t="s">
        <v>2694</v>
      </c>
      <c r="H1004" s="28" t="s">
        <v>384</v>
      </c>
      <c r="I1004" s="28">
        <v>6</v>
      </c>
      <c r="J1004" s="30">
        <v>4.9000000000000002E-2</v>
      </c>
      <c r="K1004" s="28" t="s">
        <v>485</v>
      </c>
      <c r="L1004" s="31">
        <v>42401</v>
      </c>
      <c r="M1004" s="28">
        <v>2</v>
      </c>
      <c r="N1004" s="32" t="s">
        <v>176</v>
      </c>
      <c r="O1004" s="28" t="s">
        <v>204</v>
      </c>
      <c r="P1004" s="28" t="s">
        <v>2794</v>
      </c>
      <c r="Q1004" s="28" t="s">
        <v>634</v>
      </c>
      <c r="R1004" s="28" t="s">
        <v>635</v>
      </c>
    </row>
    <row r="1005" spans="1:18" hidden="1">
      <c r="A1005" s="28">
        <v>4</v>
      </c>
      <c r="B1005" s="29" t="s">
        <v>306</v>
      </c>
      <c r="C1005" s="29" t="s">
        <v>624</v>
      </c>
      <c r="D1005" s="29" t="s">
        <v>630</v>
      </c>
      <c r="E1005" s="29" t="s">
        <v>172</v>
      </c>
      <c r="F1005" s="28" t="s">
        <v>1245</v>
      </c>
      <c r="G1005" s="28" t="s">
        <v>2694</v>
      </c>
      <c r="H1005" s="28" t="s">
        <v>384</v>
      </c>
      <c r="I1005" s="28">
        <v>6</v>
      </c>
      <c r="J1005" s="30">
        <v>4.9000000000000002E-2</v>
      </c>
      <c r="K1005" s="28" t="s">
        <v>267</v>
      </c>
      <c r="L1005" s="31">
        <v>42583</v>
      </c>
      <c r="M1005" s="28">
        <v>8</v>
      </c>
      <c r="N1005" s="32" t="s">
        <v>184</v>
      </c>
      <c r="O1005" s="28" t="s">
        <v>204</v>
      </c>
      <c r="P1005" s="28" t="s">
        <v>2795</v>
      </c>
      <c r="Q1005" s="28" t="s">
        <v>634</v>
      </c>
      <c r="R1005" s="28" t="s">
        <v>635</v>
      </c>
    </row>
    <row r="1006" spans="1:18" hidden="1">
      <c r="A1006" s="28">
        <v>4</v>
      </c>
      <c r="B1006" s="29" t="s">
        <v>306</v>
      </c>
      <c r="C1006" s="29" t="s">
        <v>624</v>
      </c>
      <c r="D1006" s="29" t="s">
        <v>630</v>
      </c>
      <c r="E1006" s="29" t="s">
        <v>172</v>
      </c>
      <c r="F1006" s="28" t="s">
        <v>1245</v>
      </c>
      <c r="G1006" s="28" t="s">
        <v>2694</v>
      </c>
      <c r="H1006" s="28" t="s">
        <v>384</v>
      </c>
      <c r="I1006" s="28">
        <v>6</v>
      </c>
      <c r="J1006" s="30">
        <v>4.9000000000000002E-2</v>
      </c>
      <c r="K1006" s="28" t="s">
        <v>289</v>
      </c>
      <c r="L1006" s="31">
        <v>42795</v>
      </c>
      <c r="M1006" s="28">
        <v>3</v>
      </c>
      <c r="N1006" s="32" t="s">
        <v>191</v>
      </c>
      <c r="O1006" s="28" t="s">
        <v>204</v>
      </c>
      <c r="P1006" s="28" t="s">
        <v>2796</v>
      </c>
      <c r="Q1006" s="28" t="s">
        <v>634</v>
      </c>
      <c r="R1006" s="28" t="s">
        <v>635</v>
      </c>
    </row>
    <row r="1007" spans="1:18" hidden="1">
      <c r="A1007" s="28">
        <v>4</v>
      </c>
      <c r="B1007" s="29" t="s">
        <v>306</v>
      </c>
      <c r="C1007" s="29" t="s">
        <v>624</v>
      </c>
      <c r="D1007" s="29" t="s">
        <v>630</v>
      </c>
      <c r="E1007" s="29" t="s">
        <v>172</v>
      </c>
      <c r="F1007" s="28" t="s">
        <v>1245</v>
      </c>
      <c r="G1007" s="28" t="s">
        <v>2694</v>
      </c>
      <c r="H1007" s="28" t="s">
        <v>384</v>
      </c>
      <c r="I1007" s="28">
        <v>6</v>
      </c>
      <c r="J1007" s="30">
        <v>4.9000000000000002E-2</v>
      </c>
      <c r="K1007" s="28" t="s">
        <v>769</v>
      </c>
      <c r="L1007" s="31">
        <v>42826</v>
      </c>
      <c r="M1007" s="28">
        <v>4</v>
      </c>
      <c r="N1007" s="32" t="s">
        <v>191</v>
      </c>
      <c r="O1007" s="28" t="s">
        <v>204</v>
      </c>
      <c r="P1007" s="28" t="s">
        <v>2797</v>
      </c>
      <c r="Q1007" s="28" t="s">
        <v>2798</v>
      </c>
      <c r="R1007" s="28" t="s">
        <v>635</v>
      </c>
    </row>
    <row r="1008" spans="1:18" hidden="1">
      <c r="A1008" s="28">
        <v>4</v>
      </c>
      <c r="B1008" s="29" t="s">
        <v>306</v>
      </c>
      <c r="C1008" s="29" t="s">
        <v>624</v>
      </c>
      <c r="D1008" s="29" t="s">
        <v>630</v>
      </c>
      <c r="E1008" s="29" t="s">
        <v>172</v>
      </c>
      <c r="F1008" s="28" t="s">
        <v>1245</v>
      </c>
      <c r="G1008" s="28" t="s">
        <v>2694</v>
      </c>
      <c r="H1008" s="28" t="s">
        <v>384</v>
      </c>
      <c r="I1008" s="28">
        <v>6</v>
      </c>
      <c r="J1008" s="30">
        <v>4.9000000000000002E-2</v>
      </c>
      <c r="K1008" s="28" t="s">
        <v>212</v>
      </c>
      <c r="L1008" s="31">
        <v>43313</v>
      </c>
      <c r="M1008" s="28">
        <v>8</v>
      </c>
      <c r="N1008" s="32" t="s">
        <v>184</v>
      </c>
      <c r="O1008" s="28" t="s">
        <v>204</v>
      </c>
      <c r="P1008" s="28" t="s">
        <v>2799</v>
      </c>
      <c r="Q1008" s="28" t="s">
        <v>2717</v>
      </c>
      <c r="R1008" s="28" t="s">
        <v>2718</v>
      </c>
    </row>
    <row r="1009" spans="1:18" hidden="1">
      <c r="A1009" s="28">
        <v>4</v>
      </c>
      <c r="B1009" s="29" t="s">
        <v>306</v>
      </c>
      <c r="C1009" s="29" t="s">
        <v>624</v>
      </c>
      <c r="D1009" s="29" t="s">
        <v>630</v>
      </c>
      <c r="E1009" s="29" t="s">
        <v>172</v>
      </c>
      <c r="F1009" s="28" t="s">
        <v>1245</v>
      </c>
      <c r="G1009" s="28" t="s">
        <v>2694</v>
      </c>
      <c r="H1009" s="28" t="s">
        <v>384</v>
      </c>
      <c r="I1009" s="28">
        <v>6</v>
      </c>
      <c r="J1009" s="30">
        <v>4.9000000000000002E-2</v>
      </c>
      <c r="K1009" s="28" t="s">
        <v>293</v>
      </c>
      <c r="L1009" s="31">
        <v>43374</v>
      </c>
      <c r="M1009" s="28">
        <v>10</v>
      </c>
      <c r="N1009" s="32" t="s">
        <v>191</v>
      </c>
      <c r="O1009" s="28" t="s">
        <v>204</v>
      </c>
      <c r="P1009" s="28" t="s">
        <v>2800</v>
      </c>
      <c r="Q1009" s="28" t="s">
        <v>2696</v>
      </c>
      <c r="R1009" s="28" t="s">
        <v>2697</v>
      </c>
    </row>
    <row r="1010" spans="1:18" hidden="1">
      <c r="A1010" s="28">
        <v>4</v>
      </c>
      <c r="B1010" s="29" t="s">
        <v>306</v>
      </c>
      <c r="C1010" s="29" t="s">
        <v>624</v>
      </c>
      <c r="D1010" s="29" t="s">
        <v>630</v>
      </c>
      <c r="E1010" s="29" t="s">
        <v>172</v>
      </c>
      <c r="F1010" s="28" t="s">
        <v>1245</v>
      </c>
      <c r="G1010" s="28" t="s">
        <v>2694</v>
      </c>
      <c r="H1010" s="28" t="s">
        <v>384</v>
      </c>
      <c r="I1010" s="28">
        <v>6</v>
      </c>
      <c r="J1010" s="30">
        <v>4.9000000000000002E-2</v>
      </c>
      <c r="K1010" s="28" t="s">
        <v>520</v>
      </c>
      <c r="L1010" s="31">
        <v>43800</v>
      </c>
      <c r="M1010" s="28">
        <v>12</v>
      </c>
      <c r="N1010" s="32" t="s">
        <v>176</v>
      </c>
      <c r="O1010" s="28" t="s">
        <v>204</v>
      </c>
      <c r="P1010" s="28" t="s">
        <v>2801</v>
      </c>
      <c r="Q1010" s="28" t="s">
        <v>2802</v>
      </c>
      <c r="R1010" s="28" t="s">
        <v>635</v>
      </c>
    </row>
    <row r="1011" spans="1:18" hidden="1">
      <c r="A1011" s="28">
        <v>4</v>
      </c>
      <c r="B1011" s="29" t="s">
        <v>306</v>
      </c>
      <c r="C1011" s="29" t="s">
        <v>624</v>
      </c>
      <c r="D1011" s="29" t="s">
        <v>630</v>
      </c>
      <c r="E1011" s="29" t="s">
        <v>172</v>
      </c>
      <c r="F1011" s="28" t="s">
        <v>1245</v>
      </c>
      <c r="G1011" s="28" t="s">
        <v>2694</v>
      </c>
      <c r="H1011" s="28" t="s">
        <v>384</v>
      </c>
      <c r="I1011" s="28">
        <v>6</v>
      </c>
      <c r="J1011" s="30">
        <v>4.9000000000000002E-2</v>
      </c>
      <c r="K1011" s="28" t="s">
        <v>643</v>
      </c>
      <c r="L1011" s="31">
        <v>44013</v>
      </c>
      <c r="M1011" s="28">
        <v>7</v>
      </c>
      <c r="N1011" s="32" t="s">
        <v>184</v>
      </c>
      <c r="O1011" s="28" t="s">
        <v>204</v>
      </c>
      <c r="P1011" s="28" t="s">
        <v>2803</v>
      </c>
      <c r="Q1011" s="28" t="s">
        <v>634</v>
      </c>
      <c r="R1011" s="28" t="s">
        <v>635</v>
      </c>
    </row>
    <row r="1012" spans="1:18" hidden="1">
      <c r="A1012" s="28">
        <v>4</v>
      </c>
      <c r="B1012" s="29" t="s">
        <v>306</v>
      </c>
      <c r="C1012" s="29" t="s">
        <v>624</v>
      </c>
      <c r="D1012" s="29" t="s">
        <v>630</v>
      </c>
      <c r="E1012" s="29" t="s">
        <v>172</v>
      </c>
      <c r="F1012" s="28" t="s">
        <v>1245</v>
      </c>
      <c r="G1012" s="28" t="s">
        <v>2694</v>
      </c>
      <c r="H1012" s="28" t="s">
        <v>384</v>
      </c>
      <c r="I1012" s="28">
        <v>6</v>
      </c>
      <c r="J1012" s="30">
        <v>4.9000000000000002E-2</v>
      </c>
      <c r="K1012" s="28" t="s">
        <v>218</v>
      </c>
      <c r="L1012" s="31">
        <v>44044</v>
      </c>
      <c r="M1012" s="28">
        <v>8</v>
      </c>
      <c r="N1012" s="32" t="s">
        <v>184</v>
      </c>
      <c r="O1012" s="28" t="s">
        <v>204</v>
      </c>
      <c r="P1012" s="28" t="s">
        <v>2804</v>
      </c>
      <c r="Q1012" s="28" t="s">
        <v>634</v>
      </c>
      <c r="R1012" s="28" t="s">
        <v>635</v>
      </c>
    </row>
    <row r="1013" spans="1:18" hidden="1">
      <c r="A1013" s="28">
        <v>4</v>
      </c>
      <c r="B1013" s="29" t="s">
        <v>306</v>
      </c>
      <c r="C1013" s="29" t="s">
        <v>624</v>
      </c>
      <c r="D1013" s="29" t="s">
        <v>630</v>
      </c>
      <c r="E1013" s="29" t="s">
        <v>172</v>
      </c>
      <c r="F1013" s="28" t="s">
        <v>1245</v>
      </c>
      <c r="G1013" s="28" t="s">
        <v>2694</v>
      </c>
      <c r="H1013" s="28" t="s">
        <v>384</v>
      </c>
      <c r="I1013" s="28">
        <v>6</v>
      </c>
      <c r="J1013" s="30">
        <v>4.9000000000000002E-2</v>
      </c>
      <c r="K1013" s="28" t="s">
        <v>962</v>
      </c>
      <c r="L1013" s="31">
        <v>44348</v>
      </c>
      <c r="M1013" s="28">
        <v>6</v>
      </c>
      <c r="N1013" s="32" t="s">
        <v>184</v>
      </c>
      <c r="O1013" s="28" t="s">
        <v>204</v>
      </c>
      <c r="P1013" s="28" t="s">
        <v>2805</v>
      </c>
      <c r="Q1013" s="28" t="s">
        <v>2806</v>
      </c>
      <c r="R1013" s="28" t="s">
        <v>635</v>
      </c>
    </row>
    <row r="1014" spans="1:18" hidden="1">
      <c r="A1014" s="28">
        <v>4</v>
      </c>
      <c r="B1014" s="29" t="s">
        <v>306</v>
      </c>
      <c r="C1014" s="29" t="s">
        <v>624</v>
      </c>
      <c r="D1014" s="29" t="s">
        <v>630</v>
      </c>
      <c r="E1014" s="29" t="s">
        <v>172</v>
      </c>
      <c r="F1014" s="28" t="s">
        <v>1245</v>
      </c>
      <c r="G1014" s="28" t="s">
        <v>2694</v>
      </c>
      <c r="H1014" s="28" t="s">
        <v>384</v>
      </c>
      <c r="I1014" s="28">
        <v>6</v>
      </c>
      <c r="J1014" s="30">
        <v>4.9000000000000002E-2</v>
      </c>
      <c r="K1014" s="28" t="s">
        <v>632</v>
      </c>
      <c r="L1014" s="31">
        <v>44378</v>
      </c>
      <c r="M1014" s="28">
        <v>7</v>
      </c>
      <c r="N1014" s="32" t="s">
        <v>184</v>
      </c>
      <c r="O1014" s="28" t="s">
        <v>204</v>
      </c>
      <c r="P1014" s="28" t="s">
        <v>2807</v>
      </c>
      <c r="Q1014" s="28" t="s">
        <v>634</v>
      </c>
      <c r="R1014" s="28" t="s">
        <v>635</v>
      </c>
    </row>
    <row r="1015" spans="1:18" hidden="1">
      <c r="A1015" s="28">
        <v>4</v>
      </c>
      <c r="B1015" s="29" t="s">
        <v>306</v>
      </c>
      <c r="C1015" s="29" t="s">
        <v>318</v>
      </c>
      <c r="D1015" s="29" t="s">
        <v>319</v>
      </c>
      <c r="E1015" s="29" t="s">
        <v>172</v>
      </c>
      <c r="F1015" s="28" t="s">
        <v>1245</v>
      </c>
      <c r="G1015" s="28" t="s">
        <v>2694</v>
      </c>
      <c r="H1015" s="28" t="s">
        <v>384</v>
      </c>
      <c r="I1015" s="28">
        <v>6</v>
      </c>
      <c r="J1015" s="30">
        <v>4.9000000000000002E-2</v>
      </c>
      <c r="K1015" s="28" t="s">
        <v>232</v>
      </c>
      <c r="L1015" s="31">
        <v>42522</v>
      </c>
      <c r="M1015" s="28">
        <v>6</v>
      </c>
      <c r="N1015" s="32" t="s">
        <v>184</v>
      </c>
      <c r="O1015" s="28" t="s">
        <v>204</v>
      </c>
      <c r="P1015" s="28" t="s">
        <v>2808</v>
      </c>
      <c r="Q1015" s="28" t="s">
        <v>2809</v>
      </c>
      <c r="R1015" s="28" t="s">
        <v>2385</v>
      </c>
    </row>
    <row r="1016" spans="1:18" hidden="1">
      <c r="A1016" s="28">
        <v>4</v>
      </c>
      <c r="B1016" s="29" t="s">
        <v>306</v>
      </c>
      <c r="C1016" s="29" t="s">
        <v>318</v>
      </c>
      <c r="D1016" s="29" t="s">
        <v>323</v>
      </c>
      <c r="E1016" s="29" t="s">
        <v>172</v>
      </c>
      <c r="F1016" s="28" t="s">
        <v>1245</v>
      </c>
      <c r="G1016" s="28" t="s">
        <v>2694</v>
      </c>
      <c r="H1016" s="28" t="s">
        <v>384</v>
      </c>
      <c r="I1016" s="28">
        <v>6</v>
      </c>
      <c r="J1016" s="30">
        <v>4.9000000000000002E-2</v>
      </c>
      <c r="K1016" s="28" t="s">
        <v>267</v>
      </c>
      <c r="L1016" s="31">
        <v>42583</v>
      </c>
      <c r="M1016" s="28">
        <v>8</v>
      </c>
      <c r="N1016" s="32" t="s">
        <v>184</v>
      </c>
      <c r="O1016" s="28" t="s">
        <v>204</v>
      </c>
      <c r="P1016" s="28" t="s">
        <v>2810</v>
      </c>
      <c r="Q1016" s="28" t="s">
        <v>2811</v>
      </c>
      <c r="R1016" s="28" t="s">
        <v>1362</v>
      </c>
    </row>
    <row r="1017" spans="1:18" hidden="1">
      <c r="A1017" s="28">
        <v>4</v>
      </c>
      <c r="B1017" s="29" t="s">
        <v>306</v>
      </c>
      <c r="C1017" s="29" t="s">
        <v>318</v>
      </c>
      <c r="D1017" s="29" t="s">
        <v>323</v>
      </c>
      <c r="E1017" s="29" t="s">
        <v>172</v>
      </c>
      <c r="F1017" s="28" t="s">
        <v>1245</v>
      </c>
      <c r="G1017" s="28" t="s">
        <v>2694</v>
      </c>
      <c r="H1017" s="28" t="s">
        <v>384</v>
      </c>
      <c r="I1017" s="28">
        <v>6</v>
      </c>
      <c r="J1017" s="30">
        <v>4.9000000000000002E-2</v>
      </c>
      <c r="K1017" s="28" t="s">
        <v>971</v>
      </c>
      <c r="L1017" s="31">
        <v>42979</v>
      </c>
      <c r="M1017" s="28">
        <v>9</v>
      </c>
      <c r="N1017" s="32" t="s">
        <v>191</v>
      </c>
      <c r="O1017" s="28" t="s">
        <v>204</v>
      </c>
      <c r="P1017" s="28" t="s">
        <v>2812</v>
      </c>
      <c r="Q1017" s="28" t="s">
        <v>2813</v>
      </c>
      <c r="R1017" s="28" t="s">
        <v>2814</v>
      </c>
    </row>
    <row r="1018" spans="1:18" hidden="1">
      <c r="A1018" s="28">
        <v>4</v>
      </c>
      <c r="B1018" s="29" t="s">
        <v>306</v>
      </c>
      <c r="C1018" s="29" t="s">
        <v>318</v>
      </c>
      <c r="D1018" s="29" t="s">
        <v>323</v>
      </c>
      <c r="E1018" s="29" t="s">
        <v>172</v>
      </c>
      <c r="F1018" s="28" t="s">
        <v>1245</v>
      </c>
      <c r="G1018" s="28" t="s">
        <v>2694</v>
      </c>
      <c r="H1018" s="28" t="s">
        <v>384</v>
      </c>
      <c r="I1018" s="28">
        <v>6</v>
      </c>
      <c r="J1018" s="30">
        <v>4.9000000000000002E-2</v>
      </c>
      <c r="K1018" s="28" t="s">
        <v>473</v>
      </c>
      <c r="L1018" s="31">
        <v>43160</v>
      </c>
      <c r="M1018" s="28">
        <v>3</v>
      </c>
      <c r="N1018" s="32" t="s">
        <v>191</v>
      </c>
      <c r="O1018" s="28" t="s">
        <v>204</v>
      </c>
      <c r="P1018" s="28" t="s">
        <v>2815</v>
      </c>
      <c r="Q1018" s="28" t="s">
        <v>2816</v>
      </c>
      <c r="R1018" s="28" t="s">
        <v>2817</v>
      </c>
    </row>
    <row r="1019" spans="1:18" hidden="1">
      <c r="A1019" s="28">
        <v>4</v>
      </c>
      <c r="B1019" s="29" t="s">
        <v>306</v>
      </c>
      <c r="C1019" s="29" t="s">
        <v>318</v>
      </c>
      <c r="D1019" s="29" t="s">
        <v>323</v>
      </c>
      <c r="E1019" s="29" t="s">
        <v>172</v>
      </c>
      <c r="F1019" s="28" t="s">
        <v>1245</v>
      </c>
      <c r="G1019" s="28" t="s">
        <v>2694</v>
      </c>
      <c r="H1019" s="28" t="s">
        <v>384</v>
      </c>
      <c r="I1019" s="28">
        <v>6</v>
      </c>
      <c r="J1019" s="30">
        <v>4.9000000000000002E-2</v>
      </c>
      <c r="K1019" s="28" t="s">
        <v>473</v>
      </c>
      <c r="L1019" s="31">
        <v>43160</v>
      </c>
      <c r="M1019" s="28">
        <v>3</v>
      </c>
      <c r="N1019" s="32" t="s">
        <v>191</v>
      </c>
      <c r="O1019" s="28" t="s">
        <v>204</v>
      </c>
      <c r="P1019" s="28" t="s">
        <v>2818</v>
      </c>
      <c r="Q1019" s="28" t="s">
        <v>2819</v>
      </c>
      <c r="R1019" s="28" t="s">
        <v>2820</v>
      </c>
    </row>
    <row r="1020" spans="1:18" hidden="1">
      <c r="A1020" s="28">
        <v>4</v>
      </c>
      <c r="B1020" s="29" t="s">
        <v>306</v>
      </c>
      <c r="C1020" s="29" t="s">
        <v>318</v>
      </c>
      <c r="D1020" s="29" t="s">
        <v>323</v>
      </c>
      <c r="E1020" s="29" t="s">
        <v>172</v>
      </c>
      <c r="F1020" s="28" t="s">
        <v>1245</v>
      </c>
      <c r="G1020" s="28" t="s">
        <v>2694</v>
      </c>
      <c r="H1020" s="28" t="s">
        <v>384</v>
      </c>
      <c r="I1020" s="28">
        <v>6</v>
      </c>
      <c r="J1020" s="30">
        <v>4.9000000000000002E-2</v>
      </c>
      <c r="K1020" s="28" t="s">
        <v>475</v>
      </c>
      <c r="L1020" s="31">
        <v>43191</v>
      </c>
      <c r="M1020" s="28">
        <v>4</v>
      </c>
      <c r="N1020" s="32" t="s">
        <v>191</v>
      </c>
      <c r="O1020" s="28" t="s">
        <v>204</v>
      </c>
      <c r="P1020" s="28" t="s">
        <v>2821</v>
      </c>
      <c r="Q1020" s="28" t="s">
        <v>2822</v>
      </c>
      <c r="R1020" s="28" t="s">
        <v>2823</v>
      </c>
    </row>
    <row r="1021" spans="1:18" hidden="1">
      <c r="A1021" s="28">
        <v>4</v>
      </c>
      <c r="B1021" s="29" t="s">
        <v>306</v>
      </c>
      <c r="C1021" s="29" t="s">
        <v>649</v>
      </c>
      <c r="D1021" s="29" t="s">
        <v>2481</v>
      </c>
      <c r="E1021" s="29" t="s">
        <v>172</v>
      </c>
      <c r="F1021" s="28" t="s">
        <v>1245</v>
      </c>
      <c r="G1021" s="28" t="s">
        <v>2694</v>
      </c>
      <c r="H1021" s="28" t="s">
        <v>384</v>
      </c>
      <c r="I1021" s="28">
        <v>6</v>
      </c>
      <c r="J1021" s="30">
        <v>4.9000000000000002E-2</v>
      </c>
      <c r="K1021" s="28" t="s">
        <v>198</v>
      </c>
      <c r="L1021" s="31">
        <v>42767</v>
      </c>
      <c r="M1021" s="28">
        <v>2</v>
      </c>
      <c r="N1021" s="32" t="s">
        <v>176</v>
      </c>
      <c r="O1021" s="28" t="s">
        <v>204</v>
      </c>
      <c r="P1021" s="28" t="s">
        <v>2824</v>
      </c>
      <c r="Q1021" s="28" t="s">
        <v>2825</v>
      </c>
      <c r="R1021" s="28" t="s">
        <v>2826</v>
      </c>
    </row>
    <row r="1022" spans="1:18" hidden="1">
      <c r="A1022" s="28">
        <v>4</v>
      </c>
      <c r="B1022" s="29" t="s">
        <v>306</v>
      </c>
      <c r="C1022" s="29" t="s">
        <v>649</v>
      </c>
      <c r="D1022" s="29" t="s">
        <v>2481</v>
      </c>
      <c r="E1022" s="29" t="s">
        <v>172</v>
      </c>
      <c r="F1022" s="28" t="s">
        <v>1245</v>
      </c>
      <c r="G1022" s="28" t="s">
        <v>2694</v>
      </c>
      <c r="H1022" s="28" t="s">
        <v>384</v>
      </c>
      <c r="I1022" s="28">
        <v>6</v>
      </c>
      <c r="J1022" s="30">
        <v>4.9000000000000002E-2</v>
      </c>
      <c r="K1022" s="28" t="s">
        <v>464</v>
      </c>
      <c r="L1022" s="31">
        <v>42887</v>
      </c>
      <c r="M1022" s="28">
        <v>6</v>
      </c>
      <c r="N1022" s="32" t="s">
        <v>184</v>
      </c>
      <c r="O1022" s="28" t="s">
        <v>204</v>
      </c>
      <c r="P1022" s="28" t="s">
        <v>2827</v>
      </c>
      <c r="Q1022" s="28" t="s">
        <v>2828</v>
      </c>
      <c r="R1022" s="28" t="s">
        <v>2829</v>
      </c>
    </row>
    <row r="1023" spans="1:18" hidden="1">
      <c r="A1023" s="28">
        <v>4</v>
      </c>
      <c r="B1023" s="29" t="s">
        <v>306</v>
      </c>
      <c r="C1023" s="29" t="s">
        <v>649</v>
      </c>
      <c r="D1023" s="29" t="s">
        <v>2481</v>
      </c>
      <c r="E1023" s="29" t="s">
        <v>172</v>
      </c>
      <c r="F1023" s="28" t="s">
        <v>1245</v>
      </c>
      <c r="G1023" s="28" t="s">
        <v>2694</v>
      </c>
      <c r="H1023" s="28" t="s">
        <v>384</v>
      </c>
      <c r="I1023" s="28">
        <v>6</v>
      </c>
      <c r="J1023" s="30">
        <v>4.9000000000000002E-2</v>
      </c>
      <c r="K1023" s="28" t="s">
        <v>361</v>
      </c>
      <c r="L1023" s="31">
        <v>43435</v>
      </c>
      <c r="M1023" s="28">
        <v>12</v>
      </c>
      <c r="N1023" s="32" t="s">
        <v>176</v>
      </c>
      <c r="O1023" s="28" t="s">
        <v>204</v>
      </c>
      <c r="P1023" s="28" t="s">
        <v>2830</v>
      </c>
      <c r="Q1023" s="28" t="s">
        <v>2831</v>
      </c>
      <c r="R1023" s="28" t="s">
        <v>2832</v>
      </c>
    </row>
    <row r="1024" spans="1:18" hidden="1">
      <c r="A1024" s="28">
        <v>4</v>
      </c>
      <c r="B1024" s="29" t="s">
        <v>306</v>
      </c>
      <c r="C1024" s="29" t="s">
        <v>649</v>
      </c>
      <c r="D1024" s="29" t="s">
        <v>650</v>
      </c>
      <c r="E1024" s="29" t="s">
        <v>172</v>
      </c>
      <c r="F1024" s="28" t="s">
        <v>1245</v>
      </c>
      <c r="G1024" s="28" t="s">
        <v>2694</v>
      </c>
      <c r="H1024" s="28" t="s">
        <v>384</v>
      </c>
      <c r="I1024" s="28">
        <v>6</v>
      </c>
      <c r="J1024" s="30">
        <v>4.9000000000000002E-2</v>
      </c>
      <c r="K1024" s="28" t="s">
        <v>587</v>
      </c>
      <c r="L1024" s="31">
        <v>42736</v>
      </c>
      <c r="M1024" s="28">
        <v>1</v>
      </c>
      <c r="N1024" s="32" t="s">
        <v>176</v>
      </c>
      <c r="O1024" s="28" t="s">
        <v>204</v>
      </c>
      <c r="P1024" s="28" t="s">
        <v>2833</v>
      </c>
      <c r="Q1024" s="28" t="s">
        <v>2825</v>
      </c>
      <c r="R1024" s="28" t="s">
        <v>2826</v>
      </c>
    </row>
    <row r="1025" spans="1:18" hidden="1">
      <c r="A1025" s="28">
        <v>4</v>
      </c>
      <c r="B1025" s="29" t="s">
        <v>306</v>
      </c>
      <c r="C1025" s="29" t="s">
        <v>649</v>
      </c>
      <c r="D1025" s="29" t="s">
        <v>650</v>
      </c>
      <c r="E1025" s="29" t="s">
        <v>172</v>
      </c>
      <c r="F1025" s="28" t="s">
        <v>1245</v>
      </c>
      <c r="G1025" s="28" t="s">
        <v>2694</v>
      </c>
      <c r="H1025" s="28" t="s">
        <v>384</v>
      </c>
      <c r="I1025" s="28">
        <v>6</v>
      </c>
      <c r="J1025" s="30">
        <v>4.9000000000000002E-2</v>
      </c>
      <c r="K1025" s="28" t="s">
        <v>435</v>
      </c>
      <c r="L1025" s="31">
        <v>43040</v>
      </c>
      <c r="M1025" s="28">
        <v>11</v>
      </c>
      <c r="N1025" s="32" t="s">
        <v>191</v>
      </c>
      <c r="O1025" s="28" t="s">
        <v>204</v>
      </c>
      <c r="P1025" s="28" t="s">
        <v>2834</v>
      </c>
      <c r="Q1025" s="28" t="s">
        <v>2835</v>
      </c>
      <c r="R1025" s="28" t="s">
        <v>2836</v>
      </c>
    </row>
    <row r="1026" spans="1:18" hidden="1">
      <c r="A1026" s="28">
        <v>4</v>
      </c>
      <c r="B1026" s="29" t="s">
        <v>306</v>
      </c>
      <c r="C1026" s="29" t="s">
        <v>649</v>
      </c>
      <c r="D1026" s="29" t="s">
        <v>650</v>
      </c>
      <c r="E1026" s="29" t="s">
        <v>172</v>
      </c>
      <c r="F1026" s="28" t="s">
        <v>1245</v>
      </c>
      <c r="G1026" s="28" t="s">
        <v>2694</v>
      </c>
      <c r="H1026" s="28" t="s">
        <v>384</v>
      </c>
      <c r="I1026" s="28">
        <v>6</v>
      </c>
      <c r="J1026" s="30">
        <v>4.9000000000000002E-2</v>
      </c>
      <c r="K1026" s="28" t="s">
        <v>844</v>
      </c>
      <c r="L1026" s="31">
        <v>43586</v>
      </c>
      <c r="M1026" s="28">
        <v>5</v>
      </c>
      <c r="N1026" s="32" t="s">
        <v>191</v>
      </c>
      <c r="O1026" s="28" t="s">
        <v>204</v>
      </c>
      <c r="P1026" s="28" t="s">
        <v>2837</v>
      </c>
      <c r="Q1026" s="28" t="s">
        <v>2825</v>
      </c>
      <c r="R1026" s="28" t="s">
        <v>2826</v>
      </c>
    </row>
    <row r="1027" spans="1:18" hidden="1">
      <c r="A1027" s="28">
        <v>4</v>
      </c>
      <c r="B1027" s="29" t="s">
        <v>306</v>
      </c>
      <c r="C1027" s="29" t="s">
        <v>649</v>
      </c>
      <c r="D1027" s="29" t="s">
        <v>650</v>
      </c>
      <c r="E1027" s="29" t="s">
        <v>172</v>
      </c>
      <c r="F1027" s="28" t="s">
        <v>1245</v>
      </c>
      <c r="G1027" s="28" t="s">
        <v>2694</v>
      </c>
      <c r="H1027" s="28" t="s">
        <v>384</v>
      </c>
      <c r="I1027" s="28">
        <v>6</v>
      </c>
      <c r="J1027" s="30">
        <v>4.9000000000000002E-2</v>
      </c>
      <c r="K1027" s="28" t="s">
        <v>730</v>
      </c>
      <c r="L1027" s="31">
        <v>44166</v>
      </c>
      <c r="M1027" s="28">
        <v>12</v>
      </c>
      <c r="N1027" s="32" t="s">
        <v>176</v>
      </c>
      <c r="O1027" s="28" t="s">
        <v>204</v>
      </c>
      <c r="P1027" s="28" t="s">
        <v>2838</v>
      </c>
      <c r="Q1027" s="28" t="s">
        <v>2825</v>
      </c>
      <c r="R1027" s="28" t="s">
        <v>2826</v>
      </c>
    </row>
    <row r="1028" spans="1:18" hidden="1">
      <c r="A1028" s="28">
        <v>4</v>
      </c>
      <c r="B1028" s="29" t="s">
        <v>306</v>
      </c>
      <c r="C1028" s="29" t="s">
        <v>649</v>
      </c>
      <c r="D1028" s="29" t="s">
        <v>650</v>
      </c>
      <c r="E1028" s="29" t="s">
        <v>172</v>
      </c>
      <c r="F1028" s="28" t="s">
        <v>1245</v>
      </c>
      <c r="G1028" s="28" t="s">
        <v>2694</v>
      </c>
      <c r="H1028" s="28" t="s">
        <v>384</v>
      </c>
      <c r="I1028" s="28">
        <v>6</v>
      </c>
      <c r="J1028" s="30">
        <v>4.9000000000000002E-2</v>
      </c>
      <c r="K1028" s="28" t="s">
        <v>730</v>
      </c>
      <c r="L1028" s="31">
        <v>44166</v>
      </c>
      <c r="M1028" s="28">
        <v>12</v>
      </c>
      <c r="N1028" s="32" t="s">
        <v>176</v>
      </c>
      <c r="O1028" s="28" t="s">
        <v>204</v>
      </c>
      <c r="P1028" s="28" t="s">
        <v>2839</v>
      </c>
      <c r="Q1028" s="28" t="s">
        <v>2840</v>
      </c>
      <c r="R1028" s="28" t="s">
        <v>2841</v>
      </c>
    </row>
    <row r="1029" spans="1:18" hidden="1">
      <c r="A1029" s="28">
        <v>4</v>
      </c>
      <c r="B1029" s="29" t="s">
        <v>306</v>
      </c>
      <c r="C1029" s="29" t="s">
        <v>649</v>
      </c>
      <c r="D1029" s="29" t="s">
        <v>650</v>
      </c>
      <c r="E1029" s="29" t="s">
        <v>172</v>
      </c>
      <c r="F1029" s="28" t="s">
        <v>1245</v>
      </c>
      <c r="G1029" s="28" t="s">
        <v>2694</v>
      </c>
      <c r="H1029" s="28" t="s">
        <v>384</v>
      </c>
      <c r="I1029" s="28">
        <v>6</v>
      </c>
      <c r="J1029" s="30">
        <v>4.9000000000000002E-2</v>
      </c>
      <c r="K1029" s="28" t="s">
        <v>341</v>
      </c>
      <c r="L1029" s="31">
        <v>44228</v>
      </c>
      <c r="M1029" s="28">
        <v>2</v>
      </c>
      <c r="N1029" s="32" t="s">
        <v>176</v>
      </c>
      <c r="O1029" s="28" t="s">
        <v>1060</v>
      </c>
      <c r="P1029" s="28" t="s">
        <v>2842</v>
      </c>
      <c r="Q1029" s="28" t="s">
        <v>2843</v>
      </c>
      <c r="R1029" s="28" t="s">
        <v>2844</v>
      </c>
    </row>
    <row r="1030" spans="1:18" hidden="1">
      <c r="A1030" s="28">
        <v>4</v>
      </c>
      <c r="B1030" s="29" t="s">
        <v>306</v>
      </c>
      <c r="C1030" s="29" t="s">
        <v>649</v>
      </c>
      <c r="D1030" s="29" t="s">
        <v>650</v>
      </c>
      <c r="E1030" s="29" t="s">
        <v>172</v>
      </c>
      <c r="F1030" s="28" t="s">
        <v>1245</v>
      </c>
      <c r="G1030" s="28" t="s">
        <v>2694</v>
      </c>
      <c r="H1030" s="28" t="s">
        <v>384</v>
      </c>
      <c r="I1030" s="28">
        <v>6</v>
      </c>
      <c r="J1030" s="30">
        <v>4.9000000000000002E-2</v>
      </c>
      <c r="K1030" s="28" t="s">
        <v>632</v>
      </c>
      <c r="L1030" s="31">
        <v>44378</v>
      </c>
      <c r="M1030" s="28">
        <v>7</v>
      </c>
      <c r="N1030" s="32" t="s">
        <v>184</v>
      </c>
      <c r="O1030" s="28" t="s">
        <v>204</v>
      </c>
      <c r="P1030" s="28" t="s">
        <v>2845</v>
      </c>
      <c r="Q1030" s="28" t="s">
        <v>2846</v>
      </c>
      <c r="R1030" s="28" t="s">
        <v>2836</v>
      </c>
    </row>
    <row r="1031" spans="1:18" hidden="1">
      <c r="A1031" s="28">
        <v>4</v>
      </c>
      <c r="B1031" s="29" t="s">
        <v>306</v>
      </c>
      <c r="C1031" s="29" t="s">
        <v>649</v>
      </c>
      <c r="D1031" s="29" t="s">
        <v>650</v>
      </c>
      <c r="E1031" s="29" t="s">
        <v>172</v>
      </c>
      <c r="F1031" s="28" t="s">
        <v>1245</v>
      </c>
      <c r="G1031" s="28" t="s">
        <v>2694</v>
      </c>
      <c r="H1031" s="28" t="s">
        <v>384</v>
      </c>
      <c r="I1031" s="28">
        <v>6</v>
      </c>
      <c r="J1031" s="30">
        <v>4.9000000000000002E-2</v>
      </c>
      <c r="K1031" s="28" t="s">
        <v>2131</v>
      </c>
      <c r="L1031" s="31">
        <v>44531</v>
      </c>
      <c r="M1031" s="28">
        <v>12</v>
      </c>
      <c r="N1031" s="32" t="s">
        <v>176</v>
      </c>
      <c r="O1031" s="28" t="s">
        <v>204</v>
      </c>
      <c r="P1031" s="28" t="s">
        <v>2847</v>
      </c>
      <c r="Q1031" s="28" t="s">
        <v>2825</v>
      </c>
      <c r="R1031" s="28" t="s">
        <v>2826</v>
      </c>
    </row>
    <row r="1032" spans="1:18" hidden="1">
      <c r="A1032" s="28">
        <v>4</v>
      </c>
      <c r="B1032" s="29" t="s">
        <v>306</v>
      </c>
      <c r="C1032" s="29" t="s">
        <v>333</v>
      </c>
      <c r="D1032" s="29" t="s">
        <v>334</v>
      </c>
      <c r="E1032" s="29" t="s">
        <v>172</v>
      </c>
      <c r="F1032" s="28" t="s">
        <v>1245</v>
      </c>
      <c r="G1032" s="28" t="s">
        <v>2694</v>
      </c>
      <c r="H1032" s="28" t="s">
        <v>384</v>
      </c>
      <c r="I1032" s="28">
        <v>6</v>
      </c>
      <c r="J1032" s="30">
        <v>4.9000000000000002E-2</v>
      </c>
      <c r="K1032" s="28" t="s">
        <v>183</v>
      </c>
      <c r="L1032" s="31">
        <v>43983</v>
      </c>
      <c r="M1032" s="28">
        <v>6</v>
      </c>
      <c r="N1032" s="32" t="s">
        <v>184</v>
      </c>
      <c r="O1032" s="28" t="s">
        <v>204</v>
      </c>
      <c r="P1032" s="28" t="s">
        <v>2848</v>
      </c>
      <c r="Q1032" s="28" t="s">
        <v>2849</v>
      </c>
      <c r="R1032" s="28" t="s">
        <v>2850</v>
      </c>
    </row>
    <row r="1033" spans="1:18" hidden="1">
      <c r="A1033" s="28">
        <v>4</v>
      </c>
      <c r="B1033" s="29" t="s">
        <v>306</v>
      </c>
      <c r="C1033" s="29" t="s">
        <v>333</v>
      </c>
      <c r="D1033" s="29" t="s">
        <v>334</v>
      </c>
      <c r="E1033" s="29" t="s">
        <v>172</v>
      </c>
      <c r="F1033" s="28" t="s">
        <v>1245</v>
      </c>
      <c r="G1033" s="28" t="s">
        <v>2694</v>
      </c>
      <c r="H1033" s="28" t="s">
        <v>384</v>
      </c>
      <c r="I1033" s="28">
        <v>6</v>
      </c>
      <c r="J1033" s="30">
        <v>4.9000000000000002E-2</v>
      </c>
      <c r="K1033" s="28" t="s">
        <v>712</v>
      </c>
      <c r="L1033" s="31">
        <v>44470</v>
      </c>
      <c r="M1033" s="28">
        <v>10</v>
      </c>
      <c r="N1033" s="32" t="s">
        <v>191</v>
      </c>
      <c r="O1033" s="28" t="s">
        <v>204</v>
      </c>
      <c r="P1033" s="28" t="s">
        <v>2851</v>
      </c>
      <c r="Q1033" s="28" t="s">
        <v>2852</v>
      </c>
      <c r="R1033" s="28" t="s">
        <v>2853</v>
      </c>
    </row>
    <row r="1034" spans="1:18" hidden="1">
      <c r="A1034" s="28">
        <v>4</v>
      </c>
      <c r="B1034" s="29" t="s">
        <v>306</v>
      </c>
      <c r="C1034" s="29" t="s">
        <v>333</v>
      </c>
      <c r="D1034" s="29" t="s">
        <v>673</v>
      </c>
      <c r="E1034" s="29" t="s">
        <v>172</v>
      </c>
      <c r="F1034" s="28" t="s">
        <v>1245</v>
      </c>
      <c r="G1034" s="28" t="s">
        <v>2694</v>
      </c>
      <c r="H1034" s="28" t="s">
        <v>384</v>
      </c>
      <c r="I1034" s="28">
        <v>6</v>
      </c>
      <c r="J1034" s="30">
        <v>4.9000000000000002E-2</v>
      </c>
      <c r="K1034" s="28" t="s">
        <v>391</v>
      </c>
      <c r="L1034" s="31">
        <v>42370</v>
      </c>
      <c r="M1034" s="28">
        <v>1</v>
      </c>
      <c r="N1034" s="32" t="s">
        <v>176</v>
      </c>
      <c r="O1034" s="28" t="s">
        <v>204</v>
      </c>
      <c r="P1034" s="28" t="s">
        <v>2854</v>
      </c>
      <c r="Q1034" s="28" t="s">
        <v>2855</v>
      </c>
      <c r="R1034" s="28" t="s">
        <v>2856</v>
      </c>
    </row>
    <row r="1035" spans="1:18" hidden="1">
      <c r="A1035" s="28">
        <v>4</v>
      </c>
      <c r="B1035" s="29" t="s">
        <v>306</v>
      </c>
      <c r="C1035" s="29" t="s">
        <v>333</v>
      </c>
      <c r="D1035" s="29" t="s">
        <v>673</v>
      </c>
      <c r="E1035" s="29" t="s">
        <v>172</v>
      </c>
      <c r="F1035" s="28" t="s">
        <v>1245</v>
      </c>
      <c r="G1035" s="28" t="s">
        <v>2694</v>
      </c>
      <c r="H1035" s="28" t="s">
        <v>384</v>
      </c>
      <c r="I1035" s="28">
        <v>6</v>
      </c>
      <c r="J1035" s="30">
        <v>4.9000000000000002E-2</v>
      </c>
      <c r="K1035" s="28" t="s">
        <v>813</v>
      </c>
      <c r="L1035" s="31">
        <v>43009</v>
      </c>
      <c r="M1035" s="28">
        <v>10</v>
      </c>
      <c r="N1035" s="32" t="s">
        <v>191</v>
      </c>
      <c r="O1035" s="28" t="s">
        <v>204</v>
      </c>
      <c r="P1035" s="28" t="s">
        <v>2857</v>
      </c>
      <c r="Q1035" s="28" t="s">
        <v>2858</v>
      </c>
      <c r="R1035" s="28" t="s">
        <v>2859</v>
      </c>
    </row>
    <row r="1036" spans="1:18" hidden="1">
      <c r="A1036" s="28">
        <v>4</v>
      </c>
      <c r="B1036" s="29" t="s">
        <v>306</v>
      </c>
      <c r="C1036" s="29" t="s">
        <v>333</v>
      </c>
      <c r="D1036" s="29" t="s">
        <v>673</v>
      </c>
      <c r="E1036" s="29" t="s">
        <v>172</v>
      </c>
      <c r="F1036" s="28" t="s">
        <v>1245</v>
      </c>
      <c r="G1036" s="28" t="s">
        <v>2694</v>
      </c>
      <c r="H1036" s="28" t="s">
        <v>384</v>
      </c>
      <c r="I1036" s="28">
        <v>6</v>
      </c>
      <c r="J1036" s="30">
        <v>4.9000000000000002E-2</v>
      </c>
      <c r="K1036" s="28" t="s">
        <v>328</v>
      </c>
      <c r="L1036" s="31">
        <v>43891</v>
      </c>
      <c r="M1036" s="28">
        <v>3</v>
      </c>
      <c r="N1036" s="32" t="s">
        <v>191</v>
      </c>
      <c r="O1036" s="28" t="s">
        <v>204</v>
      </c>
      <c r="P1036" s="28" t="s">
        <v>2860</v>
      </c>
      <c r="Q1036" s="28" t="s">
        <v>2861</v>
      </c>
      <c r="R1036" s="28" t="s">
        <v>2862</v>
      </c>
    </row>
    <row r="1037" spans="1:18" hidden="1">
      <c r="A1037" s="28">
        <v>4</v>
      </c>
      <c r="B1037" s="29" t="s">
        <v>306</v>
      </c>
      <c r="C1037" s="29" t="s">
        <v>339</v>
      </c>
      <c r="D1037" s="29" t="s">
        <v>687</v>
      </c>
      <c r="E1037" s="29" t="s">
        <v>172</v>
      </c>
      <c r="F1037" s="28" t="s">
        <v>1245</v>
      </c>
      <c r="G1037" s="28" t="s">
        <v>2694</v>
      </c>
      <c r="H1037" s="28" t="s">
        <v>384</v>
      </c>
      <c r="I1037" s="28">
        <v>6</v>
      </c>
      <c r="J1037" s="30">
        <v>4.9000000000000002E-2</v>
      </c>
      <c r="K1037" s="28" t="s">
        <v>2863</v>
      </c>
      <c r="L1037" s="31">
        <v>42767</v>
      </c>
      <c r="M1037" s="28">
        <v>2</v>
      </c>
      <c r="N1037" s="32" t="s">
        <v>176</v>
      </c>
      <c r="O1037" s="28" t="s">
        <v>204</v>
      </c>
      <c r="P1037" s="28" t="s">
        <v>2864</v>
      </c>
      <c r="Q1037" s="28" t="s">
        <v>2865</v>
      </c>
      <c r="R1037" s="28" t="s">
        <v>2866</v>
      </c>
    </row>
    <row r="1038" spans="1:18" hidden="1">
      <c r="A1038" s="28">
        <v>4</v>
      </c>
      <c r="B1038" s="29" t="s">
        <v>306</v>
      </c>
      <c r="C1038" s="29" t="s">
        <v>339</v>
      </c>
      <c r="D1038" s="29" t="s">
        <v>687</v>
      </c>
      <c r="E1038" s="29" t="s">
        <v>172</v>
      </c>
      <c r="F1038" s="28" t="s">
        <v>1245</v>
      </c>
      <c r="G1038" s="28" t="s">
        <v>2694</v>
      </c>
      <c r="H1038" s="28" t="s">
        <v>384</v>
      </c>
      <c r="I1038" s="28">
        <v>6</v>
      </c>
      <c r="J1038" s="30">
        <v>4.9000000000000002E-2</v>
      </c>
      <c r="K1038" s="28" t="s">
        <v>293</v>
      </c>
      <c r="L1038" s="31">
        <v>43374</v>
      </c>
      <c r="M1038" s="28">
        <v>10</v>
      </c>
      <c r="N1038" s="32" t="s">
        <v>191</v>
      </c>
      <c r="O1038" s="28" t="s">
        <v>794</v>
      </c>
      <c r="P1038" s="28" t="s">
        <v>2867</v>
      </c>
      <c r="Q1038" s="28" t="s">
        <v>2868</v>
      </c>
      <c r="R1038" s="28" t="s">
        <v>2869</v>
      </c>
    </row>
    <row r="1039" spans="1:18" hidden="1">
      <c r="A1039" s="28">
        <v>4</v>
      </c>
      <c r="B1039" s="29" t="s">
        <v>306</v>
      </c>
      <c r="C1039" s="29" t="s">
        <v>339</v>
      </c>
      <c r="D1039" s="29" t="s">
        <v>340</v>
      </c>
      <c r="E1039" s="29" t="s">
        <v>172</v>
      </c>
      <c r="F1039" s="28" t="s">
        <v>1245</v>
      </c>
      <c r="G1039" s="28" t="s">
        <v>2694</v>
      </c>
      <c r="H1039" s="28" t="s">
        <v>384</v>
      </c>
      <c r="I1039" s="28">
        <v>6</v>
      </c>
      <c r="J1039" s="30">
        <v>4.9000000000000002E-2</v>
      </c>
      <c r="K1039" s="28" t="s">
        <v>460</v>
      </c>
      <c r="L1039" s="31">
        <v>42675</v>
      </c>
      <c r="M1039" s="28">
        <v>11</v>
      </c>
      <c r="N1039" s="32" t="s">
        <v>191</v>
      </c>
      <c r="O1039" s="28" t="s">
        <v>204</v>
      </c>
      <c r="P1039" s="28" t="s">
        <v>2870</v>
      </c>
      <c r="Q1039" s="28" t="s">
        <v>2871</v>
      </c>
      <c r="R1039" s="28" t="s">
        <v>2866</v>
      </c>
    </row>
    <row r="1040" spans="1:18" hidden="1">
      <c r="A1040" s="28">
        <v>4</v>
      </c>
      <c r="B1040" s="29" t="s">
        <v>306</v>
      </c>
      <c r="C1040" s="29" t="s">
        <v>339</v>
      </c>
      <c r="D1040" s="29" t="s">
        <v>340</v>
      </c>
      <c r="E1040" s="29" t="s">
        <v>172</v>
      </c>
      <c r="F1040" s="28" t="s">
        <v>1245</v>
      </c>
      <c r="G1040" s="28" t="s">
        <v>2694</v>
      </c>
      <c r="H1040" s="28" t="s">
        <v>384</v>
      </c>
      <c r="I1040" s="28">
        <v>6</v>
      </c>
      <c r="J1040" s="30">
        <v>4.9000000000000002E-2</v>
      </c>
      <c r="K1040" s="28" t="s">
        <v>460</v>
      </c>
      <c r="L1040" s="31">
        <v>42675</v>
      </c>
      <c r="M1040" s="28">
        <v>11</v>
      </c>
      <c r="N1040" s="32" t="s">
        <v>191</v>
      </c>
      <c r="O1040" s="28" t="s">
        <v>204</v>
      </c>
      <c r="P1040" s="28" t="s">
        <v>2872</v>
      </c>
      <c r="Q1040" s="28" t="s">
        <v>2825</v>
      </c>
      <c r="R1040" s="28" t="s">
        <v>2873</v>
      </c>
    </row>
    <row r="1041" spans="1:18" hidden="1">
      <c r="A1041" s="28">
        <v>4</v>
      </c>
      <c r="B1041" s="29" t="s">
        <v>306</v>
      </c>
      <c r="C1041" s="29" t="s">
        <v>339</v>
      </c>
      <c r="D1041" s="29" t="s">
        <v>340</v>
      </c>
      <c r="E1041" s="29" t="s">
        <v>172</v>
      </c>
      <c r="F1041" s="28" t="s">
        <v>1245</v>
      </c>
      <c r="G1041" s="28" t="s">
        <v>2694</v>
      </c>
      <c r="H1041" s="28" t="s">
        <v>384</v>
      </c>
      <c r="I1041" s="28">
        <v>6</v>
      </c>
      <c r="J1041" s="30">
        <v>4.9000000000000002E-2</v>
      </c>
      <c r="K1041" s="28" t="s">
        <v>587</v>
      </c>
      <c r="L1041" s="31">
        <v>42736</v>
      </c>
      <c r="M1041" s="28">
        <v>1</v>
      </c>
      <c r="N1041" s="32" t="s">
        <v>176</v>
      </c>
      <c r="O1041" s="28" t="s">
        <v>204</v>
      </c>
      <c r="P1041" s="28" t="s">
        <v>2874</v>
      </c>
      <c r="Q1041" s="28" t="s">
        <v>2875</v>
      </c>
      <c r="R1041" s="28" t="s">
        <v>2866</v>
      </c>
    </row>
    <row r="1042" spans="1:18" hidden="1">
      <c r="A1042" s="28">
        <v>4</v>
      </c>
      <c r="B1042" s="29" t="s">
        <v>306</v>
      </c>
      <c r="C1042" s="29" t="s">
        <v>339</v>
      </c>
      <c r="D1042" s="29" t="s">
        <v>340</v>
      </c>
      <c r="E1042" s="29" t="s">
        <v>172</v>
      </c>
      <c r="F1042" s="28" t="s">
        <v>1245</v>
      </c>
      <c r="G1042" s="28" t="s">
        <v>2694</v>
      </c>
      <c r="H1042" s="28" t="s">
        <v>384</v>
      </c>
      <c r="I1042" s="28">
        <v>6</v>
      </c>
      <c r="J1042" s="30">
        <v>4.9000000000000002E-2</v>
      </c>
      <c r="K1042" s="28" t="s">
        <v>198</v>
      </c>
      <c r="L1042" s="31">
        <v>42767</v>
      </c>
      <c r="M1042" s="28">
        <v>2</v>
      </c>
      <c r="N1042" s="32" t="s">
        <v>176</v>
      </c>
      <c r="O1042" s="28" t="s">
        <v>204</v>
      </c>
      <c r="P1042" s="28" t="s">
        <v>2876</v>
      </c>
      <c r="Q1042" s="28" t="s">
        <v>2877</v>
      </c>
      <c r="R1042" s="28" t="s">
        <v>2878</v>
      </c>
    </row>
    <row r="1043" spans="1:18" hidden="1">
      <c r="A1043" s="28">
        <v>4</v>
      </c>
      <c r="B1043" s="29" t="s">
        <v>306</v>
      </c>
      <c r="C1043" s="29" t="s">
        <v>339</v>
      </c>
      <c r="D1043" s="29" t="s">
        <v>340</v>
      </c>
      <c r="E1043" s="29" t="s">
        <v>172</v>
      </c>
      <c r="F1043" s="28" t="s">
        <v>1245</v>
      </c>
      <c r="G1043" s="28" t="s">
        <v>2694</v>
      </c>
      <c r="H1043" s="28" t="s">
        <v>384</v>
      </c>
      <c r="I1043" s="28">
        <v>6</v>
      </c>
      <c r="J1043" s="30">
        <v>4.9000000000000002E-2</v>
      </c>
      <c r="K1043" s="28" t="s">
        <v>971</v>
      </c>
      <c r="L1043" s="31">
        <v>42979</v>
      </c>
      <c r="M1043" s="28">
        <v>9</v>
      </c>
      <c r="N1043" s="32" t="s">
        <v>191</v>
      </c>
      <c r="O1043" s="28" t="s">
        <v>204</v>
      </c>
      <c r="P1043" s="28" t="s">
        <v>2879</v>
      </c>
      <c r="Q1043" s="28" t="s">
        <v>2696</v>
      </c>
      <c r="R1043" s="28" t="s">
        <v>2697</v>
      </c>
    </row>
    <row r="1044" spans="1:18" hidden="1">
      <c r="A1044" s="28">
        <v>4</v>
      </c>
      <c r="B1044" s="29" t="s">
        <v>306</v>
      </c>
      <c r="C1044" s="29" t="s">
        <v>339</v>
      </c>
      <c r="D1044" s="29" t="s">
        <v>340</v>
      </c>
      <c r="E1044" s="29" t="s">
        <v>172</v>
      </c>
      <c r="F1044" s="28" t="s">
        <v>1245</v>
      </c>
      <c r="G1044" s="28" t="s">
        <v>2694</v>
      </c>
      <c r="H1044" s="28" t="s">
        <v>384</v>
      </c>
      <c r="I1044" s="28">
        <v>6</v>
      </c>
      <c r="J1044" s="30">
        <v>4.9000000000000002E-2</v>
      </c>
      <c r="K1044" s="28" t="s">
        <v>475</v>
      </c>
      <c r="L1044" s="31">
        <v>43191</v>
      </c>
      <c r="M1044" s="28">
        <v>4</v>
      </c>
      <c r="N1044" s="32" t="s">
        <v>191</v>
      </c>
      <c r="O1044" s="28" t="s">
        <v>204</v>
      </c>
      <c r="P1044" s="28" t="s">
        <v>2880</v>
      </c>
      <c r="Q1044" s="28" t="s">
        <v>2881</v>
      </c>
      <c r="R1044" s="28" t="s">
        <v>2873</v>
      </c>
    </row>
    <row r="1045" spans="1:18" hidden="1">
      <c r="A1045" s="28">
        <v>4</v>
      </c>
      <c r="B1045" s="29" t="s">
        <v>306</v>
      </c>
      <c r="C1045" s="29" t="s">
        <v>339</v>
      </c>
      <c r="D1045" s="29" t="s">
        <v>340</v>
      </c>
      <c r="E1045" s="29" t="s">
        <v>172</v>
      </c>
      <c r="F1045" s="28" t="s">
        <v>1245</v>
      </c>
      <c r="G1045" s="28" t="s">
        <v>2694</v>
      </c>
      <c r="H1045" s="28" t="s">
        <v>384</v>
      </c>
      <c r="I1045" s="28">
        <v>6</v>
      </c>
      <c r="J1045" s="30">
        <v>4.9000000000000002E-2</v>
      </c>
      <c r="K1045" s="28" t="s">
        <v>405</v>
      </c>
      <c r="L1045" s="31">
        <v>43221</v>
      </c>
      <c r="M1045" s="28">
        <v>5</v>
      </c>
      <c r="N1045" s="32" t="s">
        <v>191</v>
      </c>
      <c r="O1045" s="28" t="s">
        <v>204</v>
      </c>
      <c r="P1045" s="28" t="s">
        <v>2882</v>
      </c>
      <c r="Q1045" s="28" t="s">
        <v>2883</v>
      </c>
      <c r="R1045" s="28" t="s">
        <v>2884</v>
      </c>
    </row>
    <row r="1046" spans="1:18" hidden="1">
      <c r="A1046" s="28">
        <v>4</v>
      </c>
      <c r="B1046" s="29" t="s">
        <v>306</v>
      </c>
      <c r="C1046" s="29" t="s">
        <v>339</v>
      </c>
      <c r="D1046" s="29" t="s">
        <v>340</v>
      </c>
      <c r="E1046" s="29" t="s">
        <v>172</v>
      </c>
      <c r="F1046" s="28" t="s">
        <v>1245</v>
      </c>
      <c r="G1046" s="28" t="s">
        <v>2694</v>
      </c>
      <c r="H1046" s="28" t="s">
        <v>384</v>
      </c>
      <c r="I1046" s="28">
        <v>6</v>
      </c>
      <c r="J1046" s="30">
        <v>4.9000000000000002E-2</v>
      </c>
      <c r="K1046" s="28" t="s">
        <v>361</v>
      </c>
      <c r="L1046" s="31">
        <v>43435</v>
      </c>
      <c r="M1046" s="28">
        <v>12</v>
      </c>
      <c r="N1046" s="32" t="s">
        <v>176</v>
      </c>
      <c r="O1046" s="28" t="s">
        <v>204</v>
      </c>
      <c r="P1046" s="28" t="s">
        <v>2885</v>
      </c>
      <c r="Q1046" s="28" t="s">
        <v>2886</v>
      </c>
      <c r="R1046" s="28" t="s">
        <v>2873</v>
      </c>
    </row>
    <row r="1047" spans="1:18" hidden="1">
      <c r="A1047" s="28">
        <v>4</v>
      </c>
      <c r="B1047" s="29" t="s">
        <v>306</v>
      </c>
      <c r="C1047" s="29" t="s">
        <v>339</v>
      </c>
      <c r="D1047" s="29" t="s">
        <v>340</v>
      </c>
      <c r="E1047" s="29" t="s">
        <v>172</v>
      </c>
      <c r="F1047" s="28" t="s">
        <v>1245</v>
      </c>
      <c r="G1047" s="28" t="s">
        <v>2694</v>
      </c>
      <c r="H1047" s="28" t="s">
        <v>384</v>
      </c>
      <c r="I1047" s="28">
        <v>6</v>
      </c>
      <c r="J1047" s="30">
        <v>4.9000000000000002E-2</v>
      </c>
      <c r="K1047" s="28" t="s">
        <v>844</v>
      </c>
      <c r="L1047" s="31">
        <v>43586</v>
      </c>
      <c r="M1047" s="28">
        <v>5</v>
      </c>
      <c r="N1047" s="32" t="s">
        <v>191</v>
      </c>
      <c r="O1047" s="28" t="s">
        <v>204</v>
      </c>
      <c r="P1047" s="28" t="s">
        <v>2887</v>
      </c>
      <c r="Q1047" s="28" t="s">
        <v>2825</v>
      </c>
      <c r="R1047" s="28" t="s">
        <v>2873</v>
      </c>
    </row>
    <row r="1048" spans="1:18" hidden="1">
      <c r="A1048" s="28">
        <v>4</v>
      </c>
      <c r="B1048" s="29" t="s">
        <v>306</v>
      </c>
      <c r="C1048" s="29" t="s">
        <v>339</v>
      </c>
      <c r="D1048" s="29" t="s">
        <v>340</v>
      </c>
      <c r="E1048" s="29" t="s">
        <v>172</v>
      </c>
      <c r="F1048" s="28" t="s">
        <v>1245</v>
      </c>
      <c r="G1048" s="28" t="s">
        <v>2694</v>
      </c>
      <c r="H1048" s="28" t="s">
        <v>384</v>
      </c>
      <c r="I1048" s="28">
        <v>6</v>
      </c>
      <c r="J1048" s="30">
        <v>4.9000000000000002E-2</v>
      </c>
      <c r="K1048" s="28" t="s">
        <v>643</v>
      </c>
      <c r="L1048" s="31">
        <v>44013</v>
      </c>
      <c r="M1048" s="28">
        <v>7</v>
      </c>
      <c r="N1048" s="32" t="s">
        <v>184</v>
      </c>
      <c r="O1048" s="28" t="s">
        <v>204</v>
      </c>
      <c r="P1048" s="28" t="s">
        <v>2888</v>
      </c>
      <c r="Q1048" s="28" t="s">
        <v>2825</v>
      </c>
      <c r="R1048" s="28" t="s">
        <v>2873</v>
      </c>
    </row>
    <row r="1049" spans="1:18" hidden="1">
      <c r="A1049" s="28">
        <v>4</v>
      </c>
      <c r="B1049" s="29" t="s">
        <v>306</v>
      </c>
      <c r="C1049" s="29" t="s">
        <v>339</v>
      </c>
      <c r="D1049" s="29" t="s">
        <v>340</v>
      </c>
      <c r="E1049" s="29" t="s">
        <v>172</v>
      </c>
      <c r="F1049" s="28" t="s">
        <v>1245</v>
      </c>
      <c r="G1049" s="28" t="s">
        <v>2694</v>
      </c>
      <c r="H1049" s="28" t="s">
        <v>384</v>
      </c>
      <c r="I1049" s="28">
        <v>6</v>
      </c>
      <c r="J1049" s="30">
        <v>4.9000000000000002E-2</v>
      </c>
      <c r="K1049" s="28" t="s">
        <v>643</v>
      </c>
      <c r="L1049" s="31">
        <v>44013</v>
      </c>
      <c r="M1049" s="28">
        <v>7</v>
      </c>
      <c r="N1049" s="32" t="s">
        <v>184</v>
      </c>
      <c r="O1049" s="28" t="s">
        <v>204</v>
      </c>
      <c r="P1049" s="28" t="s">
        <v>2889</v>
      </c>
      <c r="Q1049" s="28" t="s">
        <v>2890</v>
      </c>
      <c r="R1049" s="28" t="s">
        <v>2891</v>
      </c>
    </row>
    <row r="1050" spans="1:18" hidden="1">
      <c r="A1050" s="28">
        <v>4</v>
      </c>
      <c r="B1050" s="29" t="s">
        <v>306</v>
      </c>
      <c r="C1050" s="29" t="s">
        <v>339</v>
      </c>
      <c r="D1050" s="29" t="s">
        <v>340</v>
      </c>
      <c r="E1050" s="29" t="s">
        <v>172</v>
      </c>
      <c r="F1050" s="28" t="s">
        <v>1245</v>
      </c>
      <c r="G1050" s="28" t="s">
        <v>2694</v>
      </c>
      <c r="H1050" s="28" t="s">
        <v>384</v>
      </c>
      <c r="I1050" s="28">
        <v>6</v>
      </c>
      <c r="J1050" s="30">
        <v>4.9000000000000002E-2</v>
      </c>
      <c r="K1050" s="28" t="s">
        <v>646</v>
      </c>
      <c r="L1050" s="31">
        <v>44075</v>
      </c>
      <c r="M1050" s="28">
        <v>9</v>
      </c>
      <c r="N1050" s="32" t="s">
        <v>191</v>
      </c>
      <c r="O1050" s="28" t="s">
        <v>794</v>
      </c>
      <c r="P1050" s="28" t="s">
        <v>2892</v>
      </c>
      <c r="Q1050" s="28" t="s">
        <v>2893</v>
      </c>
      <c r="R1050" s="28" t="s">
        <v>2869</v>
      </c>
    </row>
    <row r="1051" spans="1:18" hidden="1">
      <c r="A1051" s="28">
        <v>4</v>
      </c>
      <c r="B1051" s="29" t="s">
        <v>306</v>
      </c>
      <c r="C1051" s="29" t="s">
        <v>339</v>
      </c>
      <c r="D1051" s="29" t="s">
        <v>340</v>
      </c>
      <c r="E1051" s="29" t="s">
        <v>172</v>
      </c>
      <c r="F1051" s="28" t="s">
        <v>1245</v>
      </c>
      <c r="G1051" s="28" t="s">
        <v>2694</v>
      </c>
      <c r="H1051" s="28" t="s">
        <v>384</v>
      </c>
      <c r="I1051" s="28">
        <v>6</v>
      </c>
      <c r="J1051" s="30">
        <v>4.9000000000000002E-2</v>
      </c>
      <c r="K1051" s="28" t="s">
        <v>646</v>
      </c>
      <c r="L1051" s="31">
        <v>44075</v>
      </c>
      <c r="M1051" s="28">
        <v>9</v>
      </c>
      <c r="N1051" s="32" t="s">
        <v>191</v>
      </c>
      <c r="O1051" s="28" t="s">
        <v>204</v>
      </c>
      <c r="P1051" s="28" t="s">
        <v>2894</v>
      </c>
      <c r="Q1051" s="28" t="s">
        <v>2875</v>
      </c>
      <c r="R1051" s="28" t="s">
        <v>2866</v>
      </c>
    </row>
    <row r="1052" spans="1:18" hidden="1">
      <c r="A1052" s="28">
        <v>4</v>
      </c>
      <c r="B1052" s="29" t="s">
        <v>306</v>
      </c>
      <c r="C1052" s="29" t="s">
        <v>339</v>
      </c>
      <c r="D1052" s="29" t="s">
        <v>340</v>
      </c>
      <c r="E1052" s="29" t="s">
        <v>172</v>
      </c>
      <c r="F1052" s="28" t="s">
        <v>1245</v>
      </c>
      <c r="G1052" s="28" t="s">
        <v>2694</v>
      </c>
      <c r="H1052" s="28" t="s">
        <v>384</v>
      </c>
      <c r="I1052" s="28">
        <v>6</v>
      </c>
      <c r="J1052" s="30">
        <v>4.9000000000000002E-2</v>
      </c>
      <c r="K1052" s="28" t="s">
        <v>341</v>
      </c>
      <c r="L1052" s="31">
        <v>44228</v>
      </c>
      <c r="M1052" s="28">
        <v>2</v>
      </c>
      <c r="N1052" s="32" t="s">
        <v>176</v>
      </c>
      <c r="O1052" s="28" t="s">
        <v>204</v>
      </c>
      <c r="P1052" s="28" t="s">
        <v>2895</v>
      </c>
      <c r="Q1052" s="28" t="s">
        <v>2890</v>
      </c>
      <c r="R1052" s="28" t="s">
        <v>2891</v>
      </c>
    </row>
    <row r="1053" spans="1:18" hidden="1">
      <c r="A1053" s="28">
        <v>5</v>
      </c>
      <c r="B1053" s="29" t="s">
        <v>349</v>
      </c>
      <c r="C1053" s="29" t="s">
        <v>350</v>
      </c>
      <c r="D1053" s="29" t="s">
        <v>716</v>
      </c>
      <c r="E1053" s="29" t="s">
        <v>172</v>
      </c>
      <c r="F1053" s="28" t="s">
        <v>1245</v>
      </c>
      <c r="G1053" s="28" t="s">
        <v>2694</v>
      </c>
      <c r="H1053" s="28" t="s">
        <v>384</v>
      </c>
      <c r="I1053" s="28">
        <v>6</v>
      </c>
      <c r="J1053" s="30">
        <v>4.9000000000000002E-2</v>
      </c>
      <c r="K1053" s="28" t="s">
        <v>475</v>
      </c>
      <c r="L1053" s="31">
        <v>43191</v>
      </c>
      <c r="M1053" s="28">
        <v>4</v>
      </c>
      <c r="N1053" s="32" t="s">
        <v>191</v>
      </c>
      <c r="O1053" s="28" t="s">
        <v>794</v>
      </c>
      <c r="P1053" s="28" t="s">
        <v>2896</v>
      </c>
      <c r="Q1053" s="28" t="s">
        <v>2897</v>
      </c>
      <c r="R1053" s="28" t="s">
        <v>2898</v>
      </c>
    </row>
    <row r="1054" spans="1:18" hidden="1">
      <c r="A1054" s="28">
        <v>5</v>
      </c>
      <c r="B1054" s="29" t="s">
        <v>349</v>
      </c>
      <c r="C1054" s="29" t="s">
        <v>350</v>
      </c>
      <c r="D1054" s="29" t="s">
        <v>716</v>
      </c>
      <c r="E1054" s="29" t="s">
        <v>172</v>
      </c>
      <c r="F1054" s="28" t="s">
        <v>1245</v>
      </c>
      <c r="G1054" s="28" t="s">
        <v>2694</v>
      </c>
      <c r="H1054" s="28" t="s">
        <v>384</v>
      </c>
      <c r="I1054" s="28">
        <v>6</v>
      </c>
      <c r="J1054" s="30">
        <v>4.9000000000000002E-2</v>
      </c>
      <c r="K1054" s="28" t="s">
        <v>302</v>
      </c>
      <c r="L1054" s="31">
        <v>43282</v>
      </c>
      <c r="M1054" s="28">
        <v>7</v>
      </c>
      <c r="N1054" s="32" t="s">
        <v>184</v>
      </c>
      <c r="O1054" s="28" t="s">
        <v>794</v>
      </c>
      <c r="P1054" s="28" t="s">
        <v>2899</v>
      </c>
      <c r="Q1054" s="28" t="s">
        <v>2897</v>
      </c>
      <c r="R1054" s="28" t="s">
        <v>2898</v>
      </c>
    </row>
    <row r="1055" spans="1:18" hidden="1">
      <c r="A1055" s="28">
        <v>5</v>
      </c>
      <c r="B1055" s="29" t="s">
        <v>349</v>
      </c>
      <c r="C1055" s="29" t="s">
        <v>350</v>
      </c>
      <c r="D1055" s="29" t="s">
        <v>716</v>
      </c>
      <c r="E1055" s="29" t="s">
        <v>172</v>
      </c>
      <c r="F1055" s="28" t="s">
        <v>1245</v>
      </c>
      <c r="G1055" s="28" t="s">
        <v>2694</v>
      </c>
      <c r="H1055" s="28" t="s">
        <v>384</v>
      </c>
      <c r="I1055" s="28">
        <v>6</v>
      </c>
      <c r="J1055" s="30">
        <v>4.9000000000000002E-2</v>
      </c>
      <c r="K1055" s="28" t="s">
        <v>844</v>
      </c>
      <c r="L1055" s="31">
        <v>43586</v>
      </c>
      <c r="M1055" s="28">
        <v>5</v>
      </c>
      <c r="N1055" s="32" t="s">
        <v>191</v>
      </c>
      <c r="O1055" s="28" t="s">
        <v>794</v>
      </c>
      <c r="P1055" s="28" t="s">
        <v>2900</v>
      </c>
      <c r="Q1055" s="28" t="s">
        <v>2897</v>
      </c>
      <c r="R1055" s="28" t="s">
        <v>2898</v>
      </c>
    </row>
    <row r="1056" spans="1:18" hidden="1">
      <c r="A1056" s="28">
        <v>5</v>
      </c>
      <c r="B1056" s="29" t="s">
        <v>349</v>
      </c>
      <c r="C1056" s="29" t="s">
        <v>350</v>
      </c>
      <c r="D1056" s="29" t="s">
        <v>716</v>
      </c>
      <c r="E1056" s="29" t="s">
        <v>172</v>
      </c>
      <c r="F1056" s="28" t="s">
        <v>1245</v>
      </c>
      <c r="G1056" s="28" t="s">
        <v>2694</v>
      </c>
      <c r="H1056" s="28" t="s">
        <v>384</v>
      </c>
      <c r="I1056" s="28">
        <v>6</v>
      </c>
      <c r="J1056" s="30">
        <v>4.9000000000000002E-2</v>
      </c>
      <c r="K1056" s="28" t="s">
        <v>712</v>
      </c>
      <c r="L1056" s="31">
        <v>44470</v>
      </c>
      <c r="M1056" s="28">
        <v>10</v>
      </c>
      <c r="N1056" s="32" t="s">
        <v>191</v>
      </c>
      <c r="O1056" s="28" t="s">
        <v>1060</v>
      </c>
      <c r="P1056" s="28" t="s">
        <v>2901</v>
      </c>
      <c r="Q1056" s="28" t="s">
        <v>2902</v>
      </c>
      <c r="R1056" s="28" t="s">
        <v>2903</v>
      </c>
    </row>
    <row r="1057" spans="1:18" hidden="1">
      <c r="A1057" s="28">
        <v>5</v>
      </c>
      <c r="B1057" s="29" t="s">
        <v>349</v>
      </c>
      <c r="C1057" s="29" t="s">
        <v>350</v>
      </c>
      <c r="D1057" s="29" t="s">
        <v>725</v>
      </c>
      <c r="E1057" s="29" t="s">
        <v>172</v>
      </c>
      <c r="F1057" s="28" t="s">
        <v>1245</v>
      </c>
      <c r="G1057" s="28" t="s">
        <v>2694</v>
      </c>
      <c r="H1057" s="28" t="s">
        <v>384</v>
      </c>
      <c r="I1057" s="28">
        <v>6</v>
      </c>
      <c r="J1057" s="30">
        <v>4.9000000000000002E-2</v>
      </c>
      <c r="K1057" s="28" t="s">
        <v>646</v>
      </c>
      <c r="L1057" s="31">
        <v>44075</v>
      </c>
      <c r="M1057" s="28">
        <v>9</v>
      </c>
      <c r="N1057" s="32" t="s">
        <v>191</v>
      </c>
      <c r="O1057" s="28" t="s">
        <v>204</v>
      </c>
      <c r="P1057" s="28" t="s">
        <v>2904</v>
      </c>
      <c r="Q1057" s="28" t="s">
        <v>2905</v>
      </c>
      <c r="R1057" s="28" t="s">
        <v>2906</v>
      </c>
    </row>
    <row r="1058" spans="1:18" hidden="1">
      <c r="A1058" s="28">
        <v>5</v>
      </c>
      <c r="B1058" s="29" t="s">
        <v>349</v>
      </c>
      <c r="C1058" s="29" t="s">
        <v>350</v>
      </c>
      <c r="D1058" s="29" t="s">
        <v>725</v>
      </c>
      <c r="E1058" s="29" t="s">
        <v>172</v>
      </c>
      <c r="F1058" s="28" t="s">
        <v>1245</v>
      </c>
      <c r="G1058" s="28" t="s">
        <v>2694</v>
      </c>
      <c r="H1058" s="28" t="s">
        <v>384</v>
      </c>
      <c r="I1058" s="28">
        <v>6</v>
      </c>
      <c r="J1058" s="30">
        <v>4.9000000000000002E-2</v>
      </c>
      <c r="K1058" s="28" t="s">
        <v>345</v>
      </c>
      <c r="L1058" s="31">
        <v>44440</v>
      </c>
      <c r="M1058" s="28">
        <v>9</v>
      </c>
      <c r="N1058" s="32" t="s">
        <v>191</v>
      </c>
      <c r="O1058" s="28" t="s">
        <v>204</v>
      </c>
      <c r="P1058" s="28" t="s">
        <v>2907</v>
      </c>
      <c r="Q1058" s="28" t="s">
        <v>2908</v>
      </c>
      <c r="R1058" s="28" t="s">
        <v>2906</v>
      </c>
    </row>
    <row r="1059" spans="1:18" hidden="1">
      <c r="A1059" s="28">
        <v>5</v>
      </c>
      <c r="B1059" s="29" t="s">
        <v>349</v>
      </c>
      <c r="C1059" s="29" t="s">
        <v>350</v>
      </c>
      <c r="D1059" s="29" t="s">
        <v>725</v>
      </c>
      <c r="E1059" s="29" t="s">
        <v>172</v>
      </c>
      <c r="F1059" s="28" t="s">
        <v>1245</v>
      </c>
      <c r="G1059" s="28" t="s">
        <v>2694</v>
      </c>
      <c r="H1059" s="28" t="s">
        <v>384</v>
      </c>
      <c r="I1059" s="28">
        <v>6</v>
      </c>
      <c r="J1059" s="30">
        <v>4.9000000000000002E-2</v>
      </c>
      <c r="K1059" s="28" t="s">
        <v>712</v>
      </c>
      <c r="L1059" s="31">
        <v>44470</v>
      </c>
      <c r="M1059" s="28">
        <v>10</v>
      </c>
      <c r="N1059" s="32" t="s">
        <v>191</v>
      </c>
      <c r="O1059" s="28" t="s">
        <v>794</v>
      </c>
      <c r="P1059" s="28" t="s">
        <v>2909</v>
      </c>
      <c r="Q1059" s="28" t="s">
        <v>2910</v>
      </c>
      <c r="R1059" s="28" t="s">
        <v>2911</v>
      </c>
    </row>
    <row r="1060" spans="1:18" hidden="1">
      <c r="A1060" s="28">
        <v>5</v>
      </c>
      <c r="B1060" s="29" t="s">
        <v>349</v>
      </c>
      <c r="C1060" s="29" t="s">
        <v>350</v>
      </c>
      <c r="D1060" s="29" t="s">
        <v>351</v>
      </c>
      <c r="E1060" s="29" t="s">
        <v>172</v>
      </c>
      <c r="F1060" s="28" t="s">
        <v>1245</v>
      </c>
      <c r="G1060" s="28" t="s">
        <v>2694</v>
      </c>
      <c r="H1060" s="28" t="s">
        <v>384</v>
      </c>
      <c r="I1060" s="28">
        <v>6</v>
      </c>
      <c r="J1060" s="30">
        <v>4.9000000000000002E-2</v>
      </c>
      <c r="K1060" s="28" t="s">
        <v>208</v>
      </c>
      <c r="L1060" s="31">
        <v>43101</v>
      </c>
      <c r="M1060" s="28">
        <v>1</v>
      </c>
      <c r="N1060" s="32" t="s">
        <v>176</v>
      </c>
      <c r="O1060" s="28" t="s">
        <v>204</v>
      </c>
      <c r="P1060" s="28" t="s">
        <v>2912</v>
      </c>
      <c r="Q1060" s="28" t="s">
        <v>2913</v>
      </c>
      <c r="R1060" s="28" t="s">
        <v>2914</v>
      </c>
    </row>
    <row r="1061" spans="1:18" hidden="1">
      <c r="A1061" s="28">
        <v>5</v>
      </c>
      <c r="B1061" s="29" t="s">
        <v>349</v>
      </c>
      <c r="C1061" s="29" t="s">
        <v>355</v>
      </c>
      <c r="D1061" s="29" t="s">
        <v>356</v>
      </c>
      <c r="E1061" s="29" t="s">
        <v>172</v>
      </c>
      <c r="F1061" s="28" t="s">
        <v>1245</v>
      </c>
      <c r="G1061" s="28" t="s">
        <v>2694</v>
      </c>
      <c r="H1061" s="28" t="s">
        <v>384</v>
      </c>
      <c r="I1061" s="28">
        <v>6</v>
      </c>
      <c r="J1061" s="30">
        <v>4.9000000000000002E-2</v>
      </c>
      <c r="K1061" s="28" t="s">
        <v>302</v>
      </c>
      <c r="L1061" s="31">
        <v>43282</v>
      </c>
      <c r="M1061" s="28">
        <v>7</v>
      </c>
      <c r="N1061" s="32" t="s">
        <v>184</v>
      </c>
      <c r="O1061" s="28" t="s">
        <v>244</v>
      </c>
      <c r="P1061" s="28" t="s">
        <v>2915</v>
      </c>
      <c r="Q1061" s="28" t="s">
        <v>2916</v>
      </c>
      <c r="R1061" s="28" t="s">
        <v>2917</v>
      </c>
    </row>
    <row r="1062" spans="1:18" hidden="1">
      <c r="A1062" s="28">
        <v>5</v>
      </c>
      <c r="B1062" s="29" t="s">
        <v>349</v>
      </c>
      <c r="C1062" s="29" t="s">
        <v>355</v>
      </c>
      <c r="D1062" s="29" t="s">
        <v>360</v>
      </c>
      <c r="E1062" s="29" t="s">
        <v>172</v>
      </c>
      <c r="F1062" s="28" t="s">
        <v>1245</v>
      </c>
      <c r="G1062" s="28" t="s">
        <v>2694</v>
      </c>
      <c r="H1062" s="28" t="s">
        <v>384</v>
      </c>
      <c r="I1062" s="28">
        <v>6</v>
      </c>
      <c r="J1062" s="30">
        <v>4.9000000000000002E-2</v>
      </c>
      <c r="K1062" s="28" t="s">
        <v>175</v>
      </c>
      <c r="L1062" s="31">
        <v>42339</v>
      </c>
      <c r="M1062" s="28">
        <v>12</v>
      </c>
      <c r="N1062" s="32" t="s">
        <v>176</v>
      </c>
      <c r="O1062" s="28" t="s">
        <v>794</v>
      </c>
      <c r="P1062" s="28" t="s">
        <v>2918</v>
      </c>
      <c r="Q1062" s="28" t="s">
        <v>2919</v>
      </c>
      <c r="R1062" s="28" t="s">
        <v>2920</v>
      </c>
    </row>
    <row r="1063" spans="1:18" hidden="1">
      <c r="A1063" s="28">
        <v>5</v>
      </c>
      <c r="B1063" s="29" t="s">
        <v>349</v>
      </c>
      <c r="C1063" s="29" t="s">
        <v>355</v>
      </c>
      <c r="D1063" s="29" t="s">
        <v>360</v>
      </c>
      <c r="E1063" s="29" t="s">
        <v>172</v>
      </c>
      <c r="F1063" s="28" t="s">
        <v>1245</v>
      </c>
      <c r="G1063" s="28" t="s">
        <v>2694</v>
      </c>
      <c r="H1063" s="28" t="s">
        <v>384</v>
      </c>
      <c r="I1063" s="28">
        <v>6</v>
      </c>
      <c r="J1063" s="30">
        <v>4.9000000000000002E-2</v>
      </c>
      <c r="K1063" s="28" t="s">
        <v>489</v>
      </c>
      <c r="L1063" s="31">
        <v>42491</v>
      </c>
      <c r="M1063" s="28">
        <v>5</v>
      </c>
      <c r="N1063" s="32" t="s">
        <v>191</v>
      </c>
      <c r="O1063" s="28" t="s">
        <v>204</v>
      </c>
      <c r="P1063" s="28" t="s">
        <v>2921</v>
      </c>
      <c r="Q1063" s="28" t="s">
        <v>2922</v>
      </c>
      <c r="R1063" s="28" t="s">
        <v>2914</v>
      </c>
    </row>
    <row r="1064" spans="1:18" hidden="1">
      <c r="A1064" s="28">
        <v>5</v>
      </c>
      <c r="B1064" s="29" t="s">
        <v>349</v>
      </c>
      <c r="C1064" s="29" t="s">
        <v>355</v>
      </c>
      <c r="D1064" s="29" t="s">
        <v>360</v>
      </c>
      <c r="E1064" s="29" t="s">
        <v>172</v>
      </c>
      <c r="F1064" s="28" t="s">
        <v>1245</v>
      </c>
      <c r="G1064" s="28" t="s">
        <v>2694</v>
      </c>
      <c r="H1064" s="28" t="s">
        <v>384</v>
      </c>
      <c r="I1064" s="28">
        <v>6</v>
      </c>
      <c r="J1064" s="30">
        <v>4.9000000000000002E-2</v>
      </c>
      <c r="K1064" s="28" t="s">
        <v>460</v>
      </c>
      <c r="L1064" s="31">
        <v>42675</v>
      </c>
      <c r="M1064" s="28">
        <v>11</v>
      </c>
      <c r="N1064" s="32" t="s">
        <v>191</v>
      </c>
      <c r="O1064" s="28" t="s">
        <v>204</v>
      </c>
      <c r="P1064" s="28" t="s">
        <v>2923</v>
      </c>
      <c r="Q1064" s="28" t="s">
        <v>2924</v>
      </c>
      <c r="R1064" s="28" t="s">
        <v>2925</v>
      </c>
    </row>
    <row r="1065" spans="1:18" hidden="1">
      <c r="A1065" s="28">
        <v>5</v>
      </c>
      <c r="B1065" s="29" t="s">
        <v>349</v>
      </c>
      <c r="C1065" s="29" t="s">
        <v>355</v>
      </c>
      <c r="D1065" s="29" t="s">
        <v>360</v>
      </c>
      <c r="E1065" s="29" t="s">
        <v>172</v>
      </c>
      <c r="F1065" s="28" t="s">
        <v>1245</v>
      </c>
      <c r="G1065" s="28" t="s">
        <v>2694</v>
      </c>
      <c r="H1065" s="28" t="s">
        <v>384</v>
      </c>
      <c r="I1065" s="28">
        <v>6</v>
      </c>
      <c r="J1065" s="30">
        <v>4.9000000000000002E-2</v>
      </c>
      <c r="K1065" s="28" t="s">
        <v>198</v>
      </c>
      <c r="L1065" s="31">
        <v>42767</v>
      </c>
      <c r="M1065" s="28">
        <v>2</v>
      </c>
      <c r="N1065" s="32" t="s">
        <v>176</v>
      </c>
      <c r="O1065" s="28" t="s">
        <v>204</v>
      </c>
      <c r="P1065" s="28" t="s">
        <v>2926</v>
      </c>
      <c r="Q1065" s="28" t="s">
        <v>2924</v>
      </c>
      <c r="R1065" s="28" t="s">
        <v>2925</v>
      </c>
    </row>
    <row r="1066" spans="1:18" hidden="1">
      <c r="A1066" s="28">
        <v>5</v>
      </c>
      <c r="B1066" s="29" t="s">
        <v>349</v>
      </c>
      <c r="C1066" s="29" t="s">
        <v>355</v>
      </c>
      <c r="D1066" s="29" t="s">
        <v>360</v>
      </c>
      <c r="E1066" s="29" t="s">
        <v>172</v>
      </c>
      <c r="F1066" s="28" t="s">
        <v>1245</v>
      </c>
      <c r="G1066" s="28" t="s">
        <v>2694</v>
      </c>
      <c r="H1066" s="28" t="s">
        <v>384</v>
      </c>
      <c r="I1066" s="28">
        <v>6</v>
      </c>
      <c r="J1066" s="30">
        <v>4.9000000000000002E-2</v>
      </c>
      <c r="K1066" s="28" t="s">
        <v>464</v>
      </c>
      <c r="L1066" s="31">
        <v>42887</v>
      </c>
      <c r="M1066" s="28">
        <v>6</v>
      </c>
      <c r="N1066" s="32" t="s">
        <v>184</v>
      </c>
      <c r="O1066" s="28" t="s">
        <v>204</v>
      </c>
      <c r="P1066" s="28" t="s">
        <v>2927</v>
      </c>
      <c r="Q1066" s="28" t="s">
        <v>2924</v>
      </c>
      <c r="R1066" s="28" t="s">
        <v>2925</v>
      </c>
    </row>
    <row r="1067" spans="1:18" hidden="1">
      <c r="A1067" s="28">
        <v>5</v>
      </c>
      <c r="B1067" s="29" t="s">
        <v>349</v>
      </c>
      <c r="C1067" s="29" t="s">
        <v>355</v>
      </c>
      <c r="D1067" s="29" t="s">
        <v>360</v>
      </c>
      <c r="E1067" s="29" t="s">
        <v>172</v>
      </c>
      <c r="F1067" s="28" t="s">
        <v>1245</v>
      </c>
      <c r="G1067" s="28" t="s">
        <v>2694</v>
      </c>
      <c r="H1067" s="28" t="s">
        <v>384</v>
      </c>
      <c r="I1067" s="28">
        <v>6</v>
      </c>
      <c r="J1067" s="30">
        <v>4.9000000000000002E-2</v>
      </c>
      <c r="K1067" s="28" t="s">
        <v>293</v>
      </c>
      <c r="L1067" s="31">
        <v>43374</v>
      </c>
      <c r="M1067" s="28">
        <v>10</v>
      </c>
      <c r="N1067" s="32" t="s">
        <v>191</v>
      </c>
      <c r="O1067" s="28" t="s">
        <v>794</v>
      </c>
      <c r="P1067" s="28" t="s">
        <v>2928</v>
      </c>
      <c r="Q1067" s="28" t="s">
        <v>2919</v>
      </c>
      <c r="R1067" s="28" t="s">
        <v>2920</v>
      </c>
    </row>
    <row r="1068" spans="1:18" hidden="1">
      <c r="A1068" s="28">
        <v>5</v>
      </c>
      <c r="B1068" s="29" t="s">
        <v>349</v>
      </c>
      <c r="C1068" s="29" t="s">
        <v>355</v>
      </c>
      <c r="D1068" s="29" t="s">
        <v>360</v>
      </c>
      <c r="E1068" s="29" t="s">
        <v>172</v>
      </c>
      <c r="F1068" s="28" t="s">
        <v>1245</v>
      </c>
      <c r="G1068" s="28" t="s">
        <v>2694</v>
      </c>
      <c r="H1068" s="28" t="s">
        <v>384</v>
      </c>
      <c r="I1068" s="28">
        <v>6</v>
      </c>
      <c r="J1068" s="30">
        <v>4.9000000000000002E-2</v>
      </c>
      <c r="K1068" s="28" t="s">
        <v>293</v>
      </c>
      <c r="L1068" s="31">
        <v>43374</v>
      </c>
      <c r="M1068" s="28">
        <v>10</v>
      </c>
      <c r="N1068" s="32" t="s">
        <v>191</v>
      </c>
      <c r="O1068" s="28" t="s">
        <v>204</v>
      </c>
      <c r="P1068" s="28" t="s">
        <v>2929</v>
      </c>
      <c r="Q1068" s="28" t="s">
        <v>2930</v>
      </c>
      <c r="R1068" s="28" t="s">
        <v>2931</v>
      </c>
    </row>
    <row r="1069" spans="1:18" hidden="1">
      <c r="A1069" s="28">
        <v>5</v>
      </c>
      <c r="B1069" s="29" t="s">
        <v>349</v>
      </c>
      <c r="C1069" s="29" t="s">
        <v>355</v>
      </c>
      <c r="D1069" s="29" t="s">
        <v>360</v>
      </c>
      <c r="E1069" s="29" t="s">
        <v>172</v>
      </c>
      <c r="F1069" s="28" t="s">
        <v>1245</v>
      </c>
      <c r="G1069" s="28" t="s">
        <v>2694</v>
      </c>
      <c r="H1069" s="28" t="s">
        <v>384</v>
      </c>
      <c r="I1069" s="28">
        <v>6</v>
      </c>
      <c r="J1069" s="30">
        <v>4.9000000000000002E-2</v>
      </c>
      <c r="K1069" s="28" t="s">
        <v>214</v>
      </c>
      <c r="L1069" s="31">
        <v>43466</v>
      </c>
      <c r="M1069" s="28">
        <v>1</v>
      </c>
      <c r="N1069" s="32" t="s">
        <v>176</v>
      </c>
      <c r="O1069" s="28" t="s">
        <v>204</v>
      </c>
      <c r="P1069" s="28" t="s">
        <v>2932</v>
      </c>
      <c r="Q1069" s="28" t="s">
        <v>2933</v>
      </c>
      <c r="R1069" s="28" t="s">
        <v>2925</v>
      </c>
    </row>
    <row r="1070" spans="1:18" hidden="1">
      <c r="A1070" s="28">
        <v>5</v>
      </c>
      <c r="B1070" s="29" t="s">
        <v>349</v>
      </c>
      <c r="C1070" s="29" t="s">
        <v>355</v>
      </c>
      <c r="D1070" s="29" t="s">
        <v>360</v>
      </c>
      <c r="E1070" s="29" t="s">
        <v>172</v>
      </c>
      <c r="F1070" s="28" t="s">
        <v>1245</v>
      </c>
      <c r="G1070" s="28" t="s">
        <v>2694</v>
      </c>
      <c r="H1070" s="28" t="s">
        <v>384</v>
      </c>
      <c r="I1070" s="28">
        <v>6</v>
      </c>
      <c r="J1070" s="30">
        <v>4.9000000000000002E-2</v>
      </c>
      <c r="K1070" s="28" t="s">
        <v>214</v>
      </c>
      <c r="L1070" s="31">
        <v>43466</v>
      </c>
      <c r="M1070" s="28">
        <v>1</v>
      </c>
      <c r="N1070" s="32" t="s">
        <v>176</v>
      </c>
      <c r="O1070" s="28" t="s">
        <v>794</v>
      </c>
      <c r="P1070" s="28" t="s">
        <v>2934</v>
      </c>
      <c r="Q1070" s="28" t="s">
        <v>2919</v>
      </c>
      <c r="R1070" s="28" t="s">
        <v>2920</v>
      </c>
    </row>
    <row r="1071" spans="1:18" hidden="1">
      <c r="A1071" s="28">
        <v>5</v>
      </c>
      <c r="B1071" s="29" t="s">
        <v>349</v>
      </c>
      <c r="C1071" s="29" t="s">
        <v>355</v>
      </c>
      <c r="D1071" s="29" t="s">
        <v>360</v>
      </c>
      <c r="E1071" s="29" t="s">
        <v>172</v>
      </c>
      <c r="F1071" s="28" t="s">
        <v>1245</v>
      </c>
      <c r="G1071" s="28" t="s">
        <v>2694</v>
      </c>
      <c r="H1071" s="28" t="s">
        <v>384</v>
      </c>
      <c r="I1071" s="28">
        <v>6</v>
      </c>
      <c r="J1071" s="30">
        <v>4.9000000000000002E-2</v>
      </c>
      <c r="K1071" s="28" t="s">
        <v>214</v>
      </c>
      <c r="L1071" s="31">
        <v>43466</v>
      </c>
      <c r="M1071" s="28">
        <v>1</v>
      </c>
      <c r="N1071" s="32" t="s">
        <v>176</v>
      </c>
      <c r="O1071" s="28" t="s">
        <v>204</v>
      </c>
      <c r="P1071" s="28" t="s">
        <v>2935</v>
      </c>
      <c r="Q1071" s="28" t="s">
        <v>2930</v>
      </c>
      <c r="R1071" s="28" t="s">
        <v>2931</v>
      </c>
    </row>
    <row r="1072" spans="1:18" hidden="1">
      <c r="A1072" s="28">
        <v>5</v>
      </c>
      <c r="B1072" s="29" t="s">
        <v>349</v>
      </c>
      <c r="C1072" s="29" t="s">
        <v>355</v>
      </c>
      <c r="D1072" s="29" t="s">
        <v>360</v>
      </c>
      <c r="E1072" s="29" t="s">
        <v>172</v>
      </c>
      <c r="F1072" s="28" t="s">
        <v>1245</v>
      </c>
      <c r="G1072" s="28" t="s">
        <v>2694</v>
      </c>
      <c r="H1072" s="28" t="s">
        <v>384</v>
      </c>
      <c r="I1072" s="28">
        <v>6</v>
      </c>
      <c r="J1072" s="30">
        <v>4.9000000000000002E-2</v>
      </c>
      <c r="K1072" s="28" t="s">
        <v>397</v>
      </c>
      <c r="L1072" s="31">
        <v>43739</v>
      </c>
      <c r="M1072" s="28">
        <v>10</v>
      </c>
      <c r="N1072" s="32" t="s">
        <v>191</v>
      </c>
      <c r="O1072" s="28" t="s">
        <v>204</v>
      </c>
      <c r="P1072" s="28" t="s">
        <v>2936</v>
      </c>
      <c r="Q1072" s="28" t="s">
        <v>2930</v>
      </c>
      <c r="R1072" s="28" t="s">
        <v>2931</v>
      </c>
    </row>
    <row r="1073" spans="1:18" hidden="1">
      <c r="A1073" s="28">
        <v>5</v>
      </c>
      <c r="B1073" s="29" t="s">
        <v>349</v>
      </c>
      <c r="C1073" s="29" t="s">
        <v>355</v>
      </c>
      <c r="D1073" s="29" t="s">
        <v>360</v>
      </c>
      <c r="E1073" s="29" t="s">
        <v>172</v>
      </c>
      <c r="F1073" s="28" t="s">
        <v>1245</v>
      </c>
      <c r="G1073" s="28" t="s">
        <v>2694</v>
      </c>
      <c r="H1073" s="28" t="s">
        <v>384</v>
      </c>
      <c r="I1073" s="28">
        <v>6</v>
      </c>
      <c r="J1073" s="30">
        <v>4.9000000000000002E-2</v>
      </c>
      <c r="K1073" s="28" t="s">
        <v>324</v>
      </c>
      <c r="L1073" s="31">
        <v>43862</v>
      </c>
      <c r="M1073" s="28">
        <v>2</v>
      </c>
      <c r="N1073" s="32" t="s">
        <v>176</v>
      </c>
      <c r="O1073" s="28" t="s">
        <v>794</v>
      </c>
      <c r="P1073" s="28" t="s">
        <v>2937</v>
      </c>
      <c r="Q1073" s="28" t="s">
        <v>2919</v>
      </c>
      <c r="R1073" s="28" t="s">
        <v>2920</v>
      </c>
    </row>
    <row r="1074" spans="1:18" hidden="1">
      <c r="A1074" s="28">
        <v>5</v>
      </c>
      <c r="B1074" s="29" t="s">
        <v>349</v>
      </c>
      <c r="C1074" s="29" t="s">
        <v>355</v>
      </c>
      <c r="D1074" s="29" t="s">
        <v>360</v>
      </c>
      <c r="E1074" s="29" t="s">
        <v>172</v>
      </c>
      <c r="F1074" s="28" t="s">
        <v>1245</v>
      </c>
      <c r="G1074" s="28" t="s">
        <v>2694</v>
      </c>
      <c r="H1074" s="28" t="s">
        <v>384</v>
      </c>
      <c r="I1074" s="28">
        <v>6</v>
      </c>
      <c r="J1074" s="30">
        <v>4.9000000000000002E-2</v>
      </c>
      <c r="K1074" s="28" t="s">
        <v>328</v>
      </c>
      <c r="L1074" s="31">
        <v>43891</v>
      </c>
      <c r="M1074" s="28">
        <v>3</v>
      </c>
      <c r="N1074" s="32" t="s">
        <v>191</v>
      </c>
      <c r="O1074" s="28" t="s">
        <v>794</v>
      </c>
      <c r="P1074" s="28" t="s">
        <v>2938</v>
      </c>
      <c r="Q1074" s="28" t="s">
        <v>2919</v>
      </c>
      <c r="R1074" s="28" t="s">
        <v>2920</v>
      </c>
    </row>
    <row r="1075" spans="1:18" hidden="1">
      <c r="A1075" s="28">
        <v>5</v>
      </c>
      <c r="B1075" s="29" t="s">
        <v>349</v>
      </c>
      <c r="C1075" s="29" t="s">
        <v>355</v>
      </c>
      <c r="D1075" s="29" t="s">
        <v>360</v>
      </c>
      <c r="E1075" s="29" t="s">
        <v>172</v>
      </c>
      <c r="F1075" s="28" t="s">
        <v>1245</v>
      </c>
      <c r="G1075" s="28" t="s">
        <v>2694</v>
      </c>
      <c r="H1075" s="28" t="s">
        <v>384</v>
      </c>
      <c r="I1075" s="28">
        <v>6</v>
      </c>
      <c r="J1075" s="30">
        <v>4.9000000000000002E-2</v>
      </c>
      <c r="K1075" s="28" t="s">
        <v>504</v>
      </c>
      <c r="L1075" s="31">
        <v>43922</v>
      </c>
      <c r="M1075" s="28">
        <v>4</v>
      </c>
      <c r="N1075" s="32" t="s">
        <v>191</v>
      </c>
      <c r="O1075" s="28" t="s">
        <v>185</v>
      </c>
      <c r="P1075" s="28" t="s">
        <v>2939</v>
      </c>
      <c r="Q1075" s="28" t="s">
        <v>2940</v>
      </c>
      <c r="R1075" s="28" t="s">
        <v>2941</v>
      </c>
    </row>
    <row r="1076" spans="1:18" hidden="1">
      <c r="A1076" s="28">
        <v>5</v>
      </c>
      <c r="B1076" s="29" t="s">
        <v>349</v>
      </c>
      <c r="C1076" s="29" t="s">
        <v>355</v>
      </c>
      <c r="D1076" s="29" t="s">
        <v>360</v>
      </c>
      <c r="E1076" s="29" t="s">
        <v>172</v>
      </c>
      <c r="F1076" s="28" t="s">
        <v>1245</v>
      </c>
      <c r="G1076" s="28" t="s">
        <v>2694</v>
      </c>
      <c r="H1076" s="28" t="s">
        <v>384</v>
      </c>
      <c r="I1076" s="28">
        <v>6</v>
      </c>
      <c r="J1076" s="30">
        <v>4.9000000000000002E-2</v>
      </c>
      <c r="K1076" s="28" t="s">
        <v>190</v>
      </c>
      <c r="L1076" s="31">
        <v>44287</v>
      </c>
      <c r="M1076" s="28">
        <v>4</v>
      </c>
      <c r="N1076" s="32" t="s">
        <v>191</v>
      </c>
      <c r="O1076" s="28" t="s">
        <v>794</v>
      </c>
      <c r="P1076" s="28" t="s">
        <v>2942</v>
      </c>
      <c r="Q1076" s="28" t="s">
        <v>2919</v>
      </c>
      <c r="R1076" s="28" t="s">
        <v>2920</v>
      </c>
    </row>
    <row r="1077" spans="1:18" hidden="1">
      <c r="A1077" s="28">
        <v>6</v>
      </c>
      <c r="B1077" s="29" t="s">
        <v>365</v>
      </c>
      <c r="C1077" s="29" t="s">
        <v>366</v>
      </c>
      <c r="D1077" s="29" t="s">
        <v>367</v>
      </c>
      <c r="E1077" s="29" t="s">
        <v>172</v>
      </c>
      <c r="F1077" s="28" t="s">
        <v>1245</v>
      </c>
      <c r="G1077" s="28" t="s">
        <v>2694</v>
      </c>
      <c r="H1077" s="28" t="s">
        <v>384</v>
      </c>
      <c r="I1077" s="28">
        <v>6</v>
      </c>
      <c r="J1077" s="30">
        <v>4.9000000000000002E-2</v>
      </c>
      <c r="K1077" s="28" t="s">
        <v>520</v>
      </c>
      <c r="L1077" s="31">
        <v>43800</v>
      </c>
      <c r="M1077" s="28">
        <v>12</v>
      </c>
      <c r="N1077" s="32" t="s">
        <v>176</v>
      </c>
      <c r="O1077" s="28" t="s">
        <v>204</v>
      </c>
      <c r="P1077" s="28" t="s">
        <v>2943</v>
      </c>
      <c r="Q1077" s="28" t="s">
        <v>2696</v>
      </c>
      <c r="R1077" s="28" t="s">
        <v>2697</v>
      </c>
    </row>
    <row r="1078" spans="1:18" hidden="1">
      <c r="A1078" s="28">
        <v>6</v>
      </c>
      <c r="B1078" s="29" t="s">
        <v>365</v>
      </c>
      <c r="C1078" s="29" t="s">
        <v>366</v>
      </c>
      <c r="D1078" s="29" t="s">
        <v>1887</v>
      </c>
      <c r="E1078" s="29" t="s">
        <v>172</v>
      </c>
      <c r="F1078" s="28" t="s">
        <v>1245</v>
      </c>
      <c r="G1078" s="28" t="s">
        <v>2694</v>
      </c>
      <c r="H1078" s="28" t="s">
        <v>384</v>
      </c>
      <c r="I1078" s="28">
        <v>6</v>
      </c>
      <c r="J1078" s="30">
        <v>4.9000000000000002E-2</v>
      </c>
      <c r="K1078" s="28" t="s">
        <v>485</v>
      </c>
      <c r="L1078" s="31">
        <v>42401</v>
      </c>
      <c r="M1078" s="28">
        <v>2</v>
      </c>
      <c r="N1078" s="32" t="s">
        <v>176</v>
      </c>
      <c r="O1078" s="28" t="s">
        <v>204</v>
      </c>
      <c r="P1078" s="28" t="s">
        <v>2944</v>
      </c>
      <c r="Q1078" s="28" t="s">
        <v>2945</v>
      </c>
      <c r="R1078" s="28" t="s">
        <v>2946</v>
      </c>
    </row>
    <row r="1079" spans="1:18" hidden="1">
      <c r="A1079" s="28">
        <v>9</v>
      </c>
      <c r="B1079" s="29" t="s">
        <v>1992</v>
      </c>
      <c r="C1079" s="29" t="s">
        <v>2607</v>
      </c>
      <c r="D1079" s="29" t="s">
        <v>2947</v>
      </c>
      <c r="E1079" s="29" t="s">
        <v>374</v>
      </c>
      <c r="F1079" s="28" t="s">
        <v>1245</v>
      </c>
      <c r="G1079" s="28" t="s">
        <v>2694</v>
      </c>
      <c r="H1079" s="28" t="s">
        <v>384</v>
      </c>
      <c r="I1079" s="28">
        <v>6</v>
      </c>
      <c r="J1079" s="30">
        <v>4.9000000000000002E-2</v>
      </c>
      <c r="K1079" s="28" t="s">
        <v>401</v>
      </c>
      <c r="L1079" s="31">
        <v>42705</v>
      </c>
      <c r="M1079" s="28">
        <v>12</v>
      </c>
      <c r="N1079" s="32" t="s">
        <v>176</v>
      </c>
      <c r="O1079" s="28" t="s">
        <v>794</v>
      </c>
      <c r="P1079" s="28" t="s">
        <v>2948</v>
      </c>
      <c r="Q1079" s="28" t="s">
        <v>2949</v>
      </c>
      <c r="R1079" s="28" t="s">
        <v>2950</v>
      </c>
    </row>
    <row r="1080" spans="1:18" hidden="1">
      <c r="A1080" s="28">
        <v>12</v>
      </c>
      <c r="B1080" s="29" t="s">
        <v>195</v>
      </c>
      <c r="C1080" s="29" t="s">
        <v>196</v>
      </c>
      <c r="D1080" s="29" t="s">
        <v>197</v>
      </c>
      <c r="E1080" s="29" t="s">
        <v>172</v>
      </c>
      <c r="F1080" s="28" t="s">
        <v>2951</v>
      </c>
      <c r="G1080" s="28" t="s">
        <v>2951</v>
      </c>
      <c r="H1080" s="28" t="s">
        <v>174</v>
      </c>
      <c r="I1080" s="28" t="s">
        <v>174</v>
      </c>
      <c r="J1080" s="30" t="s">
        <v>174</v>
      </c>
      <c r="K1080" s="28" t="s">
        <v>651</v>
      </c>
      <c r="L1080" s="31">
        <v>42644</v>
      </c>
      <c r="M1080" s="28">
        <v>10</v>
      </c>
      <c r="N1080" s="32" t="s">
        <v>191</v>
      </c>
      <c r="O1080" s="28" t="s">
        <v>177</v>
      </c>
      <c r="P1080" s="28" t="s">
        <v>2952</v>
      </c>
      <c r="Q1080" s="28" t="s">
        <v>2953</v>
      </c>
      <c r="R1080" s="28" t="s">
        <v>2954</v>
      </c>
    </row>
    <row r="1081" spans="1:18" hidden="1">
      <c r="A1081" s="28">
        <v>12</v>
      </c>
      <c r="B1081" s="29" t="s">
        <v>195</v>
      </c>
      <c r="C1081" s="29" t="s">
        <v>196</v>
      </c>
      <c r="D1081" s="29" t="s">
        <v>197</v>
      </c>
      <c r="E1081" s="29" t="s">
        <v>172</v>
      </c>
      <c r="F1081" s="28" t="s">
        <v>2951</v>
      </c>
      <c r="G1081" s="28" t="s">
        <v>2951</v>
      </c>
      <c r="H1081" s="28" t="s">
        <v>174</v>
      </c>
      <c r="I1081" s="28" t="s">
        <v>174</v>
      </c>
      <c r="J1081" s="30" t="s">
        <v>174</v>
      </c>
      <c r="K1081" s="28" t="s">
        <v>651</v>
      </c>
      <c r="L1081" s="31">
        <v>42644</v>
      </c>
      <c r="M1081" s="28">
        <v>10</v>
      </c>
      <c r="N1081" s="32" t="s">
        <v>191</v>
      </c>
      <c r="O1081" s="28" t="s">
        <v>185</v>
      </c>
      <c r="P1081" s="28" t="s">
        <v>2955</v>
      </c>
      <c r="Q1081" s="28" t="s">
        <v>200</v>
      </c>
      <c r="R1081" s="28" t="s">
        <v>201</v>
      </c>
    </row>
    <row r="1082" spans="1:18" hidden="1">
      <c r="A1082" s="28">
        <v>12</v>
      </c>
      <c r="B1082" s="29" t="s">
        <v>195</v>
      </c>
      <c r="C1082" s="29" t="s">
        <v>196</v>
      </c>
      <c r="D1082" s="29" t="s">
        <v>197</v>
      </c>
      <c r="E1082" s="29" t="s">
        <v>172</v>
      </c>
      <c r="F1082" s="28" t="s">
        <v>2951</v>
      </c>
      <c r="G1082" s="28" t="s">
        <v>2951</v>
      </c>
      <c r="H1082" s="28" t="s">
        <v>174</v>
      </c>
      <c r="I1082" s="28" t="s">
        <v>174</v>
      </c>
      <c r="J1082" s="30" t="s">
        <v>174</v>
      </c>
      <c r="K1082" s="28" t="s">
        <v>212</v>
      </c>
      <c r="L1082" s="31">
        <v>43313</v>
      </c>
      <c r="M1082" s="28">
        <v>8</v>
      </c>
      <c r="N1082" s="32" t="s">
        <v>184</v>
      </c>
      <c r="O1082" s="28" t="s">
        <v>794</v>
      </c>
      <c r="P1082" s="28" t="s">
        <v>2956</v>
      </c>
      <c r="Q1082" s="28" t="s">
        <v>2957</v>
      </c>
      <c r="R1082" s="28" t="s">
        <v>2958</v>
      </c>
    </row>
    <row r="1083" spans="1:18" hidden="1">
      <c r="A1083" s="28">
        <v>12</v>
      </c>
      <c r="B1083" s="29" t="s">
        <v>195</v>
      </c>
      <c r="C1083" s="29" t="s">
        <v>196</v>
      </c>
      <c r="D1083" s="29" t="s">
        <v>197</v>
      </c>
      <c r="E1083" s="29" t="s">
        <v>172</v>
      </c>
      <c r="F1083" s="28" t="s">
        <v>2951</v>
      </c>
      <c r="G1083" s="28" t="s">
        <v>2951</v>
      </c>
      <c r="H1083" s="28" t="s">
        <v>174</v>
      </c>
      <c r="I1083" s="28" t="s">
        <v>174</v>
      </c>
      <c r="J1083" s="30" t="s">
        <v>174</v>
      </c>
      <c r="K1083" s="28" t="s">
        <v>324</v>
      </c>
      <c r="L1083" s="31">
        <v>43862</v>
      </c>
      <c r="M1083" s="28">
        <v>2</v>
      </c>
      <c r="N1083" s="32" t="s">
        <v>176</v>
      </c>
      <c r="O1083" s="28" t="s">
        <v>185</v>
      </c>
      <c r="P1083" s="28" t="s">
        <v>2959</v>
      </c>
      <c r="Q1083" s="28" t="s">
        <v>200</v>
      </c>
      <c r="R1083" s="28" t="s">
        <v>201</v>
      </c>
    </row>
    <row r="1084" spans="1:18" hidden="1">
      <c r="A1084" s="28">
        <v>12</v>
      </c>
      <c r="B1084" s="29" t="s">
        <v>195</v>
      </c>
      <c r="C1084" s="29" t="s">
        <v>1397</v>
      </c>
      <c r="D1084" s="29" t="s">
        <v>1398</v>
      </c>
      <c r="E1084" s="29" t="s">
        <v>172</v>
      </c>
      <c r="F1084" s="28" t="s">
        <v>2951</v>
      </c>
      <c r="G1084" s="28" t="s">
        <v>2951</v>
      </c>
      <c r="H1084" s="28" t="s">
        <v>174</v>
      </c>
      <c r="I1084" s="28" t="s">
        <v>174</v>
      </c>
      <c r="J1084" s="30" t="s">
        <v>174</v>
      </c>
      <c r="K1084" s="28" t="s">
        <v>243</v>
      </c>
      <c r="L1084" s="31">
        <v>42461</v>
      </c>
      <c r="M1084" s="28">
        <v>4</v>
      </c>
      <c r="N1084" s="32" t="s">
        <v>191</v>
      </c>
      <c r="O1084" s="28" t="s">
        <v>177</v>
      </c>
      <c r="P1084" s="28" t="s">
        <v>2960</v>
      </c>
      <c r="Q1084" s="28" t="s">
        <v>2961</v>
      </c>
      <c r="R1084" s="28" t="s">
        <v>2962</v>
      </c>
    </row>
    <row r="1085" spans="1:18" hidden="1">
      <c r="A1085" s="28">
        <v>12</v>
      </c>
      <c r="B1085" s="29" t="s">
        <v>195</v>
      </c>
      <c r="C1085" s="29" t="s">
        <v>225</v>
      </c>
      <c r="D1085" s="29" t="s">
        <v>2963</v>
      </c>
      <c r="E1085" s="29" t="s">
        <v>172</v>
      </c>
      <c r="F1085" s="28" t="s">
        <v>2951</v>
      </c>
      <c r="G1085" s="28" t="s">
        <v>2951</v>
      </c>
      <c r="H1085" s="28" t="s">
        <v>174</v>
      </c>
      <c r="I1085" s="28" t="s">
        <v>174</v>
      </c>
      <c r="J1085" s="30" t="s">
        <v>174</v>
      </c>
      <c r="K1085" s="28" t="s">
        <v>232</v>
      </c>
      <c r="L1085" s="31">
        <v>42522</v>
      </c>
      <c r="M1085" s="28">
        <v>6</v>
      </c>
      <c r="N1085" s="32" t="s">
        <v>184</v>
      </c>
      <c r="O1085" s="28" t="s">
        <v>185</v>
      </c>
      <c r="P1085" s="28" t="s">
        <v>2964</v>
      </c>
      <c r="Q1085" s="28" t="s">
        <v>2965</v>
      </c>
      <c r="R1085" s="28" t="s">
        <v>2966</v>
      </c>
    </row>
    <row r="1086" spans="1:18" hidden="1">
      <c r="A1086" s="28">
        <v>12</v>
      </c>
      <c r="B1086" s="29" t="s">
        <v>195</v>
      </c>
      <c r="C1086" s="29" t="s">
        <v>230</v>
      </c>
      <c r="D1086" s="29" t="s">
        <v>231</v>
      </c>
      <c r="E1086" s="29" t="s">
        <v>172</v>
      </c>
      <c r="F1086" s="28" t="s">
        <v>2951</v>
      </c>
      <c r="G1086" s="28" t="s">
        <v>2951</v>
      </c>
      <c r="H1086" s="28" t="s">
        <v>174</v>
      </c>
      <c r="I1086" s="28" t="s">
        <v>174</v>
      </c>
      <c r="J1086" s="30" t="s">
        <v>174</v>
      </c>
      <c r="K1086" s="28" t="s">
        <v>257</v>
      </c>
      <c r="L1086" s="31">
        <v>42552</v>
      </c>
      <c r="M1086" s="28">
        <v>7</v>
      </c>
      <c r="N1086" s="32" t="s">
        <v>184</v>
      </c>
      <c r="O1086" s="28" t="s">
        <v>794</v>
      </c>
      <c r="P1086" s="28" t="s">
        <v>2967</v>
      </c>
      <c r="Q1086" s="28" t="s">
        <v>2968</v>
      </c>
      <c r="R1086" s="28" t="s">
        <v>2969</v>
      </c>
    </row>
    <row r="1087" spans="1:18" hidden="1">
      <c r="A1087" s="28">
        <v>12</v>
      </c>
      <c r="B1087" s="29" t="s">
        <v>195</v>
      </c>
      <c r="C1087" s="29" t="s">
        <v>230</v>
      </c>
      <c r="D1087" s="29" t="s">
        <v>231</v>
      </c>
      <c r="E1087" s="29" t="s">
        <v>172</v>
      </c>
      <c r="F1087" s="28" t="s">
        <v>2951</v>
      </c>
      <c r="G1087" s="28" t="s">
        <v>2951</v>
      </c>
      <c r="H1087" s="28" t="s">
        <v>174</v>
      </c>
      <c r="I1087" s="28" t="s">
        <v>174</v>
      </c>
      <c r="J1087" s="30" t="s">
        <v>174</v>
      </c>
      <c r="K1087" s="28" t="s">
        <v>559</v>
      </c>
      <c r="L1087" s="31">
        <v>43252</v>
      </c>
      <c r="M1087" s="28">
        <v>6</v>
      </c>
      <c r="N1087" s="32" t="s">
        <v>184</v>
      </c>
      <c r="O1087" s="28" t="s">
        <v>204</v>
      </c>
      <c r="P1087" s="28" t="s">
        <v>2970</v>
      </c>
      <c r="Q1087" s="28" t="s">
        <v>2971</v>
      </c>
      <c r="R1087" s="28" t="s">
        <v>2972</v>
      </c>
    </row>
    <row r="1088" spans="1:18" hidden="1">
      <c r="A1088" s="28">
        <v>12</v>
      </c>
      <c r="B1088" s="29" t="s">
        <v>195</v>
      </c>
      <c r="C1088" s="29" t="s">
        <v>230</v>
      </c>
      <c r="D1088" s="29" t="s">
        <v>231</v>
      </c>
      <c r="E1088" s="29" t="s">
        <v>172</v>
      </c>
      <c r="F1088" s="28" t="s">
        <v>2951</v>
      </c>
      <c r="G1088" s="28" t="s">
        <v>2951</v>
      </c>
      <c r="H1088" s="28" t="s">
        <v>174</v>
      </c>
      <c r="I1088" s="28" t="s">
        <v>174</v>
      </c>
      <c r="J1088" s="30" t="s">
        <v>174</v>
      </c>
      <c r="K1088" s="28" t="s">
        <v>302</v>
      </c>
      <c r="L1088" s="31">
        <v>43282</v>
      </c>
      <c r="M1088" s="28">
        <v>7</v>
      </c>
      <c r="N1088" s="32" t="s">
        <v>184</v>
      </c>
      <c r="O1088" s="28" t="s">
        <v>794</v>
      </c>
      <c r="P1088" s="28" t="s">
        <v>2973</v>
      </c>
      <c r="Q1088" s="28" t="s">
        <v>2974</v>
      </c>
      <c r="R1088" s="28" t="s">
        <v>2972</v>
      </c>
    </row>
    <row r="1089" spans="1:18" hidden="1">
      <c r="A1089" s="28">
        <v>12</v>
      </c>
      <c r="B1089" s="29" t="s">
        <v>195</v>
      </c>
      <c r="C1089" s="29" t="s">
        <v>230</v>
      </c>
      <c r="D1089" s="29" t="s">
        <v>231</v>
      </c>
      <c r="E1089" s="29" t="s">
        <v>172</v>
      </c>
      <c r="F1089" s="28" t="s">
        <v>2951</v>
      </c>
      <c r="G1089" s="28" t="s">
        <v>2951</v>
      </c>
      <c r="H1089" s="28" t="s">
        <v>174</v>
      </c>
      <c r="I1089" s="28" t="s">
        <v>174</v>
      </c>
      <c r="J1089" s="30" t="s">
        <v>174</v>
      </c>
      <c r="K1089" s="28" t="s">
        <v>212</v>
      </c>
      <c r="L1089" s="31">
        <v>43313</v>
      </c>
      <c r="M1089" s="28">
        <v>8</v>
      </c>
      <c r="N1089" s="32" t="s">
        <v>184</v>
      </c>
      <c r="O1089" s="28" t="s">
        <v>2975</v>
      </c>
      <c r="P1089" s="28" t="s">
        <v>2976</v>
      </c>
      <c r="Q1089" s="28" t="s">
        <v>2977</v>
      </c>
      <c r="R1089" s="28" t="s">
        <v>2978</v>
      </c>
    </row>
    <row r="1090" spans="1:18" hidden="1">
      <c r="A1090" s="28">
        <v>12</v>
      </c>
      <c r="B1090" s="29" t="s">
        <v>195</v>
      </c>
      <c r="C1090" s="29" t="s">
        <v>230</v>
      </c>
      <c r="D1090" s="29" t="s">
        <v>231</v>
      </c>
      <c r="E1090" s="29" t="s">
        <v>172</v>
      </c>
      <c r="F1090" s="28" t="s">
        <v>2951</v>
      </c>
      <c r="G1090" s="28" t="s">
        <v>2951</v>
      </c>
      <c r="H1090" s="28" t="s">
        <v>174</v>
      </c>
      <c r="I1090" s="28" t="s">
        <v>174</v>
      </c>
      <c r="J1090" s="30" t="s">
        <v>174</v>
      </c>
      <c r="K1090" s="28" t="s">
        <v>212</v>
      </c>
      <c r="L1090" s="31">
        <v>43313</v>
      </c>
      <c r="M1090" s="28">
        <v>8</v>
      </c>
      <c r="N1090" s="32" t="s">
        <v>184</v>
      </c>
      <c r="O1090" s="28" t="s">
        <v>204</v>
      </c>
      <c r="P1090" s="28" t="s">
        <v>2979</v>
      </c>
      <c r="Q1090" s="28" t="s">
        <v>2980</v>
      </c>
      <c r="R1090" s="28" t="s">
        <v>2981</v>
      </c>
    </row>
    <row r="1091" spans="1:18" hidden="1">
      <c r="A1091" s="28">
        <v>12</v>
      </c>
      <c r="B1091" s="29" t="s">
        <v>195</v>
      </c>
      <c r="C1091" s="29" t="s">
        <v>230</v>
      </c>
      <c r="D1091" s="29" t="s">
        <v>231</v>
      </c>
      <c r="E1091" s="29" t="s">
        <v>172</v>
      </c>
      <c r="F1091" s="28" t="s">
        <v>2951</v>
      </c>
      <c r="G1091" s="28" t="s">
        <v>2951</v>
      </c>
      <c r="H1091" s="28" t="s">
        <v>174</v>
      </c>
      <c r="I1091" s="28" t="s">
        <v>174</v>
      </c>
      <c r="J1091" s="30" t="s">
        <v>174</v>
      </c>
      <c r="K1091" s="28" t="s">
        <v>293</v>
      </c>
      <c r="L1091" s="31">
        <v>43374</v>
      </c>
      <c r="M1091" s="28">
        <v>10</v>
      </c>
      <c r="N1091" s="32" t="s">
        <v>191</v>
      </c>
      <c r="O1091" s="28" t="s">
        <v>204</v>
      </c>
      <c r="P1091" s="28" t="s">
        <v>2982</v>
      </c>
      <c r="Q1091" s="28" t="s">
        <v>2983</v>
      </c>
      <c r="R1091" s="28" t="s">
        <v>2984</v>
      </c>
    </row>
    <row r="1092" spans="1:18" hidden="1">
      <c r="A1092" s="28">
        <v>12</v>
      </c>
      <c r="B1092" s="29" t="s">
        <v>195</v>
      </c>
      <c r="C1092" s="29" t="s">
        <v>230</v>
      </c>
      <c r="D1092" s="29" t="s">
        <v>231</v>
      </c>
      <c r="E1092" s="29" t="s">
        <v>172</v>
      </c>
      <c r="F1092" s="28" t="s">
        <v>2951</v>
      </c>
      <c r="G1092" s="28" t="s">
        <v>2951</v>
      </c>
      <c r="H1092" s="28" t="s">
        <v>174</v>
      </c>
      <c r="I1092" s="28" t="s">
        <v>174</v>
      </c>
      <c r="J1092" s="30" t="s">
        <v>174</v>
      </c>
      <c r="K1092" s="28" t="s">
        <v>411</v>
      </c>
      <c r="L1092" s="31">
        <v>43556</v>
      </c>
      <c r="M1092" s="28">
        <v>4</v>
      </c>
      <c r="N1092" s="32" t="s">
        <v>191</v>
      </c>
      <c r="O1092" s="28" t="s">
        <v>794</v>
      </c>
      <c r="P1092" s="28" t="s">
        <v>2985</v>
      </c>
      <c r="Q1092" s="28" t="s">
        <v>2974</v>
      </c>
      <c r="R1092" s="28" t="s">
        <v>2972</v>
      </c>
    </row>
    <row r="1093" spans="1:18" hidden="1">
      <c r="A1093" s="28">
        <v>12</v>
      </c>
      <c r="B1093" s="29" t="s">
        <v>195</v>
      </c>
      <c r="C1093" s="29" t="s">
        <v>230</v>
      </c>
      <c r="D1093" s="29" t="s">
        <v>231</v>
      </c>
      <c r="E1093" s="29" t="s">
        <v>172</v>
      </c>
      <c r="F1093" s="28" t="s">
        <v>2951</v>
      </c>
      <c r="G1093" s="28" t="s">
        <v>2951</v>
      </c>
      <c r="H1093" s="28" t="s">
        <v>174</v>
      </c>
      <c r="I1093" s="28" t="s">
        <v>174</v>
      </c>
      <c r="J1093" s="30" t="s">
        <v>174</v>
      </c>
      <c r="K1093" s="28" t="s">
        <v>520</v>
      </c>
      <c r="L1093" s="31">
        <v>43800</v>
      </c>
      <c r="M1093" s="28">
        <v>12</v>
      </c>
      <c r="N1093" s="32" t="s">
        <v>176</v>
      </c>
      <c r="O1093" s="28" t="s">
        <v>794</v>
      </c>
      <c r="P1093" s="28" t="s">
        <v>2986</v>
      </c>
      <c r="Q1093" s="28" t="s">
        <v>2987</v>
      </c>
      <c r="R1093" s="28" t="s">
        <v>2988</v>
      </c>
    </row>
    <row r="1094" spans="1:18" hidden="1">
      <c r="A1094" s="28">
        <v>4</v>
      </c>
      <c r="B1094" s="29" t="s">
        <v>306</v>
      </c>
      <c r="C1094" s="29" t="s">
        <v>318</v>
      </c>
      <c r="D1094" s="29" t="s">
        <v>319</v>
      </c>
      <c r="E1094" s="29" t="s">
        <v>172</v>
      </c>
      <c r="F1094" s="28" t="s">
        <v>2951</v>
      </c>
      <c r="G1094" s="28" t="s">
        <v>2951</v>
      </c>
      <c r="H1094" s="28" t="s">
        <v>174</v>
      </c>
      <c r="I1094" s="28" t="s">
        <v>174</v>
      </c>
      <c r="J1094" s="30" t="s">
        <v>174</v>
      </c>
      <c r="K1094" s="28" t="s">
        <v>391</v>
      </c>
      <c r="L1094" s="31">
        <v>42370</v>
      </c>
      <c r="M1094" s="28">
        <v>1</v>
      </c>
      <c r="N1094" s="32" t="s">
        <v>176</v>
      </c>
      <c r="O1094" s="28" t="s">
        <v>794</v>
      </c>
      <c r="P1094" s="28" t="s">
        <v>2989</v>
      </c>
      <c r="Q1094" s="28" t="s">
        <v>2990</v>
      </c>
      <c r="R1094" s="28" t="s">
        <v>2991</v>
      </c>
    </row>
    <row r="1095" spans="1:18" hidden="1">
      <c r="A1095" s="28">
        <v>4</v>
      </c>
      <c r="B1095" s="29" t="s">
        <v>306</v>
      </c>
      <c r="C1095" s="29" t="s">
        <v>318</v>
      </c>
      <c r="D1095" s="29" t="s">
        <v>323</v>
      </c>
      <c r="E1095" s="29" t="s">
        <v>172</v>
      </c>
      <c r="F1095" s="28" t="s">
        <v>2951</v>
      </c>
      <c r="G1095" s="28" t="s">
        <v>2951</v>
      </c>
      <c r="H1095" s="28" t="s">
        <v>174</v>
      </c>
      <c r="I1095" s="28" t="s">
        <v>174</v>
      </c>
      <c r="J1095" s="30" t="s">
        <v>174</v>
      </c>
      <c r="K1095" s="28" t="s">
        <v>460</v>
      </c>
      <c r="L1095" s="31">
        <v>42675</v>
      </c>
      <c r="M1095" s="28">
        <v>11</v>
      </c>
      <c r="N1095" s="32" t="s">
        <v>191</v>
      </c>
      <c r="O1095" s="28" t="s">
        <v>794</v>
      </c>
      <c r="P1095" s="28" t="s">
        <v>2992</v>
      </c>
      <c r="Q1095" s="28" t="s">
        <v>2993</v>
      </c>
      <c r="R1095" s="28" t="s">
        <v>2994</v>
      </c>
    </row>
    <row r="1096" spans="1:18" hidden="1">
      <c r="A1096" s="28">
        <v>4</v>
      </c>
      <c r="B1096" s="29" t="s">
        <v>306</v>
      </c>
      <c r="C1096" s="29" t="s">
        <v>318</v>
      </c>
      <c r="D1096" s="29" t="s">
        <v>323</v>
      </c>
      <c r="E1096" s="29" t="s">
        <v>172</v>
      </c>
      <c r="F1096" s="28" t="s">
        <v>2951</v>
      </c>
      <c r="G1096" s="28" t="s">
        <v>2951</v>
      </c>
      <c r="H1096" s="28" t="s">
        <v>174</v>
      </c>
      <c r="I1096" s="28" t="s">
        <v>174</v>
      </c>
      <c r="J1096" s="30" t="s">
        <v>174</v>
      </c>
      <c r="K1096" s="28" t="s">
        <v>401</v>
      </c>
      <c r="L1096" s="31">
        <v>42705</v>
      </c>
      <c r="M1096" s="28">
        <v>12</v>
      </c>
      <c r="N1096" s="32" t="s">
        <v>176</v>
      </c>
      <c r="O1096" s="28" t="s">
        <v>177</v>
      </c>
      <c r="P1096" s="28" t="s">
        <v>2995</v>
      </c>
      <c r="Q1096" s="28" t="s">
        <v>2996</v>
      </c>
      <c r="R1096" s="28" t="s">
        <v>2994</v>
      </c>
    </row>
    <row r="1097" spans="1:18" hidden="1">
      <c r="A1097" s="28">
        <v>4</v>
      </c>
      <c r="B1097" s="29" t="s">
        <v>306</v>
      </c>
      <c r="C1097" s="29" t="s">
        <v>318</v>
      </c>
      <c r="D1097" s="29" t="s">
        <v>323</v>
      </c>
      <c r="E1097" s="29" t="s">
        <v>172</v>
      </c>
      <c r="F1097" s="28" t="s">
        <v>2951</v>
      </c>
      <c r="G1097" s="28" t="s">
        <v>2951</v>
      </c>
      <c r="H1097" s="28" t="s">
        <v>174</v>
      </c>
      <c r="I1097" s="28" t="s">
        <v>174</v>
      </c>
      <c r="J1097" s="30" t="s">
        <v>174</v>
      </c>
      <c r="K1097" s="28" t="s">
        <v>646</v>
      </c>
      <c r="L1097" s="31">
        <v>44075</v>
      </c>
      <c r="M1097" s="28">
        <v>9</v>
      </c>
      <c r="N1097" s="32" t="s">
        <v>191</v>
      </c>
      <c r="O1097" s="28" t="s">
        <v>794</v>
      </c>
      <c r="P1097" s="28" t="s">
        <v>2997</v>
      </c>
      <c r="Q1097" s="28" t="s">
        <v>2998</v>
      </c>
      <c r="R1097" s="28" t="s">
        <v>2994</v>
      </c>
    </row>
    <row r="1098" spans="1:18" hidden="1">
      <c r="A1098" s="28">
        <v>4</v>
      </c>
      <c r="B1098" s="29" t="s">
        <v>306</v>
      </c>
      <c r="C1098" s="29" t="s">
        <v>318</v>
      </c>
      <c r="D1098" s="29" t="s">
        <v>323</v>
      </c>
      <c r="E1098" s="29" t="s">
        <v>172</v>
      </c>
      <c r="F1098" s="28" t="s">
        <v>2951</v>
      </c>
      <c r="G1098" s="28" t="s">
        <v>2951</v>
      </c>
      <c r="H1098" s="28" t="s">
        <v>174</v>
      </c>
      <c r="I1098" s="28" t="s">
        <v>174</v>
      </c>
      <c r="J1098" s="30" t="s">
        <v>174</v>
      </c>
      <c r="K1098" s="28" t="s">
        <v>712</v>
      </c>
      <c r="L1098" s="31">
        <v>44470</v>
      </c>
      <c r="M1098" s="28">
        <v>10</v>
      </c>
      <c r="N1098" s="32" t="s">
        <v>191</v>
      </c>
      <c r="O1098" s="28" t="s">
        <v>177</v>
      </c>
      <c r="P1098" s="28" t="s">
        <v>2999</v>
      </c>
      <c r="Q1098" s="28" t="s">
        <v>3000</v>
      </c>
      <c r="R1098" s="28" t="s">
        <v>3001</v>
      </c>
    </row>
    <row r="1099" spans="1:18" hidden="1">
      <c r="A1099" s="28">
        <v>4</v>
      </c>
      <c r="B1099" s="29" t="s">
        <v>306</v>
      </c>
      <c r="C1099" s="29" t="s">
        <v>339</v>
      </c>
      <c r="D1099" s="29" t="s">
        <v>340</v>
      </c>
      <c r="E1099" s="29" t="s">
        <v>172</v>
      </c>
      <c r="F1099" s="28" t="s">
        <v>2951</v>
      </c>
      <c r="G1099" s="28" t="s">
        <v>2951</v>
      </c>
      <c r="H1099" s="28" t="s">
        <v>174</v>
      </c>
      <c r="I1099" s="28" t="s">
        <v>174</v>
      </c>
      <c r="J1099" s="30" t="s">
        <v>174</v>
      </c>
      <c r="K1099" s="28" t="s">
        <v>324</v>
      </c>
      <c r="L1099" s="31">
        <v>43862</v>
      </c>
      <c r="M1099" s="28">
        <v>2</v>
      </c>
      <c r="N1099" s="32" t="s">
        <v>176</v>
      </c>
      <c r="O1099" s="28" t="s">
        <v>794</v>
      </c>
      <c r="P1099" s="28" t="s">
        <v>3002</v>
      </c>
      <c r="Q1099" s="28" t="s">
        <v>2993</v>
      </c>
      <c r="R1099" s="28" t="s">
        <v>3003</v>
      </c>
    </row>
    <row r="1100" spans="1:18" hidden="1">
      <c r="A1100" s="28">
        <v>5</v>
      </c>
      <c r="B1100" s="29" t="s">
        <v>349</v>
      </c>
      <c r="C1100" s="29" t="s">
        <v>350</v>
      </c>
      <c r="D1100" s="29" t="s">
        <v>714</v>
      </c>
      <c r="E1100" s="29" t="s">
        <v>172</v>
      </c>
      <c r="F1100" s="28" t="s">
        <v>2951</v>
      </c>
      <c r="G1100" s="28" t="s">
        <v>2951</v>
      </c>
      <c r="H1100" s="28" t="s">
        <v>174</v>
      </c>
      <c r="I1100" s="28" t="s">
        <v>174</v>
      </c>
      <c r="J1100" s="30" t="s">
        <v>174</v>
      </c>
      <c r="K1100" s="28" t="s">
        <v>485</v>
      </c>
      <c r="L1100" s="31">
        <v>42401</v>
      </c>
      <c r="M1100" s="28">
        <v>2</v>
      </c>
      <c r="N1100" s="32" t="s">
        <v>176</v>
      </c>
      <c r="O1100" s="28" t="s">
        <v>185</v>
      </c>
      <c r="P1100" s="28" t="s">
        <v>3004</v>
      </c>
      <c r="Q1100" s="28" t="s">
        <v>3005</v>
      </c>
      <c r="R1100" s="28" t="s">
        <v>3006</v>
      </c>
    </row>
    <row r="1101" spans="1:18" hidden="1">
      <c r="A1101" s="28">
        <v>5</v>
      </c>
      <c r="B1101" s="29" t="s">
        <v>349</v>
      </c>
      <c r="C1101" s="29" t="s">
        <v>350</v>
      </c>
      <c r="D1101" s="29" t="s">
        <v>725</v>
      </c>
      <c r="E1101" s="29" t="s">
        <v>172</v>
      </c>
      <c r="F1101" s="28" t="s">
        <v>2951</v>
      </c>
      <c r="G1101" s="28" t="s">
        <v>2951</v>
      </c>
      <c r="H1101" s="28" t="s">
        <v>174</v>
      </c>
      <c r="I1101" s="28" t="s">
        <v>174</v>
      </c>
      <c r="J1101" s="30" t="s">
        <v>174</v>
      </c>
      <c r="K1101" s="28" t="s">
        <v>263</v>
      </c>
      <c r="L1101" s="31">
        <v>42430</v>
      </c>
      <c r="M1101" s="28">
        <v>3</v>
      </c>
      <c r="N1101" s="32" t="s">
        <v>191</v>
      </c>
      <c r="O1101" s="28" t="s">
        <v>204</v>
      </c>
      <c r="P1101" s="28" t="s">
        <v>3007</v>
      </c>
      <c r="Q1101" s="28" t="s">
        <v>3008</v>
      </c>
      <c r="R1101" s="28" t="s">
        <v>3009</v>
      </c>
    </row>
    <row r="1102" spans="1:18" hidden="1">
      <c r="A1102" s="28">
        <v>5</v>
      </c>
      <c r="B1102" s="29" t="s">
        <v>349</v>
      </c>
      <c r="C1102" s="29" t="s">
        <v>350</v>
      </c>
      <c r="D1102" s="29" t="s">
        <v>725</v>
      </c>
      <c r="E1102" s="29" t="s">
        <v>172</v>
      </c>
      <c r="F1102" s="28" t="s">
        <v>2951</v>
      </c>
      <c r="G1102" s="28" t="s">
        <v>2951</v>
      </c>
      <c r="H1102" s="28" t="s">
        <v>174</v>
      </c>
      <c r="I1102" s="28" t="s">
        <v>174</v>
      </c>
      <c r="J1102" s="30" t="s">
        <v>174</v>
      </c>
      <c r="K1102" s="28" t="s">
        <v>475</v>
      </c>
      <c r="L1102" s="31">
        <v>43191</v>
      </c>
      <c r="M1102" s="28">
        <v>4</v>
      </c>
      <c r="N1102" s="32" t="s">
        <v>191</v>
      </c>
      <c r="O1102" s="28" t="s">
        <v>2537</v>
      </c>
      <c r="P1102" s="28" t="s">
        <v>3010</v>
      </c>
      <c r="Q1102" s="28" t="s">
        <v>3011</v>
      </c>
      <c r="R1102" s="28" t="s">
        <v>3012</v>
      </c>
    </row>
    <row r="1103" spans="1:18" hidden="1">
      <c r="A1103" s="28">
        <v>5</v>
      </c>
      <c r="B1103" s="29" t="s">
        <v>349</v>
      </c>
      <c r="C1103" s="29" t="s">
        <v>350</v>
      </c>
      <c r="D1103" s="29" t="s">
        <v>725</v>
      </c>
      <c r="E1103" s="29" t="s">
        <v>172</v>
      </c>
      <c r="F1103" s="28" t="s">
        <v>2951</v>
      </c>
      <c r="G1103" s="28" t="s">
        <v>2951</v>
      </c>
      <c r="H1103" s="28" t="s">
        <v>174</v>
      </c>
      <c r="I1103" s="28" t="s">
        <v>174</v>
      </c>
      <c r="J1103" s="30" t="s">
        <v>174</v>
      </c>
      <c r="K1103" s="28" t="s">
        <v>415</v>
      </c>
      <c r="L1103" s="31">
        <v>43952</v>
      </c>
      <c r="M1103" s="28">
        <v>5</v>
      </c>
      <c r="N1103" s="32" t="s">
        <v>191</v>
      </c>
      <c r="O1103" s="28" t="s">
        <v>204</v>
      </c>
      <c r="P1103" s="28" t="s">
        <v>3013</v>
      </c>
      <c r="Q1103" s="28" t="s">
        <v>3014</v>
      </c>
      <c r="R1103" s="28" t="s">
        <v>3015</v>
      </c>
    </row>
    <row r="1104" spans="1:18" hidden="1">
      <c r="A1104" s="28">
        <v>5</v>
      </c>
      <c r="B1104" s="29" t="s">
        <v>349</v>
      </c>
      <c r="C1104" s="29" t="s">
        <v>350</v>
      </c>
      <c r="D1104" s="29" t="s">
        <v>725</v>
      </c>
      <c r="E1104" s="29" t="s">
        <v>172</v>
      </c>
      <c r="F1104" s="28" t="s">
        <v>2951</v>
      </c>
      <c r="G1104" s="28" t="s">
        <v>2951</v>
      </c>
      <c r="H1104" s="28" t="s">
        <v>174</v>
      </c>
      <c r="I1104" s="28" t="s">
        <v>174</v>
      </c>
      <c r="J1104" s="30" t="s">
        <v>174</v>
      </c>
      <c r="K1104" s="28" t="s">
        <v>670</v>
      </c>
      <c r="L1104" s="31">
        <v>44501</v>
      </c>
      <c r="M1104" s="28">
        <v>11</v>
      </c>
      <c r="N1104" s="32" t="s">
        <v>191</v>
      </c>
      <c r="O1104" s="28" t="s">
        <v>204</v>
      </c>
      <c r="P1104" s="28" t="s">
        <v>3016</v>
      </c>
      <c r="Q1104" s="28" t="s">
        <v>3017</v>
      </c>
      <c r="R1104" s="28" t="s">
        <v>3009</v>
      </c>
    </row>
    <row r="1105" spans="1:18" hidden="1">
      <c r="A1105" s="28">
        <v>5</v>
      </c>
      <c r="B1105" s="29" t="s">
        <v>349</v>
      </c>
      <c r="C1105" s="29" t="s">
        <v>350</v>
      </c>
      <c r="D1105" s="29" t="s">
        <v>351</v>
      </c>
      <c r="E1105" s="29" t="s">
        <v>172</v>
      </c>
      <c r="F1105" s="28" t="s">
        <v>2951</v>
      </c>
      <c r="G1105" s="28" t="s">
        <v>2951</v>
      </c>
      <c r="H1105" s="28" t="s">
        <v>174</v>
      </c>
      <c r="I1105" s="28" t="s">
        <v>174</v>
      </c>
      <c r="J1105" s="30" t="s">
        <v>174</v>
      </c>
      <c r="K1105" s="28" t="s">
        <v>401</v>
      </c>
      <c r="L1105" s="31">
        <v>42705</v>
      </c>
      <c r="M1105" s="28">
        <v>12</v>
      </c>
      <c r="N1105" s="32" t="s">
        <v>176</v>
      </c>
      <c r="O1105" s="28" t="s">
        <v>204</v>
      </c>
      <c r="P1105" s="28" t="s">
        <v>3018</v>
      </c>
      <c r="Q1105" s="28" t="s">
        <v>3019</v>
      </c>
      <c r="R1105" s="28" t="s">
        <v>3020</v>
      </c>
    </row>
    <row r="1106" spans="1:18" hidden="1">
      <c r="A1106" s="28">
        <v>5</v>
      </c>
      <c r="B1106" s="29" t="s">
        <v>349</v>
      </c>
      <c r="C1106" s="29" t="s">
        <v>350</v>
      </c>
      <c r="D1106" s="29" t="s">
        <v>351</v>
      </c>
      <c r="E1106" s="29" t="s">
        <v>172</v>
      </c>
      <c r="F1106" s="28" t="s">
        <v>2951</v>
      </c>
      <c r="G1106" s="28" t="s">
        <v>2951</v>
      </c>
      <c r="H1106" s="28" t="s">
        <v>174</v>
      </c>
      <c r="I1106" s="28" t="s">
        <v>174</v>
      </c>
      <c r="J1106" s="30" t="s">
        <v>174</v>
      </c>
      <c r="K1106" s="28" t="s">
        <v>646</v>
      </c>
      <c r="L1106" s="31">
        <v>44075</v>
      </c>
      <c r="M1106" s="28">
        <v>9</v>
      </c>
      <c r="N1106" s="32" t="s">
        <v>191</v>
      </c>
      <c r="O1106" s="28" t="s">
        <v>204</v>
      </c>
      <c r="P1106" s="28" t="s">
        <v>3021</v>
      </c>
      <c r="Q1106" s="28" t="s">
        <v>2554</v>
      </c>
      <c r="R1106" s="28" t="s">
        <v>2555</v>
      </c>
    </row>
    <row r="1107" spans="1:18" hidden="1">
      <c r="A1107" s="28">
        <v>5</v>
      </c>
      <c r="B1107" s="29" t="s">
        <v>349</v>
      </c>
      <c r="C1107" s="29" t="s">
        <v>350</v>
      </c>
      <c r="D1107" s="29" t="s">
        <v>351</v>
      </c>
      <c r="E1107" s="29" t="s">
        <v>172</v>
      </c>
      <c r="F1107" s="28" t="s">
        <v>2951</v>
      </c>
      <c r="G1107" s="28" t="s">
        <v>2951</v>
      </c>
      <c r="H1107" s="28" t="s">
        <v>174</v>
      </c>
      <c r="I1107" s="28" t="s">
        <v>174</v>
      </c>
      <c r="J1107" s="30" t="s">
        <v>174</v>
      </c>
      <c r="K1107" s="28" t="s">
        <v>3022</v>
      </c>
      <c r="L1107" s="31">
        <v>44105</v>
      </c>
      <c r="M1107" s="28">
        <v>10</v>
      </c>
      <c r="N1107" s="32" t="s">
        <v>191</v>
      </c>
      <c r="O1107" s="28" t="s">
        <v>204</v>
      </c>
      <c r="P1107" s="28" t="s">
        <v>3023</v>
      </c>
      <c r="Q1107" s="28" t="s">
        <v>2554</v>
      </c>
      <c r="R1107" s="28" t="s">
        <v>2555</v>
      </c>
    </row>
    <row r="1108" spans="1:18" hidden="1">
      <c r="A1108" s="28">
        <v>5</v>
      </c>
      <c r="B1108" s="29" t="s">
        <v>349</v>
      </c>
      <c r="C1108" s="29" t="s">
        <v>355</v>
      </c>
      <c r="D1108" s="29" t="s">
        <v>356</v>
      </c>
      <c r="E1108" s="29" t="s">
        <v>172</v>
      </c>
      <c r="F1108" s="28" t="s">
        <v>2951</v>
      </c>
      <c r="G1108" s="28" t="s">
        <v>2951</v>
      </c>
      <c r="H1108" s="28" t="s">
        <v>174</v>
      </c>
      <c r="I1108" s="28" t="s">
        <v>174</v>
      </c>
      <c r="J1108" s="30" t="s">
        <v>174</v>
      </c>
      <c r="K1108" s="28" t="s">
        <v>485</v>
      </c>
      <c r="L1108" s="31">
        <v>42401</v>
      </c>
      <c r="M1108" s="28">
        <v>2</v>
      </c>
      <c r="N1108" s="32" t="s">
        <v>176</v>
      </c>
      <c r="O1108" s="28" t="s">
        <v>1060</v>
      </c>
      <c r="P1108" s="28" t="s">
        <v>3024</v>
      </c>
      <c r="Q1108" s="28" t="s">
        <v>3025</v>
      </c>
      <c r="R1108" s="28" t="s">
        <v>3026</v>
      </c>
    </row>
    <row r="1109" spans="1:18" hidden="1">
      <c r="A1109" s="28">
        <v>5</v>
      </c>
      <c r="B1109" s="29" t="s">
        <v>349</v>
      </c>
      <c r="C1109" s="29" t="s">
        <v>355</v>
      </c>
      <c r="D1109" s="29" t="s">
        <v>356</v>
      </c>
      <c r="E1109" s="29" t="s">
        <v>172</v>
      </c>
      <c r="F1109" s="28" t="s">
        <v>2951</v>
      </c>
      <c r="G1109" s="28" t="s">
        <v>2951</v>
      </c>
      <c r="H1109" s="28" t="s">
        <v>174</v>
      </c>
      <c r="I1109" s="28" t="s">
        <v>174</v>
      </c>
      <c r="J1109" s="30" t="s">
        <v>174</v>
      </c>
      <c r="K1109" s="28" t="s">
        <v>243</v>
      </c>
      <c r="L1109" s="31">
        <v>42461</v>
      </c>
      <c r="M1109" s="28">
        <v>4</v>
      </c>
      <c r="N1109" s="32" t="s">
        <v>191</v>
      </c>
      <c r="O1109" s="28" t="s">
        <v>794</v>
      </c>
      <c r="P1109" s="28" t="s">
        <v>3027</v>
      </c>
      <c r="Q1109" s="28" t="s">
        <v>3028</v>
      </c>
      <c r="R1109" s="28" t="s">
        <v>3029</v>
      </c>
    </row>
    <row r="1110" spans="1:18" hidden="1">
      <c r="A1110" s="28">
        <v>5</v>
      </c>
      <c r="B1110" s="29" t="s">
        <v>349</v>
      </c>
      <c r="C1110" s="29" t="s">
        <v>355</v>
      </c>
      <c r="D1110" s="29" t="s">
        <v>356</v>
      </c>
      <c r="E1110" s="29" t="s">
        <v>172</v>
      </c>
      <c r="F1110" s="28" t="s">
        <v>2951</v>
      </c>
      <c r="G1110" s="28" t="s">
        <v>2951</v>
      </c>
      <c r="H1110" s="28" t="s">
        <v>174</v>
      </c>
      <c r="I1110" s="28" t="s">
        <v>174</v>
      </c>
      <c r="J1110" s="30" t="s">
        <v>174</v>
      </c>
      <c r="K1110" s="28" t="s">
        <v>257</v>
      </c>
      <c r="L1110" s="31">
        <v>42552</v>
      </c>
      <c r="M1110" s="28">
        <v>7</v>
      </c>
      <c r="N1110" s="32" t="s">
        <v>184</v>
      </c>
      <c r="O1110" s="28" t="s">
        <v>244</v>
      </c>
      <c r="P1110" s="28" t="s">
        <v>3030</v>
      </c>
      <c r="Q1110" s="28" t="s">
        <v>2916</v>
      </c>
      <c r="R1110" s="28" t="s">
        <v>2917</v>
      </c>
    </row>
    <row r="1111" spans="1:18" hidden="1">
      <c r="A1111" s="28">
        <v>5</v>
      </c>
      <c r="B1111" s="29" t="s">
        <v>349</v>
      </c>
      <c r="C1111" s="29" t="s">
        <v>355</v>
      </c>
      <c r="D1111" s="29" t="s">
        <v>356</v>
      </c>
      <c r="E1111" s="29" t="s">
        <v>172</v>
      </c>
      <c r="F1111" s="28" t="s">
        <v>2951</v>
      </c>
      <c r="G1111" s="28" t="s">
        <v>2951</v>
      </c>
      <c r="H1111" s="28" t="s">
        <v>174</v>
      </c>
      <c r="I1111" s="28" t="s">
        <v>174</v>
      </c>
      <c r="J1111" s="30" t="s">
        <v>174</v>
      </c>
      <c r="K1111" s="28" t="s">
        <v>460</v>
      </c>
      <c r="L1111" s="31">
        <v>42675</v>
      </c>
      <c r="M1111" s="28">
        <v>11</v>
      </c>
      <c r="N1111" s="32" t="s">
        <v>191</v>
      </c>
      <c r="O1111" s="28" t="s">
        <v>185</v>
      </c>
      <c r="P1111" s="28" t="s">
        <v>3031</v>
      </c>
      <c r="Q1111" s="28" t="s">
        <v>3032</v>
      </c>
      <c r="R1111" s="28" t="s">
        <v>3026</v>
      </c>
    </row>
    <row r="1112" spans="1:18" hidden="1">
      <c r="A1112" s="28">
        <v>5</v>
      </c>
      <c r="B1112" s="29" t="s">
        <v>349</v>
      </c>
      <c r="C1112" s="29" t="s">
        <v>355</v>
      </c>
      <c r="D1112" s="29" t="s">
        <v>356</v>
      </c>
      <c r="E1112" s="29" t="s">
        <v>172</v>
      </c>
      <c r="F1112" s="28" t="s">
        <v>2951</v>
      </c>
      <c r="G1112" s="28" t="s">
        <v>2951</v>
      </c>
      <c r="H1112" s="28" t="s">
        <v>174</v>
      </c>
      <c r="I1112" s="28" t="s">
        <v>174</v>
      </c>
      <c r="J1112" s="30" t="s">
        <v>174</v>
      </c>
      <c r="K1112" s="28" t="s">
        <v>460</v>
      </c>
      <c r="L1112" s="31">
        <v>42675</v>
      </c>
      <c r="M1112" s="28">
        <v>11</v>
      </c>
      <c r="N1112" s="32" t="s">
        <v>191</v>
      </c>
      <c r="O1112" s="28" t="s">
        <v>185</v>
      </c>
      <c r="P1112" s="28" t="s">
        <v>3033</v>
      </c>
      <c r="Q1112" s="28" t="s">
        <v>3034</v>
      </c>
      <c r="R1112" s="28" t="s">
        <v>3035</v>
      </c>
    </row>
    <row r="1113" spans="1:18" hidden="1">
      <c r="A1113" s="28">
        <v>5</v>
      </c>
      <c r="B1113" s="29" t="s">
        <v>349</v>
      </c>
      <c r="C1113" s="29" t="s">
        <v>355</v>
      </c>
      <c r="D1113" s="29" t="s">
        <v>356</v>
      </c>
      <c r="E1113" s="29" t="s">
        <v>172</v>
      </c>
      <c r="F1113" s="28" t="s">
        <v>2951</v>
      </c>
      <c r="G1113" s="28" t="s">
        <v>2951</v>
      </c>
      <c r="H1113" s="28" t="s">
        <v>174</v>
      </c>
      <c r="I1113" s="28" t="s">
        <v>174</v>
      </c>
      <c r="J1113" s="30" t="s">
        <v>174</v>
      </c>
      <c r="K1113" s="28" t="s">
        <v>278</v>
      </c>
      <c r="L1113" s="31">
        <v>43525</v>
      </c>
      <c r="M1113" s="28">
        <v>3</v>
      </c>
      <c r="N1113" s="32" t="s">
        <v>191</v>
      </c>
      <c r="O1113" s="28" t="s">
        <v>204</v>
      </c>
      <c r="P1113" s="28" t="s">
        <v>3036</v>
      </c>
      <c r="Q1113" s="28" t="s">
        <v>3037</v>
      </c>
      <c r="R1113" s="28" t="s">
        <v>3038</v>
      </c>
    </row>
    <row r="1114" spans="1:18" hidden="1">
      <c r="A1114" s="28">
        <v>5</v>
      </c>
      <c r="B1114" s="29" t="s">
        <v>349</v>
      </c>
      <c r="C1114" s="29" t="s">
        <v>355</v>
      </c>
      <c r="D1114" s="29" t="s">
        <v>356</v>
      </c>
      <c r="E1114" s="29" t="s">
        <v>172</v>
      </c>
      <c r="F1114" s="28" t="s">
        <v>2951</v>
      </c>
      <c r="G1114" s="28" t="s">
        <v>2951</v>
      </c>
      <c r="H1114" s="28" t="s">
        <v>174</v>
      </c>
      <c r="I1114" s="28" t="s">
        <v>174</v>
      </c>
      <c r="J1114" s="30" t="s">
        <v>174</v>
      </c>
      <c r="K1114" s="28" t="s">
        <v>278</v>
      </c>
      <c r="L1114" s="31">
        <v>43525</v>
      </c>
      <c r="M1114" s="28">
        <v>3</v>
      </c>
      <c r="N1114" s="32" t="s">
        <v>191</v>
      </c>
      <c r="O1114" s="28" t="s">
        <v>185</v>
      </c>
      <c r="P1114" s="28" t="s">
        <v>3039</v>
      </c>
      <c r="Q1114" s="28" t="s">
        <v>3040</v>
      </c>
      <c r="R1114" s="28" t="s">
        <v>3026</v>
      </c>
    </row>
    <row r="1115" spans="1:18" hidden="1">
      <c r="A1115" s="28">
        <v>5</v>
      </c>
      <c r="B1115" s="29" t="s">
        <v>349</v>
      </c>
      <c r="C1115" s="29" t="s">
        <v>355</v>
      </c>
      <c r="D1115" s="29" t="s">
        <v>356</v>
      </c>
      <c r="E1115" s="29" t="s">
        <v>172</v>
      </c>
      <c r="F1115" s="28" t="s">
        <v>2951</v>
      </c>
      <c r="G1115" s="28" t="s">
        <v>2951</v>
      </c>
      <c r="H1115" s="28" t="s">
        <v>174</v>
      </c>
      <c r="I1115" s="28" t="s">
        <v>174</v>
      </c>
      <c r="J1115" s="30" t="s">
        <v>174</v>
      </c>
      <c r="K1115" s="28" t="s">
        <v>411</v>
      </c>
      <c r="L1115" s="31">
        <v>43556</v>
      </c>
      <c r="M1115" s="28">
        <v>4</v>
      </c>
      <c r="N1115" s="32" t="s">
        <v>191</v>
      </c>
      <c r="O1115" s="28" t="s">
        <v>204</v>
      </c>
      <c r="P1115" s="28" t="s">
        <v>3041</v>
      </c>
      <c r="Q1115" s="28" t="s">
        <v>3042</v>
      </c>
      <c r="R1115" s="28" t="s">
        <v>3043</v>
      </c>
    </row>
    <row r="1116" spans="1:18" hidden="1">
      <c r="A1116" s="28">
        <v>5</v>
      </c>
      <c r="B1116" s="29" t="s">
        <v>349</v>
      </c>
      <c r="C1116" s="29" t="s">
        <v>355</v>
      </c>
      <c r="D1116" s="29" t="s">
        <v>356</v>
      </c>
      <c r="E1116" s="29" t="s">
        <v>172</v>
      </c>
      <c r="F1116" s="28" t="s">
        <v>2951</v>
      </c>
      <c r="G1116" s="28" t="s">
        <v>2951</v>
      </c>
      <c r="H1116" s="28" t="s">
        <v>174</v>
      </c>
      <c r="I1116" s="28" t="s">
        <v>174</v>
      </c>
      <c r="J1116" s="30" t="s">
        <v>174</v>
      </c>
      <c r="K1116" s="28" t="s">
        <v>424</v>
      </c>
      <c r="L1116" s="31">
        <v>43678</v>
      </c>
      <c r="M1116" s="28">
        <v>8</v>
      </c>
      <c r="N1116" s="32" t="s">
        <v>184</v>
      </c>
      <c r="O1116" s="28" t="s">
        <v>1060</v>
      </c>
      <c r="P1116" s="28" t="s">
        <v>3044</v>
      </c>
      <c r="Q1116" s="28" t="s">
        <v>3045</v>
      </c>
      <c r="R1116" s="28" t="s">
        <v>3046</v>
      </c>
    </row>
    <row r="1117" spans="1:18" hidden="1">
      <c r="A1117" s="28">
        <v>5</v>
      </c>
      <c r="B1117" s="29" t="s">
        <v>349</v>
      </c>
      <c r="C1117" s="29" t="s">
        <v>355</v>
      </c>
      <c r="D1117" s="29" t="s">
        <v>360</v>
      </c>
      <c r="E1117" s="29" t="s">
        <v>172</v>
      </c>
      <c r="F1117" s="28" t="s">
        <v>2951</v>
      </c>
      <c r="G1117" s="28" t="s">
        <v>2951</v>
      </c>
      <c r="H1117" s="28" t="s">
        <v>174</v>
      </c>
      <c r="I1117" s="28" t="s">
        <v>174</v>
      </c>
      <c r="J1117" s="30" t="s">
        <v>174</v>
      </c>
      <c r="K1117" s="28" t="s">
        <v>232</v>
      </c>
      <c r="L1117" s="31">
        <v>42522</v>
      </c>
      <c r="M1117" s="28">
        <v>6</v>
      </c>
      <c r="N1117" s="32" t="s">
        <v>184</v>
      </c>
      <c r="O1117" s="28" t="s">
        <v>794</v>
      </c>
      <c r="P1117" s="28" t="s">
        <v>3047</v>
      </c>
      <c r="Q1117" s="28" t="s">
        <v>3048</v>
      </c>
      <c r="R1117" s="28" t="s">
        <v>3049</v>
      </c>
    </row>
    <row r="1118" spans="1:18" hidden="1">
      <c r="A1118" s="28">
        <v>5</v>
      </c>
      <c r="B1118" s="29" t="s">
        <v>349</v>
      </c>
      <c r="C1118" s="29" t="s">
        <v>355</v>
      </c>
      <c r="D1118" s="29" t="s">
        <v>360</v>
      </c>
      <c r="E1118" s="29" t="s">
        <v>172</v>
      </c>
      <c r="F1118" s="28" t="s">
        <v>2951</v>
      </c>
      <c r="G1118" s="28" t="s">
        <v>2951</v>
      </c>
      <c r="H1118" s="28" t="s">
        <v>174</v>
      </c>
      <c r="I1118" s="28" t="s">
        <v>174</v>
      </c>
      <c r="J1118" s="30" t="s">
        <v>174</v>
      </c>
      <c r="K1118" s="28" t="s">
        <v>769</v>
      </c>
      <c r="L1118" s="31">
        <v>42826</v>
      </c>
      <c r="M1118" s="28">
        <v>4</v>
      </c>
      <c r="N1118" s="32" t="s">
        <v>191</v>
      </c>
      <c r="O1118" s="28" t="s">
        <v>204</v>
      </c>
      <c r="P1118" s="28" t="s">
        <v>3050</v>
      </c>
      <c r="Q1118" s="28" t="s">
        <v>3051</v>
      </c>
      <c r="R1118" s="28" t="s">
        <v>3052</v>
      </c>
    </row>
    <row r="1119" spans="1:18" hidden="1">
      <c r="A1119" s="28">
        <v>5</v>
      </c>
      <c r="B1119" s="29" t="s">
        <v>349</v>
      </c>
      <c r="C1119" s="29" t="s">
        <v>355</v>
      </c>
      <c r="D1119" s="29" t="s">
        <v>360</v>
      </c>
      <c r="E1119" s="29" t="s">
        <v>172</v>
      </c>
      <c r="F1119" s="28" t="s">
        <v>2951</v>
      </c>
      <c r="G1119" s="28" t="s">
        <v>2951</v>
      </c>
      <c r="H1119" s="28" t="s">
        <v>174</v>
      </c>
      <c r="I1119" s="28" t="s">
        <v>174</v>
      </c>
      <c r="J1119" s="30" t="s">
        <v>174</v>
      </c>
      <c r="K1119" s="28" t="s">
        <v>435</v>
      </c>
      <c r="L1119" s="31">
        <v>43040</v>
      </c>
      <c r="M1119" s="28">
        <v>11</v>
      </c>
      <c r="N1119" s="32" t="s">
        <v>191</v>
      </c>
      <c r="O1119" s="28" t="s">
        <v>794</v>
      </c>
      <c r="P1119" s="28" t="s">
        <v>3053</v>
      </c>
      <c r="Q1119" s="28" t="s">
        <v>3054</v>
      </c>
      <c r="R1119" s="28" t="s">
        <v>3029</v>
      </c>
    </row>
    <row r="1120" spans="1:18" hidden="1">
      <c r="A1120" s="28">
        <v>5</v>
      </c>
      <c r="B1120" s="29" t="s">
        <v>349</v>
      </c>
      <c r="C1120" s="29" t="s">
        <v>355</v>
      </c>
      <c r="D1120" s="29" t="s">
        <v>360</v>
      </c>
      <c r="E1120" s="29" t="s">
        <v>172</v>
      </c>
      <c r="F1120" s="28" t="s">
        <v>2951</v>
      </c>
      <c r="G1120" s="28" t="s">
        <v>2951</v>
      </c>
      <c r="H1120" s="28" t="s">
        <v>174</v>
      </c>
      <c r="I1120" s="28" t="s">
        <v>174</v>
      </c>
      <c r="J1120" s="30" t="s">
        <v>174</v>
      </c>
      <c r="K1120" s="28" t="s">
        <v>473</v>
      </c>
      <c r="L1120" s="31">
        <v>43160</v>
      </c>
      <c r="M1120" s="28">
        <v>3</v>
      </c>
      <c r="N1120" s="32" t="s">
        <v>191</v>
      </c>
      <c r="O1120" s="28" t="s">
        <v>204</v>
      </c>
      <c r="P1120" s="28" t="s">
        <v>3055</v>
      </c>
      <c r="Q1120" s="28" t="s">
        <v>3051</v>
      </c>
      <c r="R1120" s="28" t="s">
        <v>3052</v>
      </c>
    </row>
    <row r="1121" spans="1:18" hidden="1">
      <c r="A1121" s="28">
        <v>5</v>
      </c>
      <c r="B1121" s="29" t="s">
        <v>349</v>
      </c>
      <c r="C1121" s="29" t="s">
        <v>355</v>
      </c>
      <c r="D1121" s="29" t="s">
        <v>360</v>
      </c>
      <c r="E1121" s="29" t="s">
        <v>172</v>
      </c>
      <c r="F1121" s="28" t="s">
        <v>2951</v>
      </c>
      <c r="G1121" s="28" t="s">
        <v>2951</v>
      </c>
      <c r="H1121" s="28" t="s">
        <v>174</v>
      </c>
      <c r="I1121" s="28" t="s">
        <v>174</v>
      </c>
      <c r="J1121" s="30" t="s">
        <v>174</v>
      </c>
      <c r="K1121" s="28" t="s">
        <v>3056</v>
      </c>
      <c r="L1121" s="31">
        <v>43160</v>
      </c>
      <c r="M1121" s="28">
        <v>3</v>
      </c>
      <c r="N1121" s="32" t="s">
        <v>191</v>
      </c>
      <c r="O1121" s="28" t="s">
        <v>794</v>
      </c>
      <c r="P1121" s="28" t="s">
        <v>3057</v>
      </c>
      <c r="Q1121" s="28" t="s">
        <v>3058</v>
      </c>
      <c r="R1121" s="28" t="s">
        <v>3059</v>
      </c>
    </row>
    <row r="1122" spans="1:18" hidden="1">
      <c r="A1122" s="28">
        <v>5</v>
      </c>
      <c r="B1122" s="29" t="s">
        <v>349</v>
      </c>
      <c r="C1122" s="29" t="s">
        <v>355</v>
      </c>
      <c r="D1122" s="29" t="s">
        <v>360</v>
      </c>
      <c r="E1122" s="29" t="s">
        <v>172</v>
      </c>
      <c r="F1122" s="28" t="s">
        <v>2951</v>
      </c>
      <c r="G1122" s="28" t="s">
        <v>2951</v>
      </c>
      <c r="H1122" s="28" t="s">
        <v>174</v>
      </c>
      <c r="I1122" s="28" t="s">
        <v>174</v>
      </c>
      <c r="J1122" s="30" t="s">
        <v>174</v>
      </c>
      <c r="K1122" s="28" t="s">
        <v>559</v>
      </c>
      <c r="L1122" s="31">
        <v>43252</v>
      </c>
      <c r="M1122" s="28">
        <v>6</v>
      </c>
      <c r="N1122" s="32" t="s">
        <v>184</v>
      </c>
      <c r="O1122" s="28" t="s">
        <v>204</v>
      </c>
      <c r="P1122" s="28" t="s">
        <v>3060</v>
      </c>
      <c r="Q1122" s="28" t="s">
        <v>3061</v>
      </c>
      <c r="R1122" s="28" t="s">
        <v>3062</v>
      </c>
    </row>
    <row r="1123" spans="1:18" hidden="1">
      <c r="A1123" s="28">
        <v>5</v>
      </c>
      <c r="B1123" s="29" t="s">
        <v>349</v>
      </c>
      <c r="C1123" s="29" t="s">
        <v>355</v>
      </c>
      <c r="D1123" s="29" t="s">
        <v>360</v>
      </c>
      <c r="E1123" s="29" t="s">
        <v>172</v>
      </c>
      <c r="F1123" s="28" t="s">
        <v>2951</v>
      </c>
      <c r="G1123" s="28" t="s">
        <v>2951</v>
      </c>
      <c r="H1123" s="28" t="s">
        <v>174</v>
      </c>
      <c r="I1123" s="28" t="s">
        <v>174</v>
      </c>
      <c r="J1123" s="30" t="s">
        <v>174</v>
      </c>
      <c r="K1123" s="28" t="s">
        <v>559</v>
      </c>
      <c r="L1123" s="31">
        <v>43252</v>
      </c>
      <c r="M1123" s="28">
        <v>6</v>
      </c>
      <c r="N1123" s="32" t="s">
        <v>184</v>
      </c>
      <c r="O1123" s="28" t="s">
        <v>204</v>
      </c>
      <c r="P1123" s="28" t="s">
        <v>3063</v>
      </c>
      <c r="Q1123" s="28" t="s">
        <v>3064</v>
      </c>
      <c r="R1123" s="28" t="s">
        <v>3062</v>
      </c>
    </row>
    <row r="1124" spans="1:18" hidden="1">
      <c r="A1124" s="28">
        <v>5</v>
      </c>
      <c r="B1124" s="29" t="s">
        <v>349</v>
      </c>
      <c r="C1124" s="29" t="s">
        <v>355</v>
      </c>
      <c r="D1124" s="29" t="s">
        <v>360</v>
      </c>
      <c r="E1124" s="29" t="s">
        <v>172</v>
      </c>
      <c r="F1124" s="28" t="s">
        <v>2951</v>
      </c>
      <c r="G1124" s="28" t="s">
        <v>2951</v>
      </c>
      <c r="H1124" s="28" t="s">
        <v>174</v>
      </c>
      <c r="I1124" s="28" t="s">
        <v>174</v>
      </c>
      <c r="J1124" s="30" t="s">
        <v>174</v>
      </c>
      <c r="K1124" s="28" t="s">
        <v>302</v>
      </c>
      <c r="L1124" s="31">
        <v>43282</v>
      </c>
      <c r="M1124" s="28">
        <v>7</v>
      </c>
      <c r="N1124" s="32" t="s">
        <v>184</v>
      </c>
      <c r="O1124" s="28" t="s">
        <v>204</v>
      </c>
      <c r="P1124" s="28" t="s">
        <v>3065</v>
      </c>
      <c r="Q1124" s="28" t="s">
        <v>3066</v>
      </c>
      <c r="R1124" s="28" t="s">
        <v>3062</v>
      </c>
    </row>
    <row r="1125" spans="1:18" hidden="1">
      <c r="A1125" s="28">
        <v>5</v>
      </c>
      <c r="B1125" s="29" t="s">
        <v>349</v>
      </c>
      <c r="C1125" s="29" t="s">
        <v>355</v>
      </c>
      <c r="D1125" s="29" t="s">
        <v>360</v>
      </c>
      <c r="E1125" s="29" t="s">
        <v>172</v>
      </c>
      <c r="F1125" s="28" t="s">
        <v>2951</v>
      </c>
      <c r="G1125" s="28" t="s">
        <v>2951</v>
      </c>
      <c r="H1125" s="28" t="s">
        <v>174</v>
      </c>
      <c r="I1125" s="28" t="s">
        <v>174</v>
      </c>
      <c r="J1125" s="30" t="s">
        <v>174</v>
      </c>
      <c r="K1125" s="28" t="s">
        <v>212</v>
      </c>
      <c r="L1125" s="31">
        <v>43313</v>
      </c>
      <c r="M1125" s="28">
        <v>8</v>
      </c>
      <c r="N1125" s="32" t="s">
        <v>184</v>
      </c>
      <c r="O1125" s="28" t="s">
        <v>204</v>
      </c>
      <c r="P1125" s="28" t="s">
        <v>3067</v>
      </c>
      <c r="Q1125" s="28" t="s">
        <v>3068</v>
      </c>
      <c r="R1125" s="28" t="s">
        <v>3009</v>
      </c>
    </row>
    <row r="1126" spans="1:18" hidden="1">
      <c r="A1126" s="28">
        <v>5</v>
      </c>
      <c r="B1126" s="29" t="s">
        <v>349</v>
      </c>
      <c r="C1126" s="29" t="s">
        <v>355</v>
      </c>
      <c r="D1126" s="29" t="s">
        <v>360</v>
      </c>
      <c r="E1126" s="29" t="s">
        <v>172</v>
      </c>
      <c r="F1126" s="28" t="s">
        <v>2951</v>
      </c>
      <c r="G1126" s="28" t="s">
        <v>2951</v>
      </c>
      <c r="H1126" s="28" t="s">
        <v>174</v>
      </c>
      <c r="I1126" s="28" t="s">
        <v>174</v>
      </c>
      <c r="J1126" s="30" t="s">
        <v>174</v>
      </c>
      <c r="K1126" s="28" t="s">
        <v>678</v>
      </c>
      <c r="L1126" s="31">
        <v>43344</v>
      </c>
      <c r="M1126" s="28">
        <v>9</v>
      </c>
      <c r="N1126" s="32" t="s">
        <v>191</v>
      </c>
      <c r="O1126" s="28" t="s">
        <v>204</v>
      </c>
      <c r="P1126" s="28" t="s">
        <v>3069</v>
      </c>
      <c r="Q1126" s="28" t="s">
        <v>3070</v>
      </c>
      <c r="R1126" s="28" t="s">
        <v>3062</v>
      </c>
    </row>
    <row r="1127" spans="1:18" hidden="1">
      <c r="A1127" s="28">
        <v>5</v>
      </c>
      <c r="B1127" s="29" t="s">
        <v>349</v>
      </c>
      <c r="C1127" s="29" t="s">
        <v>355</v>
      </c>
      <c r="D1127" s="29" t="s">
        <v>360</v>
      </c>
      <c r="E1127" s="29" t="s">
        <v>172</v>
      </c>
      <c r="F1127" s="28" t="s">
        <v>2951</v>
      </c>
      <c r="G1127" s="28" t="s">
        <v>2951</v>
      </c>
      <c r="H1127" s="28" t="s">
        <v>174</v>
      </c>
      <c r="I1127" s="28" t="s">
        <v>174</v>
      </c>
      <c r="J1127" s="30" t="s">
        <v>174</v>
      </c>
      <c r="K1127" s="28" t="s">
        <v>2336</v>
      </c>
      <c r="L1127" s="31">
        <v>43405</v>
      </c>
      <c r="M1127" s="28">
        <v>11</v>
      </c>
      <c r="N1127" s="32" t="s">
        <v>191</v>
      </c>
      <c r="O1127" s="28" t="s">
        <v>204</v>
      </c>
      <c r="P1127" s="28" t="s">
        <v>3071</v>
      </c>
      <c r="Q1127" s="28" t="s">
        <v>3072</v>
      </c>
      <c r="R1127" s="28" t="s">
        <v>3062</v>
      </c>
    </row>
    <row r="1128" spans="1:18" hidden="1">
      <c r="A1128" s="28">
        <v>5</v>
      </c>
      <c r="B1128" s="29" t="s">
        <v>349</v>
      </c>
      <c r="C1128" s="29" t="s">
        <v>355</v>
      </c>
      <c r="D1128" s="29" t="s">
        <v>360</v>
      </c>
      <c r="E1128" s="29" t="s">
        <v>172</v>
      </c>
      <c r="F1128" s="28" t="s">
        <v>2951</v>
      </c>
      <c r="G1128" s="28" t="s">
        <v>2951</v>
      </c>
      <c r="H1128" s="28" t="s">
        <v>174</v>
      </c>
      <c r="I1128" s="28" t="s">
        <v>174</v>
      </c>
      <c r="J1128" s="30" t="s">
        <v>174</v>
      </c>
      <c r="K1128" s="28" t="s">
        <v>361</v>
      </c>
      <c r="L1128" s="31">
        <v>43435</v>
      </c>
      <c r="M1128" s="28">
        <v>12</v>
      </c>
      <c r="N1128" s="32" t="s">
        <v>176</v>
      </c>
      <c r="O1128" s="28" t="s">
        <v>794</v>
      </c>
      <c r="P1128" s="28" t="s">
        <v>3073</v>
      </c>
      <c r="Q1128" s="28" t="s">
        <v>3074</v>
      </c>
      <c r="R1128" s="28" t="s">
        <v>3029</v>
      </c>
    </row>
    <row r="1129" spans="1:18" hidden="1">
      <c r="A1129" s="28">
        <v>5</v>
      </c>
      <c r="B1129" s="29" t="s">
        <v>349</v>
      </c>
      <c r="C1129" s="29" t="s">
        <v>355</v>
      </c>
      <c r="D1129" s="29" t="s">
        <v>360</v>
      </c>
      <c r="E1129" s="29" t="s">
        <v>172</v>
      </c>
      <c r="F1129" s="28" t="s">
        <v>2951</v>
      </c>
      <c r="G1129" s="28" t="s">
        <v>2951</v>
      </c>
      <c r="H1129" s="28" t="s">
        <v>174</v>
      </c>
      <c r="I1129" s="28" t="s">
        <v>174</v>
      </c>
      <c r="J1129" s="30" t="s">
        <v>174</v>
      </c>
      <c r="K1129" s="28" t="s">
        <v>214</v>
      </c>
      <c r="L1129" s="31">
        <v>43466</v>
      </c>
      <c r="M1129" s="28">
        <v>1</v>
      </c>
      <c r="N1129" s="32" t="s">
        <v>176</v>
      </c>
      <c r="O1129" s="28" t="s">
        <v>177</v>
      </c>
      <c r="P1129" s="28" t="s">
        <v>3075</v>
      </c>
      <c r="Q1129" s="28" t="s">
        <v>3076</v>
      </c>
      <c r="R1129" s="28" t="s">
        <v>3026</v>
      </c>
    </row>
    <row r="1130" spans="1:18" hidden="1">
      <c r="A1130" s="28">
        <v>5</v>
      </c>
      <c r="B1130" s="29" t="s">
        <v>349</v>
      </c>
      <c r="C1130" s="29" t="s">
        <v>355</v>
      </c>
      <c r="D1130" s="29" t="s">
        <v>360</v>
      </c>
      <c r="E1130" s="29" t="s">
        <v>172</v>
      </c>
      <c r="F1130" s="28" t="s">
        <v>2951</v>
      </c>
      <c r="G1130" s="28" t="s">
        <v>2951</v>
      </c>
      <c r="H1130" s="28" t="s">
        <v>174</v>
      </c>
      <c r="I1130" s="28" t="s">
        <v>174</v>
      </c>
      <c r="J1130" s="30" t="s">
        <v>174</v>
      </c>
      <c r="K1130" s="28" t="s">
        <v>1136</v>
      </c>
      <c r="L1130" s="31">
        <v>43497</v>
      </c>
      <c r="M1130" s="28">
        <v>2</v>
      </c>
      <c r="N1130" s="32" t="s">
        <v>176</v>
      </c>
      <c r="O1130" s="28" t="s">
        <v>794</v>
      </c>
      <c r="P1130" s="28" t="s">
        <v>3077</v>
      </c>
      <c r="Q1130" s="28" t="s">
        <v>3078</v>
      </c>
      <c r="R1130" s="28" t="s">
        <v>3029</v>
      </c>
    </row>
    <row r="1131" spans="1:18" hidden="1">
      <c r="A1131" s="28">
        <v>5</v>
      </c>
      <c r="B1131" s="29" t="s">
        <v>349</v>
      </c>
      <c r="C1131" s="29" t="s">
        <v>355</v>
      </c>
      <c r="D1131" s="29" t="s">
        <v>360</v>
      </c>
      <c r="E1131" s="29" t="s">
        <v>172</v>
      </c>
      <c r="F1131" s="28" t="s">
        <v>2951</v>
      </c>
      <c r="G1131" s="28" t="s">
        <v>2951</v>
      </c>
      <c r="H1131" s="28" t="s">
        <v>174</v>
      </c>
      <c r="I1131" s="28" t="s">
        <v>174</v>
      </c>
      <c r="J1131" s="30" t="s">
        <v>174</v>
      </c>
      <c r="K1131" s="28" t="s">
        <v>1136</v>
      </c>
      <c r="L1131" s="31">
        <v>43497</v>
      </c>
      <c r="M1131" s="28">
        <v>2</v>
      </c>
      <c r="N1131" s="32" t="s">
        <v>176</v>
      </c>
      <c r="O1131" s="28" t="s">
        <v>794</v>
      </c>
      <c r="P1131" s="28" t="s">
        <v>3079</v>
      </c>
      <c r="Q1131" s="28" t="s">
        <v>3080</v>
      </c>
      <c r="R1131" s="28" t="s">
        <v>3081</v>
      </c>
    </row>
    <row r="1132" spans="1:18" hidden="1">
      <c r="A1132" s="28">
        <v>5</v>
      </c>
      <c r="B1132" s="29" t="s">
        <v>349</v>
      </c>
      <c r="C1132" s="29" t="s">
        <v>355</v>
      </c>
      <c r="D1132" s="29" t="s">
        <v>360</v>
      </c>
      <c r="E1132" s="29" t="s">
        <v>172</v>
      </c>
      <c r="F1132" s="28" t="s">
        <v>2951</v>
      </c>
      <c r="G1132" s="28" t="s">
        <v>2951</v>
      </c>
      <c r="H1132" s="28" t="s">
        <v>174</v>
      </c>
      <c r="I1132" s="28" t="s">
        <v>174</v>
      </c>
      <c r="J1132" s="30" t="s">
        <v>174</v>
      </c>
      <c r="K1132" s="28" t="s">
        <v>3082</v>
      </c>
      <c r="L1132" s="31">
        <v>43525</v>
      </c>
      <c r="M1132" s="28">
        <v>3</v>
      </c>
      <c r="N1132" s="32" t="s">
        <v>191</v>
      </c>
      <c r="O1132" s="28" t="s">
        <v>204</v>
      </c>
      <c r="P1132" s="28" t="s">
        <v>3083</v>
      </c>
      <c r="Q1132" s="28" t="s">
        <v>3061</v>
      </c>
      <c r="R1132" s="28" t="s">
        <v>3062</v>
      </c>
    </row>
    <row r="1133" spans="1:18" hidden="1">
      <c r="A1133" s="28">
        <v>5</v>
      </c>
      <c r="B1133" s="29" t="s">
        <v>349</v>
      </c>
      <c r="C1133" s="29" t="s">
        <v>355</v>
      </c>
      <c r="D1133" s="29" t="s">
        <v>360</v>
      </c>
      <c r="E1133" s="29" t="s">
        <v>172</v>
      </c>
      <c r="F1133" s="28" t="s">
        <v>2951</v>
      </c>
      <c r="G1133" s="28" t="s">
        <v>2951</v>
      </c>
      <c r="H1133" s="28" t="s">
        <v>174</v>
      </c>
      <c r="I1133" s="28" t="s">
        <v>174</v>
      </c>
      <c r="J1133" s="30" t="s">
        <v>174</v>
      </c>
      <c r="K1133" s="28" t="s">
        <v>411</v>
      </c>
      <c r="L1133" s="31">
        <v>43556</v>
      </c>
      <c r="M1133" s="28">
        <v>4</v>
      </c>
      <c r="N1133" s="32" t="s">
        <v>191</v>
      </c>
      <c r="O1133" s="28" t="s">
        <v>185</v>
      </c>
      <c r="P1133" s="28" t="s">
        <v>3084</v>
      </c>
      <c r="Q1133" s="28" t="s">
        <v>3085</v>
      </c>
      <c r="R1133" s="28" t="s">
        <v>3086</v>
      </c>
    </row>
    <row r="1134" spans="1:18" hidden="1">
      <c r="A1134" s="28">
        <v>5</v>
      </c>
      <c r="B1134" s="29" t="s">
        <v>349</v>
      </c>
      <c r="C1134" s="29" t="s">
        <v>355</v>
      </c>
      <c r="D1134" s="29" t="s">
        <v>360</v>
      </c>
      <c r="E1134" s="29" t="s">
        <v>172</v>
      </c>
      <c r="F1134" s="28" t="s">
        <v>2951</v>
      </c>
      <c r="G1134" s="28" t="s">
        <v>2951</v>
      </c>
      <c r="H1134" s="28" t="s">
        <v>174</v>
      </c>
      <c r="I1134" s="28" t="s">
        <v>174</v>
      </c>
      <c r="J1134" s="30" t="s">
        <v>174</v>
      </c>
      <c r="K1134" s="28" t="s">
        <v>442</v>
      </c>
      <c r="L1134" s="31">
        <v>43647</v>
      </c>
      <c r="M1134" s="28">
        <v>7</v>
      </c>
      <c r="N1134" s="32" t="s">
        <v>184</v>
      </c>
      <c r="O1134" s="28" t="s">
        <v>204</v>
      </c>
      <c r="P1134" s="28" t="s">
        <v>3087</v>
      </c>
      <c r="Q1134" s="28" t="s">
        <v>3088</v>
      </c>
      <c r="R1134" s="28" t="s">
        <v>3062</v>
      </c>
    </row>
    <row r="1135" spans="1:18" hidden="1">
      <c r="A1135" s="28">
        <v>5</v>
      </c>
      <c r="B1135" s="29" t="s">
        <v>349</v>
      </c>
      <c r="C1135" s="29" t="s">
        <v>355</v>
      </c>
      <c r="D1135" s="29" t="s">
        <v>360</v>
      </c>
      <c r="E1135" s="29" t="s">
        <v>172</v>
      </c>
      <c r="F1135" s="28" t="s">
        <v>2951</v>
      </c>
      <c r="G1135" s="28" t="s">
        <v>2951</v>
      </c>
      <c r="H1135" s="28" t="s">
        <v>174</v>
      </c>
      <c r="I1135" s="28" t="s">
        <v>174</v>
      </c>
      <c r="J1135" s="30" t="s">
        <v>174</v>
      </c>
      <c r="K1135" s="28" t="s">
        <v>442</v>
      </c>
      <c r="L1135" s="31">
        <v>43647</v>
      </c>
      <c r="M1135" s="28">
        <v>7</v>
      </c>
      <c r="N1135" s="32" t="s">
        <v>184</v>
      </c>
      <c r="O1135" s="28" t="s">
        <v>204</v>
      </c>
      <c r="P1135" s="28" t="s">
        <v>3089</v>
      </c>
      <c r="Q1135" s="28" t="s">
        <v>3090</v>
      </c>
      <c r="R1135" s="28" t="s">
        <v>3062</v>
      </c>
    </row>
    <row r="1136" spans="1:18" hidden="1">
      <c r="A1136" s="28">
        <v>5</v>
      </c>
      <c r="B1136" s="29" t="s">
        <v>349</v>
      </c>
      <c r="C1136" s="29" t="s">
        <v>355</v>
      </c>
      <c r="D1136" s="29" t="s">
        <v>360</v>
      </c>
      <c r="E1136" s="29" t="s">
        <v>172</v>
      </c>
      <c r="F1136" s="28" t="s">
        <v>2951</v>
      </c>
      <c r="G1136" s="28" t="s">
        <v>2951</v>
      </c>
      <c r="H1136" s="28" t="s">
        <v>174</v>
      </c>
      <c r="I1136" s="28" t="s">
        <v>174</v>
      </c>
      <c r="J1136" s="30" t="s">
        <v>174</v>
      </c>
      <c r="K1136" s="28" t="s">
        <v>752</v>
      </c>
      <c r="L1136" s="31">
        <v>43709</v>
      </c>
      <c r="M1136" s="28">
        <v>9</v>
      </c>
      <c r="N1136" s="32" t="s">
        <v>191</v>
      </c>
      <c r="O1136" s="28" t="s">
        <v>204</v>
      </c>
      <c r="P1136" s="28" t="s">
        <v>3091</v>
      </c>
      <c r="Q1136" s="28" t="s">
        <v>3092</v>
      </c>
      <c r="R1136" s="28" t="s">
        <v>3062</v>
      </c>
    </row>
    <row r="1137" spans="1:18" hidden="1">
      <c r="A1137" s="28">
        <v>5</v>
      </c>
      <c r="B1137" s="29" t="s">
        <v>349</v>
      </c>
      <c r="C1137" s="29" t="s">
        <v>355</v>
      </c>
      <c r="D1137" s="29" t="s">
        <v>360</v>
      </c>
      <c r="E1137" s="29" t="s">
        <v>172</v>
      </c>
      <c r="F1137" s="28" t="s">
        <v>2951</v>
      </c>
      <c r="G1137" s="28" t="s">
        <v>2951</v>
      </c>
      <c r="H1137" s="28" t="s">
        <v>174</v>
      </c>
      <c r="I1137" s="28" t="s">
        <v>174</v>
      </c>
      <c r="J1137" s="30" t="s">
        <v>174</v>
      </c>
      <c r="K1137" s="28" t="s">
        <v>397</v>
      </c>
      <c r="L1137" s="31">
        <v>43739</v>
      </c>
      <c r="M1137" s="28">
        <v>10</v>
      </c>
      <c r="N1137" s="32" t="s">
        <v>191</v>
      </c>
      <c r="O1137" s="28" t="s">
        <v>3093</v>
      </c>
      <c r="P1137" s="28" t="s">
        <v>3094</v>
      </c>
      <c r="Q1137" s="28" t="s">
        <v>3095</v>
      </c>
      <c r="R1137" s="28" t="s">
        <v>3096</v>
      </c>
    </row>
    <row r="1138" spans="1:18" hidden="1">
      <c r="A1138" s="28">
        <v>5</v>
      </c>
      <c r="B1138" s="29" t="s">
        <v>349</v>
      </c>
      <c r="C1138" s="29" t="s">
        <v>355</v>
      </c>
      <c r="D1138" s="29" t="s">
        <v>360</v>
      </c>
      <c r="E1138" s="29" t="s">
        <v>172</v>
      </c>
      <c r="F1138" s="28" t="s">
        <v>2951</v>
      </c>
      <c r="G1138" s="28" t="s">
        <v>2951</v>
      </c>
      <c r="H1138" s="28" t="s">
        <v>174</v>
      </c>
      <c r="I1138" s="28" t="s">
        <v>174</v>
      </c>
      <c r="J1138" s="30" t="s">
        <v>174</v>
      </c>
      <c r="K1138" s="28" t="s">
        <v>683</v>
      </c>
      <c r="L1138" s="31">
        <v>43831</v>
      </c>
      <c r="M1138" s="28">
        <v>1</v>
      </c>
      <c r="N1138" s="32" t="s">
        <v>176</v>
      </c>
      <c r="O1138" s="28" t="s">
        <v>794</v>
      </c>
      <c r="P1138" s="28" t="s">
        <v>3097</v>
      </c>
      <c r="Q1138" s="28" t="s">
        <v>3098</v>
      </c>
      <c r="R1138" s="28" t="s">
        <v>2567</v>
      </c>
    </row>
    <row r="1139" spans="1:18" hidden="1">
      <c r="A1139" s="28">
        <v>5</v>
      </c>
      <c r="B1139" s="29" t="s">
        <v>349</v>
      </c>
      <c r="C1139" s="29" t="s">
        <v>355</v>
      </c>
      <c r="D1139" s="29" t="s">
        <v>360</v>
      </c>
      <c r="E1139" s="29" t="s">
        <v>172</v>
      </c>
      <c r="F1139" s="28" t="s">
        <v>2951</v>
      </c>
      <c r="G1139" s="28" t="s">
        <v>2951</v>
      </c>
      <c r="H1139" s="28" t="s">
        <v>174</v>
      </c>
      <c r="I1139" s="28" t="s">
        <v>174</v>
      </c>
      <c r="J1139" s="30" t="s">
        <v>174</v>
      </c>
      <c r="K1139" s="28" t="s">
        <v>324</v>
      </c>
      <c r="L1139" s="31">
        <v>43862</v>
      </c>
      <c r="M1139" s="28">
        <v>2</v>
      </c>
      <c r="N1139" s="32" t="s">
        <v>176</v>
      </c>
      <c r="O1139" s="28" t="s">
        <v>953</v>
      </c>
      <c r="P1139" s="28" t="s">
        <v>3099</v>
      </c>
      <c r="Q1139" s="28" t="s">
        <v>3100</v>
      </c>
      <c r="R1139" s="28" t="s">
        <v>3101</v>
      </c>
    </row>
    <row r="1140" spans="1:18" hidden="1">
      <c r="A1140" s="28">
        <v>5</v>
      </c>
      <c r="B1140" s="29" t="s">
        <v>349</v>
      </c>
      <c r="C1140" s="29" t="s">
        <v>355</v>
      </c>
      <c r="D1140" s="29" t="s">
        <v>360</v>
      </c>
      <c r="E1140" s="29" t="s">
        <v>172</v>
      </c>
      <c r="F1140" s="28" t="s">
        <v>2951</v>
      </c>
      <c r="G1140" s="28" t="s">
        <v>2951</v>
      </c>
      <c r="H1140" s="28" t="s">
        <v>174</v>
      </c>
      <c r="I1140" s="28" t="s">
        <v>174</v>
      </c>
      <c r="J1140" s="30" t="s">
        <v>174</v>
      </c>
      <c r="K1140" s="28" t="s">
        <v>324</v>
      </c>
      <c r="L1140" s="31">
        <v>43862</v>
      </c>
      <c r="M1140" s="28">
        <v>2</v>
      </c>
      <c r="N1140" s="32" t="s">
        <v>176</v>
      </c>
      <c r="O1140" s="28" t="s">
        <v>794</v>
      </c>
      <c r="P1140" s="28" t="s">
        <v>3102</v>
      </c>
      <c r="Q1140" s="28" t="s">
        <v>3103</v>
      </c>
      <c r="R1140" s="28" t="s">
        <v>3029</v>
      </c>
    </row>
    <row r="1141" spans="1:18" hidden="1">
      <c r="A1141" s="28">
        <v>5</v>
      </c>
      <c r="B1141" s="29" t="s">
        <v>349</v>
      </c>
      <c r="C1141" s="29" t="s">
        <v>355</v>
      </c>
      <c r="D1141" s="29" t="s">
        <v>360</v>
      </c>
      <c r="E1141" s="29" t="s">
        <v>172</v>
      </c>
      <c r="F1141" s="28" t="s">
        <v>2951</v>
      </c>
      <c r="G1141" s="28" t="s">
        <v>2951</v>
      </c>
      <c r="H1141" s="28" t="s">
        <v>174</v>
      </c>
      <c r="I1141" s="28" t="s">
        <v>174</v>
      </c>
      <c r="J1141" s="30" t="s">
        <v>174</v>
      </c>
      <c r="K1141" s="28" t="s">
        <v>415</v>
      </c>
      <c r="L1141" s="31">
        <v>43952</v>
      </c>
      <c r="M1141" s="28">
        <v>5</v>
      </c>
      <c r="N1141" s="32" t="s">
        <v>191</v>
      </c>
      <c r="O1141" s="28" t="s">
        <v>204</v>
      </c>
      <c r="P1141" s="28" t="s">
        <v>3104</v>
      </c>
      <c r="Q1141" s="28" t="s">
        <v>3105</v>
      </c>
      <c r="R1141" s="28" t="s">
        <v>3038</v>
      </c>
    </row>
    <row r="1142" spans="1:18" hidden="1">
      <c r="A1142" s="28">
        <v>5</v>
      </c>
      <c r="B1142" s="29" t="s">
        <v>349</v>
      </c>
      <c r="C1142" s="29" t="s">
        <v>355</v>
      </c>
      <c r="D1142" s="29" t="s">
        <v>360</v>
      </c>
      <c r="E1142" s="29" t="s">
        <v>172</v>
      </c>
      <c r="F1142" s="28" t="s">
        <v>2951</v>
      </c>
      <c r="G1142" s="28" t="s">
        <v>2951</v>
      </c>
      <c r="H1142" s="28" t="s">
        <v>174</v>
      </c>
      <c r="I1142" s="28" t="s">
        <v>174</v>
      </c>
      <c r="J1142" s="30" t="s">
        <v>174</v>
      </c>
      <c r="K1142" s="28" t="s">
        <v>823</v>
      </c>
      <c r="L1142" s="31">
        <v>44136</v>
      </c>
      <c r="M1142" s="28">
        <v>11</v>
      </c>
      <c r="N1142" s="32" t="s">
        <v>191</v>
      </c>
      <c r="O1142" s="28" t="s">
        <v>177</v>
      </c>
      <c r="P1142" s="28" t="s">
        <v>3106</v>
      </c>
      <c r="Q1142" s="28" t="s">
        <v>3107</v>
      </c>
      <c r="R1142" s="28" t="s">
        <v>3108</v>
      </c>
    </row>
    <row r="1143" spans="1:18" hidden="1">
      <c r="A1143" s="28">
        <v>5</v>
      </c>
      <c r="B1143" s="29" t="s">
        <v>349</v>
      </c>
      <c r="C1143" s="29" t="s">
        <v>355</v>
      </c>
      <c r="D1143" s="29" t="s">
        <v>360</v>
      </c>
      <c r="E1143" s="29" t="s">
        <v>172</v>
      </c>
      <c r="F1143" s="28" t="s">
        <v>2951</v>
      </c>
      <c r="G1143" s="28" t="s">
        <v>2951</v>
      </c>
      <c r="H1143" s="28" t="s">
        <v>174</v>
      </c>
      <c r="I1143" s="28" t="s">
        <v>174</v>
      </c>
      <c r="J1143" s="30" t="s">
        <v>174</v>
      </c>
      <c r="K1143" s="28" t="s">
        <v>730</v>
      </c>
      <c r="L1143" s="31">
        <v>44166</v>
      </c>
      <c r="M1143" s="28">
        <v>12</v>
      </c>
      <c r="N1143" s="32" t="s">
        <v>176</v>
      </c>
      <c r="O1143" s="28" t="s">
        <v>204</v>
      </c>
      <c r="P1143" s="28" t="s">
        <v>3109</v>
      </c>
      <c r="Q1143" s="28" t="s">
        <v>3110</v>
      </c>
      <c r="R1143" s="28" t="s">
        <v>3009</v>
      </c>
    </row>
    <row r="1144" spans="1:18" hidden="1">
      <c r="A1144" s="28">
        <v>5</v>
      </c>
      <c r="B1144" s="29" t="s">
        <v>349</v>
      </c>
      <c r="C1144" s="29" t="s">
        <v>355</v>
      </c>
      <c r="D1144" s="29" t="s">
        <v>360</v>
      </c>
      <c r="E1144" s="29" t="s">
        <v>172</v>
      </c>
      <c r="F1144" s="28" t="s">
        <v>2951</v>
      </c>
      <c r="G1144" s="28" t="s">
        <v>2951</v>
      </c>
      <c r="H1144" s="28" t="s">
        <v>174</v>
      </c>
      <c r="I1144" s="28" t="s">
        <v>174</v>
      </c>
      <c r="J1144" s="30" t="s">
        <v>174</v>
      </c>
      <c r="K1144" s="28" t="s">
        <v>632</v>
      </c>
      <c r="L1144" s="31">
        <v>44378</v>
      </c>
      <c r="M1144" s="28">
        <v>7</v>
      </c>
      <c r="N1144" s="32" t="s">
        <v>184</v>
      </c>
      <c r="O1144" s="28" t="s">
        <v>204</v>
      </c>
      <c r="P1144" s="28" t="s">
        <v>3111</v>
      </c>
      <c r="Q1144" s="28" t="s">
        <v>3014</v>
      </c>
      <c r="R1144" s="28" t="s">
        <v>3015</v>
      </c>
    </row>
    <row r="1145" spans="1:18" hidden="1">
      <c r="A1145" s="28">
        <v>5</v>
      </c>
      <c r="B1145" s="29" t="s">
        <v>349</v>
      </c>
      <c r="C1145" s="29" t="s">
        <v>355</v>
      </c>
      <c r="D1145" s="29" t="s">
        <v>360</v>
      </c>
      <c r="E1145" s="29" t="s">
        <v>172</v>
      </c>
      <c r="F1145" s="28" t="s">
        <v>2951</v>
      </c>
      <c r="G1145" s="28" t="s">
        <v>2951</v>
      </c>
      <c r="H1145" s="28" t="s">
        <v>174</v>
      </c>
      <c r="I1145" s="28" t="s">
        <v>174</v>
      </c>
      <c r="J1145" s="30" t="s">
        <v>174</v>
      </c>
      <c r="K1145" s="28" t="s">
        <v>670</v>
      </c>
      <c r="L1145" s="31">
        <v>44501</v>
      </c>
      <c r="M1145" s="28">
        <v>11</v>
      </c>
      <c r="N1145" s="32" t="s">
        <v>191</v>
      </c>
      <c r="O1145" s="28" t="s">
        <v>204</v>
      </c>
      <c r="P1145" s="28" t="s">
        <v>3112</v>
      </c>
      <c r="Q1145" s="28" t="s">
        <v>3113</v>
      </c>
      <c r="R1145" s="28" t="s">
        <v>3062</v>
      </c>
    </row>
    <row r="1146" spans="1:18" hidden="1">
      <c r="A1146" s="28">
        <v>5</v>
      </c>
      <c r="B1146" s="29" t="s">
        <v>349</v>
      </c>
      <c r="C1146" s="29" t="s">
        <v>355</v>
      </c>
      <c r="D1146" s="29" t="s">
        <v>360</v>
      </c>
      <c r="E1146" s="29" t="s">
        <v>172</v>
      </c>
      <c r="F1146" s="28" t="s">
        <v>2951</v>
      </c>
      <c r="G1146" s="28" t="s">
        <v>2951</v>
      </c>
      <c r="H1146" s="28" t="s">
        <v>174</v>
      </c>
      <c r="I1146" s="28" t="s">
        <v>174</v>
      </c>
      <c r="J1146" s="30" t="s">
        <v>174</v>
      </c>
      <c r="K1146" s="28" t="s">
        <v>3114</v>
      </c>
      <c r="L1146" s="31" t="s">
        <v>221</v>
      </c>
      <c r="M1146" s="28" t="e">
        <v>#VALUE!</v>
      </c>
      <c r="N1146" s="32" t="e">
        <v>#VALUE!</v>
      </c>
      <c r="O1146" s="28" t="s">
        <v>204</v>
      </c>
      <c r="P1146" s="28" t="s">
        <v>3115</v>
      </c>
      <c r="Q1146" s="28" t="s">
        <v>3051</v>
      </c>
      <c r="R1146" s="28" t="s">
        <v>3052</v>
      </c>
    </row>
    <row r="1147" spans="1:18" hidden="1">
      <c r="A1147" s="28">
        <v>5</v>
      </c>
      <c r="B1147" s="29" t="s">
        <v>349</v>
      </c>
      <c r="C1147" s="29" t="s">
        <v>761</v>
      </c>
      <c r="D1147" s="29" t="s">
        <v>762</v>
      </c>
      <c r="E1147" s="29" t="s">
        <v>172</v>
      </c>
      <c r="F1147" s="28" t="s">
        <v>2951</v>
      </c>
      <c r="G1147" s="28" t="s">
        <v>2951</v>
      </c>
      <c r="H1147" s="28" t="s">
        <v>174</v>
      </c>
      <c r="I1147" s="28" t="s">
        <v>174</v>
      </c>
      <c r="J1147" s="30" t="s">
        <v>174</v>
      </c>
      <c r="K1147" s="28" t="s">
        <v>257</v>
      </c>
      <c r="L1147" s="31">
        <v>42552</v>
      </c>
      <c r="M1147" s="28">
        <v>7</v>
      </c>
      <c r="N1147" s="32" t="s">
        <v>184</v>
      </c>
      <c r="O1147" s="28" t="s">
        <v>204</v>
      </c>
      <c r="P1147" s="28" t="s">
        <v>3116</v>
      </c>
      <c r="Q1147" s="28" t="s">
        <v>3117</v>
      </c>
      <c r="R1147" s="28" t="s">
        <v>3118</v>
      </c>
    </row>
    <row r="1148" spans="1:18" hidden="1">
      <c r="A1148" s="28">
        <v>5</v>
      </c>
      <c r="B1148" s="29" t="s">
        <v>349</v>
      </c>
      <c r="C1148" s="29" t="s">
        <v>761</v>
      </c>
      <c r="D1148" s="29" t="s">
        <v>762</v>
      </c>
      <c r="E1148" s="29" t="s">
        <v>172</v>
      </c>
      <c r="F1148" s="28" t="s">
        <v>2951</v>
      </c>
      <c r="G1148" s="28" t="s">
        <v>2951</v>
      </c>
      <c r="H1148" s="28" t="s">
        <v>174</v>
      </c>
      <c r="I1148" s="28" t="s">
        <v>174</v>
      </c>
      <c r="J1148" s="30" t="s">
        <v>174</v>
      </c>
      <c r="K1148" s="28" t="s">
        <v>435</v>
      </c>
      <c r="L1148" s="31">
        <v>43040</v>
      </c>
      <c r="M1148" s="28">
        <v>11</v>
      </c>
      <c r="N1148" s="32" t="s">
        <v>191</v>
      </c>
      <c r="O1148" s="28" t="s">
        <v>794</v>
      </c>
      <c r="P1148" s="28" t="s">
        <v>3119</v>
      </c>
      <c r="Q1148" s="28" t="s">
        <v>3120</v>
      </c>
      <c r="R1148" s="28" t="s">
        <v>3121</v>
      </c>
    </row>
    <row r="1149" spans="1:18" hidden="1">
      <c r="A1149" s="28">
        <v>5</v>
      </c>
      <c r="B1149" s="29" t="s">
        <v>349</v>
      </c>
      <c r="C1149" s="29" t="s">
        <v>761</v>
      </c>
      <c r="D1149" s="29" t="s">
        <v>762</v>
      </c>
      <c r="E1149" s="29" t="s">
        <v>172</v>
      </c>
      <c r="F1149" s="28" t="s">
        <v>2951</v>
      </c>
      <c r="G1149" s="28" t="s">
        <v>2951</v>
      </c>
      <c r="H1149" s="28" t="s">
        <v>174</v>
      </c>
      <c r="I1149" s="28" t="s">
        <v>174</v>
      </c>
      <c r="J1149" s="30" t="s">
        <v>174</v>
      </c>
      <c r="K1149" s="28" t="s">
        <v>248</v>
      </c>
      <c r="L1149" s="31">
        <v>43070</v>
      </c>
      <c r="M1149" s="28">
        <v>12</v>
      </c>
      <c r="N1149" s="32" t="s">
        <v>176</v>
      </c>
      <c r="O1149" s="28" t="s">
        <v>794</v>
      </c>
      <c r="P1149" s="28" t="s">
        <v>3122</v>
      </c>
      <c r="Q1149" s="28" t="s">
        <v>3120</v>
      </c>
      <c r="R1149" s="28" t="s">
        <v>3121</v>
      </c>
    </row>
    <row r="1150" spans="1:18" hidden="1">
      <c r="A1150" s="28">
        <v>5</v>
      </c>
      <c r="B1150" s="29" t="s">
        <v>349</v>
      </c>
      <c r="C1150" s="29" t="s">
        <v>761</v>
      </c>
      <c r="D1150" s="29" t="s">
        <v>762</v>
      </c>
      <c r="E1150" s="29" t="s">
        <v>172</v>
      </c>
      <c r="F1150" s="28" t="s">
        <v>2951</v>
      </c>
      <c r="G1150" s="28" t="s">
        <v>2951</v>
      </c>
      <c r="H1150" s="28" t="s">
        <v>174</v>
      </c>
      <c r="I1150" s="28" t="s">
        <v>174</v>
      </c>
      <c r="J1150" s="30" t="s">
        <v>174</v>
      </c>
      <c r="K1150" s="28" t="s">
        <v>1896</v>
      </c>
      <c r="L1150" s="31">
        <v>43132</v>
      </c>
      <c r="M1150" s="28">
        <v>2</v>
      </c>
      <c r="N1150" s="32" t="s">
        <v>176</v>
      </c>
      <c r="O1150" s="28" t="s">
        <v>794</v>
      </c>
      <c r="P1150" s="28" t="s">
        <v>3123</v>
      </c>
      <c r="Q1150" s="28" t="s">
        <v>3124</v>
      </c>
      <c r="R1150" s="28" t="s">
        <v>3125</v>
      </c>
    </row>
    <row r="1151" spans="1:18" hidden="1">
      <c r="A1151" s="28">
        <v>5</v>
      </c>
      <c r="B1151" s="29" t="s">
        <v>349</v>
      </c>
      <c r="C1151" s="29" t="s">
        <v>761</v>
      </c>
      <c r="D1151" s="29" t="s">
        <v>762</v>
      </c>
      <c r="E1151" s="29" t="s">
        <v>172</v>
      </c>
      <c r="F1151" s="28" t="s">
        <v>2951</v>
      </c>
      <c r="G1151" s="28" t="s">
        <v>2951</v>
      </c>
      <c r="H1151" s="28" t="s">
        <v>174</v>
      </c>
      <c r="I1151" s="28" t="s">
        <v>174</v>
      </c>
      <c r="J1151" s="30" t="s">
        <v>174</v>
      </c>
      <c r="K1151" s="28" t="s">
        <v>442</v>
      </c>
      <c r="L1151" s="31">
        <v>43647</v>
      </c>
      <c r="M1151" s="28">
        <v>7</v>
      </c>
      <c r="N1151" s="32" t="s">
        <v>184</v>
      </c>
      <c r="O1151" s="28" t="s">
        <v>794</v>
      </c>
      <c r="P1151" s="28" t="s">
        <v>3126</v>
      </c>
      <c r="Q1151" s="28" t="s">
        <v>3124</v>
      </c>
      <c r="R1151" s="28" t="s">
        <v>3125</v>
      </c>
    </row>
    <row r="1152" spans="1:18" hidden="1">
      <c r="A1152" s="28">
        <v>5</v>
      </c>
      <c r="B1152" s="29" t="s">
        <v>349</v>
      </c>
      <c r="C1152" s="29" t="s">
        <v>761</v>
      </c>
      <c r="D1152" s="29" t="s">
        <v>762</v>
      </c>
      <c r="E1152" s="29" t="s">
        <v>172</v>
      </c>
      <c r="F1152" s="28" t="s">
        <v>2951</v>
      </c>
      <c r="G1152" s="28" t="s">
        <v>2951</v>
      </c>
      <c r="H1152" s="28" t="s">
        <v>174</v>
      </c>
      <c r="I1152" s="28" t="s">
        <v>174</v>
      </c>
      <c r="J1152" s="30" t="s">
        <v>174</v>
      </c>
      <c r="K1152" s="28" t="s">
        <v>479</v>
      </c>
      <c r="L1152" s="31">
        <v>43770</v>
      </c>
      <c r="M1152" s="28">
        <v>11</v>
      </c>
      <c r="N1152" s="32" t="s">
        <v>191</v>
      </c>
      <c r="O1152" s="28" t="s">
        <v>794</v>
      </c>
      <c r="P1152" s="28" t="s">
        <v>3127</v>
      </c>
      <c r="Q1152" s="28" t="s">
        <v>3124</v>
      </c>
      <c r="R1152" s="28" t="s">
        <v>3125</v>
      </c>
    </row>
    <row r="1153" spans="1:18" hidden="1">
      <c r="A1153" s="28">
        <v>5</v>
      </c>
      <c r="B1153" s="29" t="s">
        <v>349</v>
      </c>
      <c r="C1153" s="29" t="s">
        <v>761</v>
      </c>
      <c r="D1153" s="29" t="s">
        <v>762</v>
      </c>
      <c r="E1153" s="29" t="s">
        <v>172</v>
      </c>
      <c r="F1153" s="28" t="s">
        <v>2951</v>
      </c>
      <c r="G1153" s="28" t="s">
        <v>2951</v>
      </c>
      <c r="H1153" s="28" t="s">
        <v>174</v>
      </c>
      <c r="I1153" s="28" t="s">
        <v>174</v>
      </c>
      <c r="J1153" s="30" t="s">
        <v>174</v>
      </c>
      <c r="K1153" s="28" t="s">
        <v>730</v>
      </c>
      <c r="L1153" s="31">
        <v>44166</v>
      </c>
      <c r="M1153" s="28">
        <v>12</v>
      </c>
      <c r="N1153" s="32" t="s">
        <v>176</v>
      </c>
      <c r="O1153" s="28" t="s">
        <v>204</v>
      </c>
      <c r="P1153" s="28" t="s">
        <v>3128</v>
      </c>
      <c r="Q1153" s="28" t="s">
        <v>3129</v>
      </c>
      <c r="R1153" s="28" t="s">
        <v>2594</v>
      </c>
    </row>
    <row r="1154" spans="1:18" hidden="1">
      <c r="A1154" s="28">
        <v>5</v>
      </c>
      <c r="B1154" s="29" t="s">
        <v>349</v>
      </c>
      <c r="C1154" s="29" t="s">
        <v>761</v>
      </c>
      <c r="D1154" s="29" t="s">
        <v>762</v>
      </c>
      <c r="E1154" s="29" t="s">
        <v>172</v>
      </c>
      <c r="F1154" s="28" t="s">
        <v>2951</v>
      </c>
      <c r="G1154" s="28" t="s">
        <v>2951</v>
      </c>
      <c r="H1154" s="28" t="s">
        <v>174</v>
      </c>
      <c r="I1154" s="28" t="s">
        <v>174</v>
      </c>
      <c r="J1154" s="30" t="s">
        <v>174</v>
      </c>
      <c r="K1154" s="28" t="s">
        <v>483</v>
      </c>
      <c r="L1154" s="31">
        <v>44197</v>
      </c>
      <c r="M1154" s="28">
        <v>1</v>
      </c>
      <c r="N1154" s="32" t="s">
        <v>176</v>
      </c>
      <c r="O1154" s="28" t="s">
        <v>204</v>
      </c>
      <c r="P1154" s="28" t="s">
        <v>3130</v>
      </c>
      <c r="Q1154" s="28" t="s">
        <v>3129</v>
      </c>
      <c r="R1154" s="28" t="s">
        <v>2594</v>
      </c>
    </row>
    <row r="1155" spans="1:18" hidden="1">
      <c r="A1155" s="28">
        <v>5</v>
      </c>
      <c r="B1155" s="29" t="s">
        <v>349</v>
      </c>
      <c r="C1155" s="29" t="s">
        <v>761</v>
      </c>
      <c r="D1155" s="29" t="s">
        <v>768</v>
      </c>
      <c r="E1155" s="29" t="s">
        <v>172</v>
      </c>
      <c r="F1155" s="28" t="s">
        <v>2951</v>
      </c>
      <c r="G1155" s="28" t="s">
        <v>2951</v>
      </c>
      <c r="H1155" s="28" t="s">
        <v>174</v>
      </c>
      <c r="I1155" s="28" t="s">
        <v>174</v>
      </c>
      <c r="J1155" s="30" t="s">
        <v>174</v>
      </c>
      <c r="K1155" s="28" t="s">
        <v>391</v>
      </c>
      <c r="L1155" s="31">
        <v>42370</v>
      </c>
      <c r="M1155" s="28">
        <v>1</v>
      </c>
      <c r="N1155" s="32" t="s">
        <v>176</v>
      </c>
      <c r="O1155" s="28" t="s">
        <v>1060</v>
      </c>
      <c r="P1155" s="28" t="s">
        <v>3131</v>
      </c>
      <c r="Q1155" s="28" t="s">
        <v>3132</v>
      </c>
      <c r="R1155" s="28" t="s">
        <v>3133</v>
      </c>
    </row>
    <row r="1156" spans="1:18" hidden="1">
      <c r="A1156" s="28">
        <v>5</v>
      </c>
      <c r="B1156" s="29" t="s">
        <v>349</v>
      </c>
      <c r="C1156" s="29" t="s">
        <v>761</v>
      </c>
      <c r="D1156" s="29" t="s">
        <v>768</v>
      </c>
      <c r="E1156" s="29" t="s">
        <v>172</v>
      </c>
      <c r="F1156" s="28" t="s">
        <v>2951</v>
      </c>
      <c r="G1156" s="28" t="s">
        <v>2951</v>
      </c>
      <c r="H1156" s="28" t="s">
        <v>174</v>
      </c>
      <c r="I1156" s="28" t="s">
        <v>174</v>
      </c>
      <c r="J1156" s="30" t="s">
        <v>174</v>
      </c>
      <c r="K1156" s="28" t="s">
        <v>267</v>
      </c>
      <c r="L1156" s="31">
        <v>42583</v>
      </c>
      <c r="M1156" s="28">
        <v>8</v>
      </c>
      <c r="N1156" s="32" t="s">
        <v>184</v>
      </c>
      <c r="O1156" s="28" t="s">
        <v>204</v>
      </c>
      <c r="P1156" s="28" t="s">
        <v>3134</v>
      </c>
      <c r="Q1156" s="28" t="s">
        <v>3135</v>
      </c>
      <c r="R1156" s="28" t="s">
        <v>3136</v>
      </c>
    </row>
    <row r="1157" spans="1:18" hidden="1">
      <c r="A1157" s="28">
        <v>5</v>
      </c>
      <c r="B1157" s="29" t="s">
        <v>349</v>
      </c>
      <c r="C1157" s="29" t="s">
        <v>761</v>
      </c>
      <c r="D1157" s="29" t="s">
        <v>768</v>
      </c>
      <c r="E1157" s="29" t="s">
        <v>172</v>
      </c>
      <c r="F1157" s="28" t="s">
        <v>2951</v>
      </c>
      <c r="G1157" s="28" t="s">
        <v>2951</v>
      </c>
      <c r="H1157" s="28" t="s">
        <v>174</v>
      </c>
      <c r="I1157" s="28" t="s">
        <v>174</v>
      </c>
      <c r="J1157" s="30" t="s">
        <v>174</v>
      </c>
      <c r="K1157" s="28" t="s">
        <v>335</v>
      </c>
      <c r="L1157" s="31">
        <v>42614</v>
      </c>
      <c r="M1157" s="28">
        <v>9</v>
      </c>
      <c r="N1157" s="32" t="s">
        <v>191</v>
      </c>
      <c r="O1157" s="28" t="s">
        <v>794</v>
      </c>
      <c r="P1157" s="28" t="s">
        <v>3137</v>
      </c>
      <c r="Q1157" s="28" t="s">
        <v>3138</v>
      </c>
      <c r="R1157" s="28" t="s">
        <v>3139</v>
      </c>
    </row>
    <row r="1158" spans="1:18" hidden="1">
      <c r="A1158" s="28">
        <v>5</v>
      </c>
      <c r="B1158" s="29" t="s">
        <v>349</v>
      </c>
      <c r="C1158" s="29" t="s">
        <v>761</v>
      </c>
      <c r="D1158" s="29" t="s">
        <v>768</v>
      </c>
      <c r="E1158" s="29" t="s">
        <v>172</v>
      </c>
      <c r="F1158" s="28" t="s">
        <v>2951</v>
      </c>
      <c r="G1158" s="28" t="s">
        <v>2951</v>
      </c>
      <c r="H1158" s="28" t="s">
        <v>174</v>
      </c>
      <c r="I1158" s="28" t="s">
        <v>174</v>
      </c>
      <c r="J1158" s="30" t="s">
        <v>174</v>
      </c>
      <c r="K1158" s="28" t="s">
        <v>460</v>
      </c>
      <c r="L1158" s="31">
        <v>42675</v>
      </c>
      <c r="M1158" s="28">
        <v>11</v>
      </c>
      <c r="N1158" s="32" t="s">
        <v>191</v>
      </c>
      <c r="O1158" s="28" t="s">
        <v>204</v>
      </c>
      <c r="P1158" s="28" t="s">
        <v>3140</v>
      </c>
      <c r="Q1158" s="28" t="s">
        <v>3141</v>
      </c>
      <c r="R1158" s="28" t="s">
        <v>3142</v>
      </c>
    </row>
    <row r="1159" spans="1:18" hidden="1">
      <c r="A1159" s="28">
        <v>7</v>
      </c>
      <c r="B1159" s="29" t="s">
        <v>776</v>
      </c>
      <c r="C1159" s="29" t="s">
        <v>777</v>
      </c>
      <c r="D1159" s="29" t="s">
        <v>778</v>
      </c>
      <c r="E1159" s="29" t="s">
        <v>172</v>
      </c>
      <c r="F1159" s="28" t="s">
        <v>2951</v>
      </c>
      <c r="G1159" s="28" t="s">
        <v>2951</v>
      </c>
      <c r="H1159" s="28" t="s">
        <v>174</v>
      </c>
      <c r="I1159" s="28" t="s">
        <v>174</v>
      </c>
      <c r="J1159" s="30" t="s">
        <v>174</v>
      </c>
      <c r="K1159" s="28" t="s">
        <v>232</v>
      </c>
      <c r="L1159" s="31">
        <v>42522</v>
      </c>
      <c r="M1159" s="28">
        <v>6</v>
      </c>
      <c r="N1159" s="32" t="s">
        <v>184</v>
      </c>
      <c r="O1159" s="28" t="s">
        <v>204</v>
      </c>
      <c r="P1159" s="28" t="s">
        <v>3143</v>
      </c>
      <c r="Q1159" s="28" t="s">
        <v>3144</v>
      </c>
      <c r="R1159" s="28" t="s">
        <v>3145</v>
      </c>
    </row>
    <row r="1160" spans="1:18" hidden="1">
      <c r="A1160" s="28">
        <v>4</v>
      </c>
      <c r="B1160" s="29" t="s">
        <v>306</v>
      </c>
      <c r="C1160" s="29" t="s">
        <v>307</v>
      </c>
      <c r="D1160" s="29" t="s">
        <v>308</v>
      </c>
      <c r="E1160" s="29" t="s">
        <v>172</v>
      </c>
      <c r="F1160" s="28" t="s">
        <v>3146</v>
      </c>
      <c r="G1160" s="28" t="s">
        <v>3146</v>
      </c>
      <c r="H1160" s="28" t="s">
        <v>174</v>
      </c>
      <c r="I1160" s="28" t="s">
        <v>174</v>
      </c>
      <c r="J1160" s="30" t="s">
        <v>174</v>
      </c>
      <c r="K1160" s="28" t="s">
        <v>559</v>
      </c>
      <c r="L1160" s="31">
        <v>43252</v>
      </c>
      <c r="M1160" s="28">
        <v>6</v>
      </c>
      <c r="N1160" s="32" t="s">
        <v>184</v>
      </c>
      <c r="O1160" s="28" t="s">
        <v>177</v>
      </c>
      <c r="P1160" s="28" t="s">
        <v>3147</v>
      </c>
      <c r="Q1160" s="28" t="s">
        <v>3148</v>
      </c>
      <c r="R1160" s="28" t="s">
        <v>3149</v>
      </c>
    </row>
    <row r="1161" spans="1:18" hidden="1">
      <c r="A1161" s="28">
        <v>4</v>
      </c>
      <c r="B1161" s="29" t="s">
        <v>306</v>
      </c>
      <c r="C1161" s="29" t="s">
        <v>318</v>
      </c>
      <c r="D1161" s="29" t="s">
        <v>319</v>
      </c>
      <c r="E1161" s="29" t="s">
        <v>172</v>
      </c>
      <c r="F1161" s="28" t="s">
        <v>3146</v>
      </c>
      <c r="G1161" s="28" t="s">
        <v>3146</v>
      </c>
      <c r="H1161" s="28" t="s">
        <v>174</v>
      </c>
      <c r="I1161" s="28" t="s">
        <v>174</v>
      </c>
      <c r="J1161" s="30" t="s">
        <v>174</v>
      </c>
      <c r="K1161" s="28" t="s">
        <v>175</v>
      </c>
      <c r="L1161" s="31">
        <v>42339</v>
      </c>
      <c r="M1161" s="28">
        <v>12</v>
      </c>
      <c r="N1161" s="32" t="s">
        <v>176</v>
      </c>
      <c r="O1161" s="28" t="s">
        <v>177</v>
      </c>
      <c r="P1161" s="28" t="s">
        <v>3150</v>
      </c>
      <c r="Q1161" s="28" t="s">
        <v>3151</v>
      </c>
      <c r="R1161" s="28" t="s">
        <v>3152</v>
      </c>
    </row>
    <row r="1162" spans="1:18" hidden="1">
      <c r="A1162" s="28">
        <v>5</v>
      </c>
      <c r="B1162" s="29" t="s">
        <v>349</v>
      </c>
      <c r="C1162" s="29" t="s">
        <v>761</v>
      </c>
      <c r="D1162" s="29" t="s">
        <v>768</v>
      </c>
      <c r="E1162" s="29" t="s">
        <v>172</v>
      </c>
      <c r="F1162" s="28" t="s">
        <v>3146</v>
      </c>
      <c r="G1162" s="28" t="s">
        <v>3146</v>
      </c>
      <c r="H1162" s="28" t="s">
        <v>174</v>
      </c>
      <c r="I1162" s="28" t="s">
        <v>174</v>
      </c>
      <c r="J1162" s="30" t="s">
        <v>174</v>
      </c>
      <c r="K1162" s="28" t="s">
        <v>208</v>
      </c>
      <c r="L1162" s="31">
        <v>43101</v>
      </c>
      <c r="M1162" s="28">
        <v>1</v>
      </c>
      <c r="N1162" s="32" t="s">
        <v>176</v>
      </c>
      <c r="O1162" s="28" t="s">
        <v>794</v>
      </c>
      <c r="P1162" s="28" t="s">
        <v>3153</v>
      </c>
      <c r="Q1162" s="28" t="s">
        <v>3154</v>
      </c>
      <c r="R1162" s="28" t="s">
        <v>3155</v>
      </c>
    </row>
    <row r="1163" spans="1:18" hidden="1">
      <c r="A1163" s="28">
        <v>11</v>
      </c>
      <c r="B1163" s="29" t="s">
        <v>169</v>
      </c>
      <c r="C1163" s="29" t="s">
        <v>170</v>
      </c>
      <c r="D1163" s="29" t="s">
        <v>171</v>
      </c>
      <c r="E1163" s="29" t="s">
        <v>172</v>
      </c>
      <c r="F1163" s="28" t="s">
        <v>3156</v>
      </c>
      <c r="G1163" s="28" t="s">
        <v>3156</v>
      </c>
      <c r="H1163" s="28" t="s">
        <v>174</v>
      </c>
      <c r="I1163" s="28" t="s">
        <v>174</v>
      </c>
      <c r="J1163" s="30" t="s">
        <v>174</v>
      </c>
      <c r="K1163" s="28" t="s">
        <v>248</v>
      </c>
      <c r="L1163" s="31">
        <v>43070</v>
      </c>
      <c r="M1163" s="28">
        <v>12</v>
      </c>
      <c r="N1163" s="32" t="s">
        <v>176</v>
      </c>
      <c r="O1163" s="28" t="s">
        <v>204</v>
      </c>
      <c r="P1163" s="28" t="s">
        <v>3157</v>
      </c>
      <c r="Q1163" s="28" t="s">
        <v>3158</v>
      </c>
      <c r="R1163" s="28" t="s">
        <v>3159</v>
      </c>
    </row>
    <row r="1164" spans="1:18" hidden="1">
      <c r="A1164" s="28">
        <v>11</v>
      </c>
      <c r="B1164" s="29" t="s">
        <v>169</v>
      </c>
      <c r="C1164" s="29" t="s">
        <v>170</v>
      </c>
      <c r="D1164" s="29" t="s">
        <v>171</v>
      </c>
      <c r="E1164" s="29" t="s">
        <v>172</v>
      </c>
      <c r="F1164" s="28" t="s">
        <v>3156</v>
      </c>
      <c r="G1164" s="28" t="s">
        <v>3156</v>
      </c>
      <c r="H1164" s="28" t="s">
        <v>174</v>
      </c>
      <c r="I1164" s="28" t="s">
        <v>174</v>
      </c>
      <c r="J1164" s="30" t="s">
        <v>174</v>
      </c>
      <c r="K1164" s="28" t="s">
        <v>678</v>
      </c>
      <c r="L1164" s="31">
        <v>43344</v>
      </c>
      <c r="M1164" s="28">
        <v>9</v>
      </c>
      <c r="N1164" s="32" t="s">
        <v>191</v>
      </c>
      <c r="O1164" s="28" t="s">
        <v>185</v>
      </c>
      <c r="P1164" s="28" t="s">
        <v>3160</v>
      </c>
      <c r="Q1164" s="28" t="s">
        <v>3161</v>
      </c>
      <c r="R1164" s="28" t="s">
        <v>3162</v>
      </c>
    </row>
    <row r="1165" spans="1:18" hidden="1">
      <c r="A1165" s="28">
        <v>11</v>
      </c>
      <c r="B1165" s="29" t="s">
        <v>169</v>
      </c>
      <c r="C1165" s="29" t="s">
        <v>170</v>
      </c>
      <c r="D1165" s="29" t="s">
        <v>171</v>
      </c>
      <c r="E1165" s="29" t="s">
        <v>172</v>
      </c>
      <c r="F1165" s="28" t="s">
        <v>3156</v>
      </c>
      <c r="G1165" s="28" t="s">
        <v>3156</v>
      </c>
      <c r="H1165" s="28" t="s">
        <v>174</v>
      </c>
      <c r="I1165" s="28" t="s">
        <v>174</v>
      </c>
      <c r="J1165" s="30" t="s">
        <v>174</v>
      </c>
      <c r="K1165" s="28" t="s">
        <v>236</v>
      </c>
      <c r="L1165" s="31">
        <v>43617</v>
      </c>
      <c r="M1165" s="28">
        <v>6</v>
      </c>
      <c r="N1165" s="32" t="s">
        <v>184</v>
      </c>
      <c r="O1165" s="28" t="s">
        <v>794</v>
      </c>
      <c r="P1165" s="28" t="s">
        <v>3163</v>
      </c>
      <c r="Q1165" s="28" t="s">
        <v>2030</v>
      </c>
      <c r="R1165" s="28" t="s">
        <v>2031</v>
      </c>
    </row>
    <row r="1166" spans="1:18" hidden="1">
      <c r="A1166" s="28">
        <v>11</v>
      </c>
      <c r="B1166" s="29" t="s">
        <v>169</v>
      </c>
      <c r="C1166" s="29" t="s">
        <v>170</v>
      </c>
      <c r="D1166" s="29" t="s">
        <v>171</v>
      </c>
      <c r="E1166" s="29" t="s">
        <v>172</v>
      </c>
      <c r="F1166" s="28" t="s">
        <v>3156</v>
      </c>
      <c r="G1166" s="28" t="s">
        <v>3156</v>
      </c>
      <c r="H1166" s="28" t="s">
        <v>174</v>
      </c>
      <c r="I1166" s="28" t="s">
        <v>174</v>
      </c>
      <c r="J1166" s="30" t="s">
        <v>174</v>
      </c>
      <c r="K1166" s="28" t="s">
        <v>415</v>
      </c>
      <c r="L1166" s="31">
        <v>43952</v>
      </c>
      <c r="M1166" s="28">
        <v>5</v>
      </c>
      <c r="N1166" s="32" t="s">
        <v>191</v>
      </c>
      <c r="O1166" s="28" t="s">
        <v>185</v>
      </c>
      <c r="P1166" s="28" t="s">
        <v>3164</v>
      </c>
      <c r="Q1166" s="28" t="s">
        <v>3161</v>
      </c>
      <c r="R1166" s="28" t="s">
        <v>3162</v>
      </c>
    </row>
    <row r="1167" spans="1:18" hidden="1">
      <c r="A1167" s="28">
        <v>11</v>
      </c>
      <c r="B1167" s="29" t="s">
        <v>169</v>
      </c>
      <c r="C1167" s="29" t="s">
        <v>181</v>
      </c>
      <c r="D1167" s="29" t="s">
        <v>189</v>
      </c>
      <c r="E1167" s="29" t="s">
        <v>172</v>
      </c>
      <c r="F1167" s="28" t="s">
        <v>3156</v>
      </c>
      <c r="G1167" s="28" t="s">
        <v>3156</v>
      </c>
      <c r="H1167" s="28" t="s">
        <v>174</v>
      </c>
      <c r="I1167" s="28" t="s">
        <v>174</v>
      </c>
      <c r="J1167" s="30" t="s">
        <v>174</v>
      </c>
      <c r="K1167" s="28" t="s">
        <v>232</v>
      </c>
      <c r="L1167" s="31">
        <v>42522</v>
      </c>
      <c r="M1167" s="28">
        <v>6</v>
      </c>
      <c r="N1167" s="32" t="s">
        <v>184</v>
      </c>
      <c r="O1167" s="28" t="s">
        <v>204</v>
      </c>
      <c r="P1167" s="28" t="s">
        <v>3165</v>
      </c>
      <c r="Q1167" s="28" t="s">
        <v>3166</v>
      </c>
      <c r="R1167" s="28" t="s">
        <v>2042</v>
      </c>
    </row>
    <row r="1168" spans="1:18" hidden="1">
      <c r="A1168" s="28">
        <v>11</v>
      </c>
      <c r="B1168" s="29" t="s">
        <v>169</v>
      </c>
      <c r="C1168" s="29" t="s">
        <v>181</v>
      </c>
      <c r="D1168" s="29" t="s">
        <v>189</v>
      </c>
      <c r="E1168" s="29" t="s">
        <v>172</v>
      </c>
      <c r="F1168" s="28" t="s">
        <v>3156</v>
      </c>
      <c r="G1168" s="28" t="s">
        <v>3156</v>
      </c>
      <c r="H1168" s="28" t="s">
        <v>174</v>
      </c>
      <c r="I1168" s="28" t="s">
        <v>174</v>
      </c>
      <c r="J1168" s="30" t="s">
        <v>174</v>
      </c>
      <c r="K1168" s="28" t="s">
        <v>236</v>
      </c>
      <c r="L1168" s="31">
        <v>43617</v>
      </c>
      <c r="M1168" s="28">
        <v>6</v>
      </c>
      <c r="N1168" s="32" t="s">
        <v>184</v>
      </c>
      <c r="O1168" s="28" t="s">
        <v>1060</v>
      </c>
      <c r="P1168" s="28" t="s">
        <v>3167</v>
      </c>
      <c r="Q1168" s="28" t="s">
        <v>3168</v>
      </c>
      <c r="R1168" s="28" t="s">
        <v>3169</v>
      </c>
    </row>
    <row r="1169" spans="1:18" hidden="1">
      <c r="A1169" s="28">
        <v>11</v>
      </c>
      <c r="B1169" s="29" t="s">
        <v>169</v>
      </c>
      <c r="C1169" s="29" t="s">
        <v>181</v>
      </c>
      <c r="D1169" s="29" t="s">
        <v>189</v>
      </c>
      <c r="E1169" s="29" t="s">
        <v>172</v>
      </c>
      <c r="F1169" s="28" t="s">
        <v>3156</v>
      </c>
      <c r="G1169" s="28" t="s">
        <v>3156</v>
      </c>
      <c r="H1169" s="28" t="s">
        <v>174</v>
      </c>
      <c r="I1169" s="28" t="s">
        <v>174</v>
      </c>
      <c r="J1169" s="30" t="s">
        <v>174</v>
      </c>
      <c r="K1169" s="28" t="s">
        <v>236</v>
      </c>
      <c r="L1169" s="31">
        <v>43617</v>
      </c>
      <c r="M1169" s="28">
        <v>6</v>
      </c>
      <c r="N1169" s="32" t="s">
        <v>184</v>
      </c>
      <c r="O1169" s="28" t="s">
        <v>185</v>
      </c>
      <c r="P1169" s="28" t="s">
        <v>3170</v>
      </c>
      <c r="Q1169" s="28" t="s">
        <v>3171</v>
      </c>
      <c r="R1169" s="28" t="s">
        <v>1326</v>
      </c>
    </row>
    <row r="1170" spans="1:18" hidden="1">
      <c r="A1170" s="28">
        <v>12</v>
      </c>
      <c r="B1170" s="29" t="s">
        <v>195</v>
      </c>
      <c r="C1170" s="29" t="s">
        <v>196</v>
      </c>
      <c r="D1170" s="29" t="s">
        <v>197</v>
      </c>
      <c r="E1170" s="29" t="s">
        <v>172</v>
      </c>
      <c r="F1170" s="28" t="s">
        <v>3156</v>
      </c>
      <c r="G1170" s="28" t="s">
        <v>3156</v>
      </c>
      <c r="H1170" s="28" t="s">
        <v>174</v>
      </c>
      <c r="I1170" s="28" t="s">
        <v>174</v>
      </c>
      <c r="J1170" s="30" t="s">
        <v>174</v>
      </c>
      <c r="K1170" s="28" t="s">
        <v>263</v>
      </c>
      <c r="L1170" s="31">
        <v>42430</v>
      </c>
      <c r="M1170" s="28">
        <v>3</v>
      </c>
      <c r="N1170" s="32" t="s">
        <v>191</v>
      </c>
      <c r="O1170" s="28" t="s">
        <v>204</v>
      </c>
      <c r="P1170" s="28" t="s">
        <v>3172</v>
      </c>
      <c r="Q1170" s="28" t="s">
        <v>3173</v>
      </c>
      <c r="R1170" s="28" t="s">
        <v>408</v>
      </c>
    </row>
    <row r="1171" spans="1:18" hidden="1">
      <c r="A1171" s="28">
        <v>12</v>
      </c>
      <c r="B1171" s="29" t="s">
        <v>195</v>
      </c>
      <c r="C1171" s="29" t="s">
        <v>196</v>
      </c>
      <c r="D1171" s="29" t="s">
        <v>197</v>
      </c>
      <c r="E1171" s="29" t="s">
        <v>172</v>
      </c>
      <c r="F1171" s="28" t="s">
        <v>3156</v>
      </c>
      <c r="G1171" s="28" t="s">
        <v>3156</v>
      </c>
      <c r="H1171" s="28" t="s">
        <v>174</v>
      </c>
      <c r="I1171" s="28" t="s">
        <v>174</v>
      </c>
      <c r="J1171" s="30" t="s">
        <v>174</v>
      </c>
      <c r="K1171" s="28" t="s">
        <v>267</v>
      </c>
      <c r="L1171" s="31">
        <v>42583</v>
      </c>
      <c r="M1171" s="28">
        <v>8</v>
      </c>
      <c r="N1171" s="32" t="s">
        <v>184</v>
      </c>
      <c r="O1171" s="28" t="s">
        <v>185</v>
      </c>
      <c r="P1171" s="28" t="s">
        <v>3174</v>
      </c>
      <c r="Q1171" s="28" t="s">
        <v>2052</v>
      </c>
      <c r="R1171" s="28" t="s">
        <v>2053</v>
      </c>
    </row>
    <row r="1172" spans="1:18" hidden="1">
      <c r="A1172" s="28">
        <v>12</v>
      </c>
      <c r="B1172" s="29" t="s">
        <v>195</v>
      </c>
      <c r="C1172" s="29" t="s">
        <v>196</v>
      </c>
      <c r="D1172" s="29" t="s">
        <v>197</v>
      </c>
      <c r="E1172" s="29" t="s">
        <v>172</v>
      </c>
      <c r="F1172" s="28" t="s">
        <v>3156</v>
      </c>
      <c r="G1172" s="28" t="s">
        <v>3156</v>
      </c>
      <c r="H1172" s="28" t="s">
        <v>174</v>
      </c>
      <c r="I1172" s="28" t="s">
        <v>174</v>
      </c>
      <c r="J1172" s="30" t="s">
        <v>174</v>
      </c>
      <c r="K1172" s="28" t="s">
        <v>651</v>
      </c>
      <c r="L1172" s="31">
        <v>42644</v>
      </c>
      <c r="M1172" s="28">
        <v>10</v>
      </c>
      <c r="N1172" s="32" t="s">
        <v>191</v>
      </c>
      <c r="O1172" s="28" t="s">
        <v>177</v>
      </c>
      <c r="P1172" s="28" t="s">
        <v>3175</v>
      </c>
      <c r="Q1172" s="28" t="s">
        <v>3176</v>
      </c>
      <c r="R1172" s="28" t="s">
        <v>3177</v>
      </c>
    </row>
    <row r="1173" spans="1:18" hidden="1">
      <c r="A1173" s="28">
        <v>12</v>
      </c>
      <c r="B1173" s="29" t="s">
        <v>195</v>
      </c>
      <c r="C1173" s="29" t="s">
        <v>196</v>
      </c>
      <c r="D1173" s="29" t="s">
        <v>197</v>
      </c>
      <c r="E1173" s="29" t="s">
        <v>172</v>
      </c>
      <c r="F1173" s="28" t="s">
        <v>3156</v>
      </c>
      <c r="G1173" s="28" t="s">
        <v>3156</v>
      </c>
      <c r="H1173" s="28" t="s">
        <v>174</v>
      </c>
      <c r="I1173" s="28" t="s">
        <v>174</v>
      </c>
      <c r="J1173" s="30" t="s">
        <v>174</v>
      </c>
      <c r="K1173" s="28" t="s">
        <v>559</v>
      </c>
      <c r="L1173" s="31">
        <v>43252</v>
      </c>
      <c r="M1173" s="28">
        <v>6</v>
      </c>
      <c r="N1173" s="32" t="s">
        <v>184</v>
      </c>
      <c r="O1173" s="28" t="s">
        <v>177</v>
      </c>
      <c r="P1173" s="28" t="s">
        <v>3178</v>
      </c>
      <c r="Q1173" s="28" t="s">
        <v>3176</v>
      </c>
      <c r="R1173" s="28" t="s">
        <v>3177</v>
      </c>
    </row>
    <row r="1174" spans="1:18" hidden="1">
      <c r="A1174" s="28">
        <v>12</v>
      </c>
      <c r="B1174" s="29" t="s">
        <v>195</v>
      </c>
      <c r="C1174" s="29" t="s">
        <v>196</v>
      </c>
      <c r="D1174" s="29" t="s">
        <v>197</v>
      </c>
      <c r="E1174" s="29" t="s">
        <v>172</v>
      </c>
      <c r="F1174" s="28" t="s">
        <v>3156</v>
      </c>
      <c r="G1174" s="28" t="s">
        <v>3156</v>
      </c>
      <c r="H1174" s="28" t="s">
        <v>174</v>
      </c>
      <c r="I1174" s="28" t="s">
        <v>174</v>
      </c>
      <c r="J1174" s="30" t="s">
        <v>174</v>
      </c>
      <c r="K1174" s="28" t="s">
        <v>752</v>
      </c>
      <c r="L1174" s="31">
        <v>43709</v>
      </c>
      <c r="M1174" s="28">
        <v>9</v>
      </c>
      <c r="N1174" s="32" t="s">
        <v>191</v>
      </c>
      <c r="O1174" s="28" t="s">
        <v>204</v>
      </c>
      <c r="P1174" s="28" t="s">
        <v>3179</v>
      </c>
      <c r="Q1174" s="28" t="s">
        <v>3173</v>
      </c>
      <c r="R1174" s="28" t="s">
        <v>408</v>
      </c>
    </row>
    <row r="1175" spans="1:18" hidden="1">
      <c r="A1175" s="28">
        <v>12</v>
      </c>
      <c r="B1175" s="29" t="s">
        <v>195</v>
      </c>
      <c r="C1175" s="29" t="s">
        <v>196</v>
      </c>
      <c r="D1175" s="29" t="s">
        <v>197</v>
      </c>
      <c r="E1175" s="29" t="s">
        <v>172</v>
      </c>
      <c r="F1175" s="28" t="s">
        <v>3156</v>
      </c>
      <c r="G1175" s="28" t="s">
        <v>3156</v>
      </c>
      <c r="H1175" s="28" t="s">
        <v>174</v>
      </c>
      <c r="I1175" s="28" t="s">
        <v>174</v>
      </c>
      <c r="J1175" s="30" t="s">
        <v>174</v>
      </c>
      <c r="K1175" s="28" t="s">
        <v>218</v>
      </c>
      <c r="L1175" s="31">
        <v>44044</v>
      </c>
      <c r="M1175" s="28">
        <v>8</v>
      </c>
      <c r="N1175" s="32" t="s">
        <v>184</v>
      </c>
      <c r="O1175" s="28" t="s">
        <v>177</v>
      </c>
      <c r="P1175" s="28" t="s">
        <v>3180</v>
      </c>
      <c r="Q1175" s="28" t="s">
        <v>3176</v>
      </c>
      <c r="R1175" s="28" t="s">
        <v>3177</v>
      </c>
    </row>
    <row r="1176" spans="1:18" hidden="1">
      <c r="A1176" s="28">
        <v>12</v>
      </c>
      <c r="B1176" s="29" t="s">
        <v>195</v>
      </c>
      <c r="C1176" s="29" t="s">
        <v>196</v>
      </c>
      <c r="D1176" s="29" t="s">
        <v>197</v>
      </c>
      <c r="E1176" s="29" t="s">
        <v>172</v>
      </c>
      <c r="F1176" s="28" t="s">
        <v>3156</v>
      </c>
      <c r="G1176" s="28" t="s">
        <v>3156</v>
      </c>
      <c r="H1176" s="28" t="s">
        <v>174</v>
      </c>
      <c r="I1176" s="28" t="s">
        <v>174</v>
      </c>
      <c r="J1176" s="30" t="s">
        <v>174</v>
      </c>
      <c r="K1176" s="28" t="s">
        <v>646</v>
      </c>
      <c r="L1176" s="31">
        <v>44075</v>
      </c>
      <c r="M1176" s="28">
        <v>9</v>
      </c>
      <c r="N1176" s="32" t="s">
        <v>191</v>
      </c>
      <c r="O1176" s="28" t="s">
        <v>185</v>
      </c>
      <c r="P1176" s="28" t="s">
        <v>3181</v>
      </c>
      <c r="Q1176" s="28" t="s">
        <v>2052</v>
      </c>
      <c r="R1176" s="28" t="s">
        <v>2053</v>
      </c>
    </row>
    <row r="1177" spans="1:18" hidden="1">
      <c r="A1177" s="28">
        <v>12</v>
      </c>
      <c r="B1177" s="29" t="s">
        <v>195</v>
      </c>
      <c r="C1177" s="29" t="s">
        <v>196</v>
      </c>
      <c r="D1177" s="29" t="s">
        <v>197</v>
      </c>
      <c r="E1177" s="29" t="s">
        <v>172</v>
      </c>
      <c r="F1177" s="28" t="s">
        <v>3156</v>
      </c>
      <c r="G1177" s="28" t="s">
        <v>3156</v>
      </c>
      <c r="H1177" s="28" t="s">
        <v>174</v>
      </c>
      <c r="I1177" s="28" t="s">
        <v>174</v>
      </c>
      <c r="J1177" s="30" t="s">
        <v>174</v>
      </c>
      <c r="K1177" s="28" t="s">
        <v>730</v>
      </c>
      <c r="L1177" s="31">
        <v>44166</v>
      </c>
      <c r="M1177" s="28">
        <v>12</v>
      </c>
      <c r="N1177" s="32" t="s">
        <v>176</v>
      </c>
      <c r="O1177" s="28" t="s">
        <v>177</v>
      </c>
      <c r="P1177" s="28" t="s">
        <v>3182</v>
      </c>
      <c r="Q1177" s="28" t="s">
        <v>3176</v>
      </c>
      <c r="R1177" s="28" t="s">
        <v>3177</v>
      </c>
    </row>
    <row r="1178" spans="1:18" hidden="1">
      <c r="A1178" s="28">
        <v>12</v>
      </c>
      <c r="B1178" s="29" t="s">
        <v>195</v>
      </c>
      <c r="C1178" s="29" t="s">
        <v>196</v>
      </c>
      <c r="D1178" s="29" t="s">
        <v>197</v>
      </c>
      <c r="E1178" s="29" t="s">
        <v>172</v>
      </c>
      <c r="F1178" s="28" t="s">
        <v>3156</v>
      </c>
      <c r="G1178" s="28" t="s">
        <v>3156</v>
      </c>
      <c r="H1178" s="28" t="s">
        <v>174</v>
      </c>
      <c r="I1178" s="28" t="s">
        <v>174</v>
      </c>
      <c r="J1178" s="30" t="s">
        <v>174</v>
      </c>
      <c r="K1178" s="28" t="s">
        <v>190</v>
      </c>
      <c r="L1178" s="31">
        <v>44287</v>
      </c>
      <c r="M1178" s="28">
        <v>4</v>
      </c>
      <c r="N1178" s="32" t="s">
        <v>191</v>
      </c>
      <c r="O1178" s="28" t="s">
        <v>185</v>
      </c>
      <c r="P1178" s="28" t="s">
        <v>3183</v>
      </c>
      <c r="Q1178" s="28" t="s">
        <v>2052</v>
      </c>
      <c r="R1178" s="28" t="s">
        <v>2053</v>
      </c>
    </row>
    <row r="1179" spans="1:18" hidden="1">
      <c r="A1179" s="28">
        <v>12</v>
      </c>
      <c r="B1179" s="29" t="s">
        <v>195</v>
      </c>
      <c r="C1179" s="29" t="s">
        <v>202</v>
      </c>
      <c r="D1179" s="29" t="s">
        <v>445</v>
      </c>
      <c r="E1179" s="29" t="s">
        <v>172</v>
      </c>
      <c r="F1179" s="28" t="s">
        <v>3156</v>
      </c>
      <c r="G1179" s="28" t="s">
        <v>3184</v>
      </c>
      <c r="H1179" s="28" t="s">
        <v>174</v>
      </c>
      <c r="I1179" s="28" t="s">
        <v>174</v>
      </c>
      <c r="J1179" s="30" t="s">
        <v>174</v>
      </c>
      <c r="K1179" s="28" t="s">
        <v>670</v>
      </c>
      <c r="L1179" s="31">
        <v>44501</v>
      </c>
      <c r="M1179" s="28">
        <v>11</v>
      </c>
      <c r="N1179" s="32" t="s">
        <v>191</v>
      </c>
      <c r="O1179" s="28" t="s">
        <v>204</v>
      </c>
      <c r="P1179" s="28" t="s">
        <v>3185</v>
      </c>
      <c r="Q1179" s="28" t="s">
        <v>3186</v>
      </c>
      <c r="R1179" s="28" t="s">
        <v>3187</v>
      </c>
    </row>
    <row r="1180" spans="1:18" hidden="1">
      <c r="A1180" s="28">
        <v>12</v>
      </c>
      <c r="B1180" s="29" t="s">
        <v>195</v>
      </c>
      <c r="C1180" s="29" t="s">
        <v>202</v>
      </c>
      <c r="D1180" s="29" t="s">
        <v>445</v>
      </c>
      <c r="E1180" s="29" t="s">
        <v>172</v>
      </c>
      <c r="F1180" s="28" t="s">
        <v>3156</v>
      </c>
      <c r="G1180" s="28" t="s">
        <v>3156</v>
      </c>
      <c r="H1180" s="28" t="s">
        <v>174</v>
      </c>
      <c r="I1180" s="28" t="s">
        <v>174</v>
      </c>
      <c r="J1180" s="30" t="s">
        <v>174</v>
      </c>
      <c r="K1180" s="28" t="s">
        <v>2131</v>
      </c>
      <c r="L1180" s="31">
        <v>44531</v>
      </c>
      <c r="M1180" s="28">
        <v>12</v>
      </c>
      <c r="N1180" s="32" t="s">
        <v>176</v>
      </c>
      <c r="O1180" s="28" t="s">
        <v>185</v>
      </c>
      <c r="P1180" s="28" t="s">
        <v>3188</v>
      </c>
      <c r="Q1180" s="28" t="s">
        <v>3189</v>
      </c>
      <c r="R1180" s="28" t="s">
        <v>3190</v>
      </c>
    </row>
    <row r="1181" spans="1:18" hidden="1">
      <c r="A1181" s="28">
        <v>12</v>
      </c>
      <c r="B1181" s="29" t="s">
        <v>195</v>
      </c>
      <c r="C1181" s="29" t="s">
        <v>1484</v>
      </c>
      <c r="D1181" s="29" t="s">
        <v>1485</v>
      </c>
      <c r="E1181" s="29" t="s">
        <v>172</v>
      </c>
      <c r="F1181" s="28" t="s">
        <v>3156</v>
      </c>
      <c r="G1181" s="28" t="s">
        <v>3156</v>
      </c>
      <c r="H1181" s="28" t="s">
        <v>174</v>
      </c>
      <c r="I1181" s="28" t="s">
        <v>174</v>
      </c>
      <c r="J1181" s="30" t="s">
        <v>174</v>
      </c>
      <c r="K1181" s="28" t="s">
        <v>391</v>
      </c>
      <c r="L1181" s="31">
        <v>42370</v>
      </c>
      <c r="M1181" s="28">
        <v>1</v>
      </c>
      <c r="N1181" s="32" t="s">
        <v>176</v>
      </c>
      <c r="O1181" s="28" t="s">
        <v>204</v>
      </c>
      <c r="P1181" s="28" t="s">
        <v>3191</v>
      </c>
      <c r="Q1181" s="28" t="s">
        <v>3192</v>
      </c>
      <c r="R1181" s="28" t="s">
        <v>1506</v>
      </c>
    </row>
    <row r="1182" spans="1:18" hidden="1">
      <c r="A1182" s="28">
        <v>12</v>
      </c>
      <c r="B1182" s="29" t="s">
        <v>195</v>
      </c>
      <c r="C1182" s="29" t="s">
        <v>230</v>
      </c>
      <c r="D1182" s="29" t="s">
        <v>231</v>
      </c>
      <c r="E1182" s="29" t="s">
        <v>172</v>
      </c>
      <c r="F1182" s="28" t="s">
        <v>3156</v>
      </c>
      <c r="G1182" s="28" t="s">
        <v>3156</v>
      </c>
      <c r="H1182" s="28" t="s">
        <v>174</v>
      </c>
      <c r="I1182" s="28" t="s">
        <v>174</v>
      </c>
      <c r="J1182" s="30" t="s">
        <v>174</v>
      </c>
      <c r="K1182" s="28" t="s">
        <v>971</v>
      </c>
      <c r="L1182" s="31">
        <v>42979</v>
      </c>
      <c r="M1182" s="28">
        <v>9</v>
      </c>
      <c r="N1182" s="32" t="s">
        <v>191</v>
      </c>
      <c r="O1182" s="28" t="s">
        <v>204</v>
      </c>
      <c r="P1182" s="28" t="s">
        <v>3193</v>
      </c>
      <c r="Q1182" s="28" t="s">
        <v>3194</v>
      </c>
      <c r="R1182" s="28" t="s">
        <v>3195</v>
      </c>
    </row>
    <row r="1183" spans="1:18" hidden="1">
      <c r="A1183" s="28">
        <v>12</v>
      </c>
      <c r="B1183" s="29" t="s">
        <v>195</v>
      </c>
      <c r="C1183" s="29" t="s">
        <v>230</v>
      </c>
      <c r="D1183" s="29" t="s">
        <v>231</v>
      </c>
      <c r="E1183" s="29" t="s">
        <v>172</v>
      </c>
      <c r="F1183" s="28" t="s">
        <v>3156</v>
      </c>
      <c r="G1183" s="28" t="s">
        <v>3184</v>
      </c>
      <c r="H1183" s="28" t="s">
        <v>174</v>
      </c>
      <c r="I1183" s="28" t="s">
        <v>174</v>
      </c>
      <c r="J1183" s="30" t="s">
        <v>174</v>
      </c>
      <c r="K1183" s="28" t="s">
        <v>236</v>
      </c>
      <c r="L1183" s="31">
        <v>43617</v>
      </c>
      <c r="M1183" s="28">
        <v>6</v>
      </c>
      <c r="N1183" s="32" t="s">
        <v>184</v>
      </c>
      <c r="O1183" s="28" t="s">
        <v>204</v>
      </c>
      <c r="P1183" s="28" t="s">
        <v>3196</v>
      </c>
      <c r="Q1183" s="28" t="s">
        <v>482</v>
      </c>
      <c r="R1183" s="28" t="s">
        <v>467</v>
      </c>
    </row>
    <row r="1184" spans="1:18" hidden="1">
      <c r="A1184" s="28">
        <v>12</v>
      </c>
      <c r="B1184" s="29" t="s">
        <v>195</v>
      </c>
      <c r="C1184" s="29" t="s">
        <v>230</v>
      </c>
      <c r="D1184" s="29" t="s">
        <v>231</v>
      </c>
      <c r="E1184" s="29" t="s">
        <v>172</v>
      </c>
      <c r="F1184" s="28" t="s">
        <v>3156</v>
      </c>
      <c r="G1184" s="28" t="s">
        <v>3156</v>
      </c>
      <c r="H1184" s="28" t="s">
        <v>174</v>
      </c>
      <c r="I1184" s="28" t="s">
        <v>174</v>
      </c>
      <c r="J1184" s="30" t="s">
        <v>174</v>
      </c>
      <c r="K1184" s="28" t="s">
        <v>442</v>
      </c>
      <c r="L1184" s="31">
        <v>43647</v>
      </c>
      <c r="M1184" s="28">
        <v>7</v>
      </c>
      <c r="N1184" s="32" t="s">
        <v>184</v>
      </c>
      <c r="O1184" s="28" t="s">
        <v>204</v>
      </c>
      <c r="P1184" s="28" t="s">
        <v>3197</v>
      </c>
      <c r="Q1184" s="28" t="s">
        <v>3198</v>
      </c>
      <c r="R1184" s="28" t="s">
        <v>408</v>
      </c>
    </row>
    <row r="1185" spans="1:18" hidden="1">
      <c r="A1185" s="28">
        <v>12</v>
      </c>
      <c r="B1185" s="29" t="s">
        <v>195</v>
      </c>
      <c r="C1185" s="29" t="s">
        <v>230</v>
      </c>
      <c r="D1185" s="29" t="s">
        <v>231</v>
      </c>
      <c r="E1185" s="29" t="s">
        <v>172</v>
      </c>
      <c r="F1185" s="28" t="s">
        <v>3156</v>
      </c>
      <c r="G1185" s="28" t="s">
        <v>3156</v>
      </c>
      <c r="H1185" s="28" t="s">
        <v>174</v>
      </c>
      <c r="I1185" s="28" t="s">
        <v>174</v>
      </c>
      <c r="J1185" s="30" t="s">
        <v>174</v>
      </c>
      <c r="K1185" s="28" t="s">
        <v>483</v>
      </c>
      <c r="L1185" s="31">
        <v>44197</v>
      </c>
      <c r="M1185" s="28">
        <v>1</v>
      </c>
      <c r="N1185" s="32" t="s">
        <v>176</v>
      </c>
      <c r="O1185" s="28" t="s">
        <v>204</v>
      </c>
      <c r="P1185" s="28" t="s">
        <v>3199</v>
      </c>
      <c r="Q1185" s="28" t="s">
        <v>3198</v>
      </c>
      <c r="R1185" s="28" t="s">
        <v>408</v>
      </c>
    </row>
    <row r="1186" spans="1:18" hidden="1">
      <c r="A1186" s="28">
        <v>2</v>
      </c>
      <c r="B1186" s="29" t="s">
        <v>240</v>
      </c>
      <c r="C1186" s="29" t="s">
        <v>276</v>
      </c>
      <c r="D1186" s="29" t="s">
        <v>536</v>
      </c>
      <c r="E1186" s="29" t="s">
        <v>172</v>
      </c>
      <c r="F1186" s="28" t="s">
        <v>3156</v>
      </c>
      <c r="G1186" s="28" t="s">
        <v>3156</v>
      </c>
      <c r="H1186" s="28" t="s">
        <v>174</v>
      </c>
      <c r="I1186" s="28" t="s">
        <v>174</v>
      </c>
      <c r="J1186" s="30" t="s">
        <v>174</v>
      </c>
      <c r="K1186" s="28" t="s">
        <v>271</v>
      </c>
      <c r="L1186" s="31">
        <v>42856</v>
      </c>
      <c r="M1186" s="28">
        <v>5</v>
      </c>
      <c r="N1186" s="32" t="s">
        <v>191</v>
      </c>
      <c r="O1186" s="28" t="s">
        <v>794</v>
      </c>
      <c r="P1186" s="28" t="s">
        <v>3200</v>
      </c>
      <c r="Q1186" s="28" t="s">
        <v>3201</v>
      </c>
      <c r="R1186" s="28" t="s">
        <v>3202</v>
      </c>
    </row>
    <row r="1187" spans="1:18" hidden="1">
      <c r="A1187" s="28">
        <v>4</v>
      </c>
      <c r="B1187" s="29" t="s">
        <v>306</v>
      </c>
      <c r="C1187" s="29" t="s">
        <v>307</v>
      </c>
      <c r="D1187" s="29" t="s">
        <v>308</v>
      </c>
      <c r="E1187" s="29" t="s">
        <v>172</v>
      </c>
      <c r="F1187" s="28" t="s">
        <v>3156</v>
      </c>
      <c r="G1187" s="28" t="s">
        <v>3156</v>
      </c>
      <c r="H1187" s="28" t="s">
        <v>174</v>
      </c>
      <c r="I1187" s="28" t="s">
        <v>174</v>
      </c>
      <c r="J1187" s="30" t="s">
        <v>174</v>
      </c>
      <c r="K1187" s="28" t="s">
        <v>243</v>
      </c>
      <c r="L1187" s="31">
        <v>42461</v>
      </c>
      <c r="M1187" s="28">
        <v>4</v>
      </c>
      <c r="N1187" s="32" t="s">
        <v>191</v>
      </c>
      <c r="O1187" s="28" t="s">
        <v>204</v>
      </c>
      <c r="P1187" s="28" t="s">
        <v>3203</v>
      </c>
      <c r="Q1187" s="28" t="s">
        <v>3204</v>
      </c>
      <c r="R1187" s="28" t="s">
        <v>3205</v>
      </c>
    </row>
    <row r="1188" spans="1:18" hidden="1">
      <c r="A1188" s="28">
        <v>4</v>
      </c>
      <c r="B1188" s="29" t="s">
        <v>306</v>
      </c>
      <c r="C1188" s="29" t="s">
        <v>307</v>
      </c>
      <c r="D1188" s="29" t="s">
        <v>308</v>
      </c>
      <c r="E1188" s="29" t="s">
        <v>172</v>
      </c>
      <c r="F1188" s="28" t="s">
        <v>3156</v>
      </c>
      <c r="G1188" s="28" t="s">
        <v>3156</v>
      </c>
      <c r="H1188" s="28" t="s">
        <v>174</v>
      </c>
      <c r="I1188" s="28" t="s">
        <v>174</v>
      </c>
      <c r="J1188" s="30" t="s">
        <v>174</v>
      </c>
      <c r="K1188" s="28" t="s">
        <v>522</v>
      </c>
      <c r="L1188" s="31">
        <v>44256</v>
      </c>
      <c r="M1188" s="28">
        <v>3</v>
      </c>
      <c r="N1188" s="32" t="s">
        <v>191</v>
      </c>
      <c r="O1188" s="28" t="s">
        <v>204</v>
      </c>
      <c r="P1188" s="28" t="s">
        <v>3206</v>
      </c>
      <c r="Q1188" s="28" t="s">
        <v>3207</v>
      </c>
      <c r="R1188" s="28" t="s">
        <v>3205</v>
      </c>
    </row>
    <row r="1189" spans="1:18" hidden="1">
      <c r="A1189" s="28">
        <v>4</v>
      </c>
      <c r="B1189" s="29" t="s">
        <v>306</v>
      </c>
      <c r="C1189" s="29" t="s">
        <v>312</v>
      </c>
      <c r="D1189" s="29" t="s">
        <v>313</v>
      </c>
      <c r="E1189" s="29" t="s">
        <v>172</v>
      </c>
      <c r="F1189" s="28" t="s">
        <v>3156</v>
      </c>
      <c r="G1189" s="28" t="s">
        <v>3156</v>
      </c>
      <c r="H1189" s="28" t="s">
        <v>174</v>
      </c>
      <c r="I1189" s="28" t="s">
        <v>174</v>
      </c>
      <c r="J1189" s="30" t="s">
        <v>174</v>
      </c>
      <c r="K1189" s="28" t="s">
        <v>646</v>
      </c>
      <c r="L1189" s="31">
        <v>44075</v>
      </c>
      <c r="M1189" s="28">
        <v>9</v>
      </c>
      <c r="N1189" s="32" t="s">
        <v>191</v>
      </c>
      <c r="O1189" s="28" t="s">
        <v>177</v>
      </c>
      <c r="P1189" s="28" t="s">
        <v>3208</v>
      </c>
      <c r="Q1189" s="28" t="s">
        <v>3209</v>
      </c>
      <c r="R1189" s="28" t="s">
        <v>3210</v>
      </c>
    </row>
    <row r="1190" spans="1:18" hidden="1">
      <c r="A1190" s="28">
        <v>4</v>
      </c>
      <c r="B1190" s="29" t="s">
        <v>306</v>
      </c>
      <c r="C1190" s="29" t="s">
        <v>624</v>
      </c>
      <c r="D1190" s="29" t="s">
        <v>630</v>
      </c>
      <c r="E1190" s="29" t="s">
        <v>172</v>
      </c>
      <c r="F1190" s="28" t="s">
        <v>3156</v>
      </c>
      <c r="G1190" s="28" t="s">
        <v>3156</v>
      </c>
      <c r="H1190" s="28" t="s">
        <v>174</v>
      </c>
      <c r="I1190" s="28" t="s">
        <v>174</v>
      </c>
      <c r="J1190" s="30" t="s">
        <v>174</v>
      </c>
      <c r="K1190" s="28" t="s">
        <v>257</v>
      </c>
      <c r="L1190" s="31">
        <v>42552</v>
      </c>
      <c r="M1190" s="28">
        <v>7</v>
      </c>
      <c r="N1190" s="32" t="s">
        <v>184</v>
      </c>
      <c r="O1190" s="28" t="s">
        <v>204</v>
      </c>
      <c r="P1190" s="28" t="s">
        <v>3211</v>
      </c>
      <c r="Q1190" s="28" t="s">
        <v>3212</v>
      </c>
      <c r="R1190" s="28" t="s">
        <v>3213</v>
      </c>
    </row>
    <row r="1191" spans="1:18" hidden="1">
      <c r="A1191" s="28">
        <v>4</v>
      </c>
      <c r="B1191" s="29" t="s">
        <v>306</v>
      </c>
      <c r="C1191" s="29" t="s">
        <v>624</v>
      </c>
      <c r="D1191" s="29" t="s">
        <v>630</v>
      </c>
      <c r="E1191" s="29" t="s">
        <v>172</v>
      </c>
      <c r="F1191" s="28" t="s">
        <v>3156</v>
      </c>
      <c r="G1191" s="28" t="s">
        <v>3156</v>
      </c>
      <c r="H1191" s="28" t="s">
        <v>174</v>
      </c>
      <c r="I1191" s="28" t="s">
        <v>174</v>
      </c>
      <c r="J1191" s="30" t="s">
        <v>174</v>
      </c>
      <c r="K1191" s="28" t="s">
        <v>504</v>
      </c>
      <c r="L1191" s="31">
        <v>43922</v>
      </c>
      <c r="M1191" s="28">
        <v>4</v>
      </c>
      <c r="N1191" s="32" t="s">
        <v>191</v>
      </c>
      <c r="O1191" s="28" t="s">
        <v>204</v>
      </c>
      <c r="P1191" s="28" t="s">
        <v>3214</v>
      </c>
      <c r="Q1191" s="28" t="s">
        <v>3215</v>
      </c>
      <c r="R1191" s="28" t="s">
        <v>3216</v>
      </c>
    </row>
    <row r="1192" spans="1:18" hidden="1">
      <c r="A1192" s="28">
        <v>4</v>
      </c>
      <c r="B1192" s="29" t="s">
        <v>306</v>
      </c>
      <c r="C1192" s="29" t="s">
        <v>318</v>
      </c>
      <c r="D1192" s="29" t="s">
        <v>323</v>
      </c>
      <c r="E1192" s="29" t="s">
        <v>172</v>
      </c>
      <c r="F1192" s="28" t="s">
        <v>3156</v>
      </c>
      <c r="G1192" s="28" t="s">
        <v>3156</v>
      </c>
      <c r="H1192" s="28" t="s">
        <v>174</v>
      </c>
      <c r="I1192" s="28" t="s">
        <v>174</v>
      </c>
      <c r="J1192" s="30" t="s">
        <v>174</v>
      </c>
      <c r="K1192" s="28" t="s">
        <v>483</v>
      </c>
      <c r="L1192" s="31">
        <v>44197</v>
      </c>
      <c r="M1192" s="28">
        <v>1</v>
      </c>
      <c r="N1192" s="32" t="s">
        <v>176</v>
      </c>
      <c r="O1192" s="28" t="s">
        <v>204</v>
      </c>
      <c r="P1192" s="28" t="s">
        <v>3217</v>
      </c>
      <c r="Q1192" s="28" t="s">
        <v>3218</v>
      </c>
      <c r="R1192" s="28" t="s">
        <v>3219</v>
      </c>
    </row>
    <row r="1193" spans="1:18" hidden="1">
      <c r="A1193" s="28">
        <v>4</v>
      </c>
      <c r="B1193" s="29" t="s">
        <v>306</v>
      </c>
      <c r="C1193" s="29" t="s">
        <v>333</v>
      </c>
      <c r="D1193" s="29" t="s">
        <v>673</v>
      </c>
      <c r="E1193" s="29" t="s">
        <v>172</v>
      </c>
      <c r="F1193" s="28" t="s">
        <v>3156</v>
      </c>
      <c r="G1193" s="28" t="s">
        <v>3184</v>
      </c>
      <c r="H1193" s="28" t="s">
        <v>174</v>
      </c>
      <c r="I1193" s="28" t="s">
        <v>174</v>
      </c>
      <c r="J1193" s="30" t="s">
        <v>174</v>
      </c>
      <c r="K1193" s="28" t="s">
        <v>424</v>
      </c>
      <c r="L1193" s="31">
        <v>43678</v>
      </c>
      <c r="M1193" s="28">
        <v>8</v>
      </c>
      <c r="N1193" s="32" t="s">
        <v>184</v>
      </c>
      <c r="O1193" s="28" t="s">
        <v>204</v>
      </c>
      <c r="P1193" s="28" t="s">
        <v>3220</v>
      </c>
      <c r="Q1193" s="28" t="s">
        <v>3221</v>
      </c>
      <c r="R1193" s="28" t="s">
        <v>3222</v>
      </c>
    </row>
    <row r="1194" spans="1:18" hidden="1">
      <c r="A1194" s="28">
        <v>4</v>
      </c>
      <c r="B1194" s="29" t="s">
        <v>306</v>
      </c>
      <c r="C1194" s="29" t="s">
        <v>339</v>
      </c>
      <c r="D1194" s="29" t="s">
        <v>340</v>
      </c>
      <c r="E1194" s="29" t="s">
        <v>172</v>
      </c>
      <c r="F1194" s="28" t="s">
        <v>3156</v>
      </c>
      <c r="G1194" s="28" t="s">
        <v>3156</v>
      </c>
      <c r="H1194" s="28" t="s">
        <v>174</v>
      </c>
      <c r="I1194" s="28" t="s">
        <v>174</v>
      </c>
      <c r="J1194" s="30" t="s">
        <v>174</v>
      </c>
      <c r="K1194" s="28" t="s">
        <v>501</v>
      </c>
      <c r="L1194" s="31">
        <v>43405</v>
      </c>
      <c r="M1194" s="28">
        <v>11</v>
      </c>
      <c r="N1194" s="32" t="s">
        <v>191</v>
      </c>
      <c r="O1194" s="28" t="s">
        <v>204</v>
      </c>
      <c r="P1194" s="28" t="s">
        <v>3223</v>
      </c>
      <c r="Q1194" s="28" t="s">
        <v>3224</v>
      </c>
      <c r="R1194" s="28" t="s">
        <v>690</v>
      </c>
    </row>
    <row r="1195" spans="1:18" hidden="1">
      <c r="A1195" s="28">
        <v>4</v>
      </c>
      <c r="B1195" s="29" t="s">
        <v>306</v>
      </c>
      <c r="C1195" s="29" t="s">
        <v>339</v>
      </c>
      <c r="D1195" s="29" t="s">
        <v>340</v>
      </c>
      <c r="E1195" s="29" t="s">
        <v>172</v>
      </c>
      <c r="F1195" s="28" t="s">
        <v>3156</v>
      </c>
      <c r="G1195" s="28" t="s">
        <v>3156</v>
      </c>
      <c r="H1195" s="28" t="s">
        <v>174</v>
      </c>
      <c r="I1195" s="28" t="s">
        <v>174</v>
      </c>
      <c r="J1195" s="30" t="s">
        <v>174</v>
      </c>
      <c r="K1195" s="28" t="s">
        <v>324</v>
      </c>
      <c r="L1195" s="31">
        <v>43862</v>
      </c>
      <c r="M1195" s="28">
        <v>2</v>
      </c>
      <c r="N1195" s="32" t="s">
        <v>176</v>
      </c>
      <c r="O1195" s="28" t="s">
        <v>204</v>
      </c>
      <c r="P1195" s="28" t="s">
        <v>3225</v>
      </c>
      <c r="Q1195" s="28" t="s">
        <v>3226</v>
      </c>
      <c r="R1195" s="28" t="s">
        <v>690</v>
      </c>
    </row>
    <row r="1196" spans="1:18" hidden="1">
      <c r="A1196" s="28">
        <v>4</v>
      </c>
      <c r="B1196" s="29" t="s">
        <v>306</v>
      </c>
      <c r="C1196" s="29" t="s">
        <v>339</v>
      </c>
      <c r="D1196" s="29" t="s">
        <v>340</v>
      </c>
      <c r="E1196" s="29" t="s">
        <v>172</v>
      </c>
      <c r="F1196" s="28" t="s">
        <v>3156</v>
      </c>
      <c r="G1196" s="28" t="s">
        <v>3156</v>
      </c>
      <c r="H1196" s="28" t="s">
        <v>174</v>
      </c>
      <c r="I1196" s="28" t="s">
        <v>174</v>
      </c>
      <c r="J1196" s="30" t="s">
        <v>174</v>
      </c>
      <c r="K1196" s="28" t="s">
        <v>643</v>
      </c>
      <c r="L1196" s="31">
        <v>44013</v>
      </c>
      <c r="M1196" s="28">
        <v>7</v>
      </c>
      <c r="N1196" s="32" t="s">
        <v>184</v>
      </c>
      <c r="O1196" s="28" t="s">
        <v>204</v>
      </c>
      <c r="P1196" s="28" t="s">
        <v>3227</v>
      </c>
      <c r="Q1196" s="28" t="s">
        <v>3228</v>
      </c>
      <c r="R1196" s="28" t="s">
        <v>690</v>
      </c>
    </row>
    <row r="1197" spans="1:18" hidden="1">
      <c r="A1197" s="28">
        <v>5</v>
      </c>
      <c r="B1197" s="29" t="s">
        <v>349</v>
      </c>
      <c r="C1197" s="29" t="s">
        <v>350</v>
      </c>
      <c r="D1197" s="29" t="s">
        <v>716</v>
      </c>
      <c r="E1197" s="29" t="s">
        <v>172</v>
      </c>
      <c r="F1197" s="28" t="s">
        <v>3156</v>
      </c>
      <c r="G1197" s="28" t="s">
        <v>3156</v>
      </c>
      <c r="H1197" s="28" t="s">
        <v>174</v>
      </c>
      <c r="I1197" s="28" t="s">
        <v>174</v>
      </c>
      <c r="J1197" s="30" t="s">
        <v>174</v>
      </c>
      <c r="K1197" s="28" t="s">
        <v>730</v>
      </c>
      <c r="L1197" s="31">
        <v>44166</v>
      </c>
      <c r="M1197" s="28">
        <v>12</v>
      </c>
      <c r="N1197" s="32" t="s">
        <v>176</v>
      </c>
      <c r="O1197" s="28" t="s">
        <v>204</v>
      </c>
      <c r="P1197" s="28" t="s">
        <v>3229</v>
      </c>
      <c r="Q1197" s="28" t="s">
        <v>3014</v>
      </c>
      <c r="R1197" s="28" t="s">
        <v>3015</v>
      </c>
    </row>
    <row r="1198" spans="1:18" hidden="1">
      <c r="A1198" s="28">
        <v>5</v>
      </c>
      <c r="B1198" s="29" t="s">
        <v>349</v>
      </c>
      <c r="C1198" s="29" t="s">
        <v>350</v>
      </c>
      <c r="D1198" s="29" t="s">
        <v>725</v>
      </c>
      <c r="E1198" s="29" t="s">
        <v>172</v>
      </c>
      <c r="F1198" s="28" t="s">
        <v>3156</v>
      </c>
      <c r="G1198" s="28" t="s">
        <v>3156</v>
      </c>
      <c r="H1198" s="28" t="s">
        <v>174</v>
      </c>
      <c r="I1198" s="28" t="s">
        <v>174</v>
      </c>
      <c r="J1198" s="30" t="s">
        <v>174</v>
      </c>
      <c r="K1198" s="28" t="s">
        <v>424</v>
      </c>
      <c r="L1198" s="31">
        <v>43678</v>
      </c>
      <c r="M1198" s="28">
        <v>8</v>
      </c>
      <c r="N1198" s="32" t="s">
        <v>184</v>
      </c>
      <c r="O1198" s="28" t="s">
        <v>204</v>
      </c>
      <c r="P1198" s="28" t="s">
        <v>3230</v>
      </c>
      <c r="Q1198" s="28" t="s">
        <v>3231</v>
      </c>
      <c r="R1198" s="28" t="s">
        <v>3232</v>
      </c>
    </row>
    <row r="1199" spans="1:18" hidden="1">
      <c r="A1199" s="28">
        <v>5</v>
      </c>
      <c r="B1199" s="29" t="s">
        <v>349</v>
      </c>
      <c r="C1199" s="29" t="s">
        <v>350</v>
      </c>
      <c r="D1199" s="29" t="s">
        <v>351</v>
      </c>
      <c r="E1199" s="29" t="s">
        <v>172</v>
      </c>
      <c r="F1199" s="28" t="s">
        <v>3156</v>
      </c>
      <c r="G1199" s="28" t="s">
        <v>3156</v>
      </c>
      <c r="H1199" s="28" t="s">
        <v>174</v>
      </c>
      <c r="I1199" s="28" t="s">
        <v>174</v>
      </c>
      <c r="J1199" s="30" t="s">
        <v>174</v>
      </c>
      <c r="K1199" s="28" t="s">
        <v>289</v>
      </c>
      <c r="L1199" s="31">
        <v>42795</v>
      </c>
      <c r="M1199" s="28">
        <v>3</v>
      </c>
      <c r="N1199" s="32" t="s">
        <v>191</v>
      </c>
      <c r="O1199" s="28" t="s">
        <v>204</v>
      </c>
      <c r="P1199" s="28" t="s">
        <v>3233</v>
      </c>
      <c r="Q1199" s="28" t="s">
        <v>2554</v>
      </c>
      <c r="R1199" s="28" t="s">
        <v>2555</v>
      </c>
    </row>
    <row r="1200" spans="1:18" hidden="1">
      <c r="A1200" s="28">
        <v>5</v>
      </c>
      <c r="B1200" s="29" t="s">
        <v>349</v>
      </c>
      <c r="C1200" s="29" t="s">
        <v>355</v>
      </c>
      <c r="D1200" s="29" t="s">
        <v>356</v>
      </c>
      <c r="E1200" s="29" t="s">
        <v>172</v>
      </c>
      <c r="F1200" s="28" t="s">
        <v>3156</v>
      </c>
      <c r="G1200" s="28" t="s">
        <v>3156</v>
      </c>
      <c r="H1200" s="28" t="s">
        <v>174</v>
      </c>
      <c r="I1200" s="28" t="s">
        <v>174</v>
      </c>
      <c r="J1200" s="30" t="s">
        <v>174</v>
      </c>
      <c r="K1200" s="28" t="s">
        <v>483</v>
      </c>
      <c r="L1200" s="31">
        <v>44197</v>
      </c>
      <c r="M1200" s="28">
        <v>1</v>
      </c>
      <c r="N1200" s="32" t="s">
        <v>176</v>
      </c>
      <c r="O1200" s="28" t="s">
        <v>204</v>
      </c>
      <c r="P1200" s="28" t="s">
        <v>3234</v>
      </c>
      <c r="Q1200" s="28" t="s">
        <v>3235</v>
      </c>
      <c r="R1200" s="28" t="s">
        <v>3236</v>
      </c>
    </row>
    <row r="1201" spans="1:18" hidden="1">
      <c r="A1201" s="28">
        <v>5</v>
      </c>
      <c r="B1201" s="29" t="s">
        <v>349</v>
      </c>
      <c r="C1201" s="29" t="s">
        <v>355</v>
      </c>
      <c r="D1201" s="29" t="s">
        <v>360</v>
      </c>
      <c r="E1201" s="29" t="s">
        <v>172</v>
      </c>
      <c r="F1201" s="28" t="s">
        <v>3156</v>
      </c>
      <c r="G1201" s="28" t="s">
        <v>3156</v>
      </c>
      <c r="H1201" s="28" t="s">
        <v>174</v>
      </c>
      <c r="I1201" s="28" t="s">
        <v>174</v>
      </c>
      <c r="J1201" s="30" t="s">
        <v>174</v>
      </c>
      <c r="K1201" s="28" t="s">
        <v>243</v>
      </c>
      <c r="L1201" s="31">
        <v>42461</v>
      </c>
      <c r="M1201" s="28">
        <v>4</v>
      </c>
      <c r="N1201" s="32" t="s">
        <v>191</v>
      </c>
      <c r="O1201" s="28" t="s">
        <v>329</v>
      </c>
      <c r="P1201" s="28" t="s">
        <v>3237</v>
      </c>
      <c r="Q1201" s="28" t="s">
        <v>3238</v>
      </c>
      <c r="R1201" s="28" t="s">
        <v>3239</v>
      </c>
    </row>
    <row r="1202" spans="1:18" hidden="1">
      <c r="A1202" s="28">
        <v>5</v>
      </c>
      <c r="B1202" s="29" t="s">
        <v>349</v>
      </c>
      <c r="C1202" s="29" t="s">
        <v>355</v>
      </c>
      <c r="D1202" s="29" t="s">
        <v>360</v>
      </c>
      <c r="E1202" s="29" t="s">
        <v>172</v>
      </c>
      <c r="F1202" s="28" t="s">
        <v>3156</v>
      </c>
      <c r="G1202" s="28" t="s">
        <v>3156</v>
      </c>
      <c r="H1202" s="28" t="s">
        <v>174</v>
      </c>
      <c r="I1202" s="28" t="s">
        <v>174</v>
      </c>
      <c r="J1202" s="30" t="s">
        <v>174</v>
      </c>
      <c r="K1202" s="28" t="s">
        <v>198</v>
      </c>
      <c r="L1202" s="31">
        <v>42767</v>
      </c>
      <c r="M1202" s="28">
        <v>2</v>
      </c>
      <c r="N1202" s="32" t="s">
        <v>176</v>
      </c>
      <c r="O1202" s="28" t="s">
        <v>185</v>
      </c>
      <c r="P1202" s="28" t="s">
        <v>3240</v>
      </c>
      <c r="Q1202" s="28" t="s">
        <v>3241</v>
      </c>
      <c r="R1202" s="28" t="s">
        <v>3242</v>
      </c>
    </row>
    <row r="1203" spans="1:18" hidden="1">
      <c r="A1203" s="28">
        <v>5</v>
      </c>
      <c r="B1203" s="29" t="s">
        <v>349</v>
      </c>
      <c r="C1203" s="29" t="s">
        <v>355</v>
      </c>
      <c r="D1203" s="29" t="s">
        <v>360</v>
      </c>
      <c r="E1203" s="29" t="s">
        <v>172</v>
      </c>
      <c r="F1203" s="28" t="s">
        <v>3156</v>
      </c>
      <c r="G1203" s="28" t="s">
        <v>3156</v>
      </c>
      <c r="H1203" s="28" t="s">
        <v>174</v>
      </c>
      <c r="I1203" s="28" t="s">
        <v>174</v>
      </c>
      <c r="J1203" s="30" t="s">
        <v>174</v>
      </c>
      <c r="K1203" s="28" t="s">
        <v>496</v>
      </c>
      <c r="L1203" s="31">
        <v>42917</v>
      </c>
      <c r="M1203" s="28">
        <v>7</v>
      </c>
      <c r="N1203" s="32" t="s">
        <v>184</v>
      </c>
      <c r="O1203" s="28" t="s">
        <v>204</v>
      </c>
      <c r="P1203" s="28" t="s">
        <v>3243</v>
      </c>
      <c r="Q1203" s="28" t="s">
        <v>3244</v>
      </c>
      <c r="R1203" s="28" t="s">
        <v>3245</v>
      </c>
    </row>
    <row r="1204" spans="1:18" hidden="1">
      <c r="A1204" s="28">
        <v>5</v>
      </c>
      <c r="B1204" s="29" t="s">
        <v>349</v>
      </c>
      <c r="C1204" s="29" t="s">
        <v>355</v>
      </c>
      <c r="D1204" s="29" t="s">
        <v>360</v>
      </c>
      <c r="E1204" s="29" t="s">
        <v>172</v>
      </c>
      <c r="F1204" s="28" t="s">
        <v>3156</v>
      </c>
      <c r="G1204" s="28" t="s">
        <v>3156</v>
      </c>
      <c r="H1204" s="28" t="s">
        <v>174</v>
      </c>
      <c r="I1204" s="28" t="s">
        <v>174</v>
      </c>
      <c r="J1204" s="30" t="s">
        <v>174</v>
      </c>
      <c r="K1204" s="28" t="s">
        <v>473</v>
      </c>
      <c r="L1204" s="31">
        <v>43160</v>
      </c>
      <c r="M1204" s="28">
        <v>3</v>
      </c>
      <c r="N1204" s="32" t="s">
        <v>191</v>
      </c>
      <c r="O1204" s="28" t="s">
        <v>204</v>
      </c>
      <c r="P1204" s="28" t="s">
        <v>3246</v>
      </c>
      <c r="Q1204" s="28" t="s">
        <v>3247</v>
      </c>
      <c r="R1204" s="28" t="s">
        <v>3248</v>
      </c>
    </row>
    <row r="1205" spans="1:18" hidden="1">
      <c r="A1205" s="28">
        <v>5</v>
      </c>
      <c r="B1205" s="29" t="s">
        <v>349</v>
      </c>
      <c r="C1205" s="29" t="s">
        <v>355</v>
      </c>
      <c r="D1205" s="29" t="s">
        <v>360</v>
      </c>
      <c r="E1205" s="29" t="s">
        <v>172</v>
      </c>
      <c r="F1205" s="28" t="s">
        <v>3156</v>
      </c>
      <c r="G1205" s="28" t="s">
        <v>3156</v>
      </c>
      <c r="H1205" s="28" t="s">
        <v>174</v>
      </c>
      <c r="I1205" s="28" t="s">
        <v>174</v>
      </c>
      <c r="J1205" s="30" t="s">
        <v>174</v>
      </c>
      <c r="K1205" s="28" t="s">
        <v>520</v>
      </c>
      <c r="L1205" s="31">
        <v>43800</v>
      </c>
      <c r="M1205" s="28">
        <v>12</v>
      </c>
      <c r="N1205" s="32" t="s">
        <v>176</v>
      </c>
      <c r="O1205" s="28" t="s">
        <v>185</v>
      </c>
      <c r="P1205" s="28" t="s">
        <v>3249</v>
      </c>
      <c r="Q1205" s="28" t="s">
        <v>3250</v>
      </c>
      <c r="R1205" s="28" t="s">
        <v>3251</v>
      </c>
    </row>
    <row r="1206" spans="1:18" hidden="1">
      <c r="A1206" s="28">
        <v>5</v>
      </c>
      <c r="B1206" s="29" t="s">
        <v>349</v>
      </c>
      <c r="C1206" s="29" t="s">
        <v>355</v>
      </c>
      <c r="D1206" s="29" t="s">
        <v>360</v>
      </c>
      <c r="E1206" s="29" t="s">
        <v>172</v>
      </c>
      <c r="F1206" s="28" t="s">
        <v>3156</v>
      </c>
      <c r="G1206" s="28" t="s">
        <v>3156</v>
      </c>
      <c r="H1206" s="28" t="s">
        <v>174</v>
      </c>
      <c r="I1206" s="28" t="s">
        <v>174</v>
      </c>
      <c r="J1206" s="30" t="s">
        <v>174</v>
      </c>
      <c r="K1206" s="28" t="s">
        <v>328</v>
      </c>
      <c r="L1206" s="31">
        <v>43891</v>
      </c>
      <c r="M1206" s="28">
        <v>3</v>
      </c>
      <c r="N1206" s="32" t="s">
        <v>191</v>
      </c>
      <c r="O1206" s="28" t="s">
        <v>204</v>
      </c>
      <c r="P1206" s="28" t="s">
        <v>3252</v>
      </c>
      <c r="Q1206" s="28" t="s">
        <v>3253</v>
      </c>
      <c r="R1206" s="28" t="s">
        <v>3254</v>
      </c>
    </row>
    <row r="1207" spans="1:18" hidden="1">
      <c r="A1207" s="28">
        <v>5</v>
      </c>
      <c r="B1207" s="29" t="s">
        <v>349</v>
      </c>
      <c r="C1207" s="29" t="s">
        <v>355</v>
      </c>
      <c r="D1207" s="29" t="s">
        <v>360</v>
      </c>
      <c r="E1207" s="29" t="s">
        <v>172</v>
      </c>
      <c r="F1207" s="28" t="s">
        <v>3156</v>
      </c>
      <c r="G1207" s="28" t="s">
        <v>3156</v>
      </c>
      <c r="H1207" s="28" t="s">
        <v>174</v>
      </c>
      <c r="I1207" s="28" t="s">
        <v>174</v>
      </c>
      <c r="J1207" s="30" t="s">
        <v>174</v>
      </c>
      <c r="K1207" s="28" t="s">
        <v>646</v>
      </c>
      <c r="L1207" s="31">
        <v>44075</v>
      </c>
      <c r="M1207" s="28">
        <v>9</v>
      </c>
      <c r="N1207" s="32" t="s">
        <v>191</v>
      </c>
      <c r="O1207" s="28" t="s">
        <v>204</v>
      </c>
      <c r="P1207" s="28" t="s">
        <v>3255</v>
      </c>
      <c r="Q1207" s="28" t="s">
        <v>3244</v>
      </c>
      <c r="R1207" s="28" t="s">
        <v>3245</v>
      </c>
    </row>
    <row r="1208" spans="1:18" hidden="1">
      <c r="A1208" s="28">
        <v>5</v>
      </c>
      <c r="B1208" s="29" t="s">
        <v>349</v>
      </c>
      <c r="C1208" s="29" t="s">
        <v>355</v>
      </c>
      <c r="D1208" s="29" t="s">
        <v>360</v>
      </c>
      <c r="E1208" s="29" t="s">
        <v>172</v>
      </c>
      <c r="F1208" s="28" t="s">
        <v>3156</v>
      </c>
      <c r="G1208" s="28" t="s">
        <v>3184</v>
      </c>
      <c r="H1208" s="28" t="s">
        <v>174</v>
      </c>
      <c r="I1208" s="28" t="s">
        <v>174</v>
      </c>
      <c r="J1208" s="30" t="s">
        <v>174</v>
      </c>
      <c r="K1208" s="28" t="s">
        <v>341</v>
      </c>
      <c r="L1208" s="31">
        <v>44228</v>
      </c>
      <c r="M1208" s="28">
        <v>2</v>
      </c>
      <c r="N1208" s="32" t="s">
        <v>176</v>
      </c>
      <c r="O1208" s="28" t="s">
        <v>204</v>
      </c>
      <c r="P1208" s="28" t="s">
        <v>3256</v>
      </c>
      <c r="Q1208" s="28" t="s">
        <v>3257</v>
      </c>
      <c r="R1208" s="28" t="s">
        <v>3062</v>
      </c>
    </row>
    <row r="1209" spans="1:18" hidden="1">
      <c r="A1209" s="28">
        <v>6</v>
      </c>
      <c r="B1209" s="29" t="s">
        <v>365</v>
      </c>
      <c r="C1209" s="29" t="s">
        <v>366</v>
      </c>
      <c r="D1209" s="29" t="s">
        <v>367</v>
      </c>
      <c r="E1209" s="29" t="s">
        <v>172</v>
      </c>
      <c r="F1209" s="28" t="s">
        <v>3156</v>
      </c>
      <c r="G1209" s="28" t="s">
        <v>3156</v>
      </c>
      <c r="H1209" s="28" t="s">
        <v>174</v>
      </c>
      <c r="I1209" s="28" t="s">
        <v>174</v>
      </c>
      <c r="J1209" s="30" t="s">
        <v>174</v>
      </c>
      <c r="K1209" s="28" t="s">
        <v>475</v>
      </c>
      <c r="L1209" s="31">
        <v>43191</v>
      </c>
      <c r="M1209" s="28">
        <v>4</v>
      </c>
      <c r="N1209" s="32" t="s">
        <v>191</v>
      </c>
      <c r="O1209" s="28" t="s">
        <v>185</v>
      </c>
      <c r="P1209" s="28" t="s">
        <v>3258</v>
      </c>
      <c r="Q1209" s="28" t="s">
        <v>3259</v>
      </c>
      <c r="R1209" s="28" t="s">
        <v>3260</v>
      </c>
    </row>
    <row r="1210" spans="1:18" hidden="1">
      <c r="A1210" s="28">
        <v>7</v>
      </c>
      <c r="B1210" s="29" t="s">
        <v>776</v>
      </c>
      <c r="C1210" s="29" t="s">
        <v>777</v>
      </c>
      <c r="D1210" s="29" t="s">
        <v>1914</v>
      </c>
      <c r="E1210" s="29" t="s">
        <v>172</v>
      </c>
      <c r="F1210" s="28" t="s">
        <v>3156</v>
      </c>
      <c r="G1210" s="28" t="s">
        <v>3156</v>
      </c>
      <c r="H1210" s="28" t="s">
        <v>174</v>
      </c>
      <c r="I1210" s="28" t="s">
        <v>174</v>
      </c>
      <c r="J1210" s="30" t="s">
        <v>174</v>
      </c>
      <c r="K1210" s="28" t="s">
        <v>813</v>
      </c>
      <c r="L1210" s="31">
        <v>43009</v>
      </c>
      <c r="M1210" s="28">
        <v>10</v>
      </c>
      <c r="N1210" s="32" t="s">
        <v>191</v>
      </c>
      <c r="O1210" s="28" t="s">
        <v>185</v>
      </c>
      <c r="P1210" s="28" t="s">
        <v>3261</v>
      </c>
      <c r="Q1210" s="28" t="s">
        <v>3262</v>
      </c>
      <c r="R1210" s="28" t="s">
        <v>1884</v>
      </c>
    </row>
    <row r="1211" spans="1:18" hidden="1">
      <c r="A1211" s="28">
        <v>7</v>
      </c>
      <c r="B1211" s="29" t="s">
        <v>776</v>
      </c>
      <c r="C1211" s="29" t="s">
        <v>1946</v>
      </c>
      <c r="D1211" s="29" t="s">
        <v>1947</v>
      </c>
      <c r="E1211" s="29" t="s">
        <v>172</v>
      </c>
      <c r="F1211" s="28" t="s">
        <v>3156</v>
      </c>
      <c r="G1211" s="28" t="s">
        <v>3156</v>
      </c>
      <c r="H1211" s="28" t="s">
        <v>174</v>
      </c>
      <c r="I1211" s="28" t="s">
        <v>174</v>
      </c>
      <c r="J1211" s="30" t="s">
        <v>174</v>
      </c>
      <c r="K1211" s="28" t="s">
        <v>844</v>
      </c>
      <c r="L1211" s="31">
        <v>43586</v>
      </c>
      <c r="M1211" s="28">
        <v>5</v>
      </c>
      <c r="N1211" s="32" t="s">
        <v>191</v>
      </c>
      <c r="O1211" s="28" t="s">
        <v>185</v>
      </c>
      <c r="P1211" s="28" t="s">
        <v>3263</v>
      </c>
      <c r="Q1211" s="28" t="s">
        <v>3264</v>
      </c>
      <c r="R1211" s="28" t="s">
        <v>3265</v>
      </c>
    </row>
    <row r="1212" spans="1:18" hidden="1">
      <c r="A1212" s="28">
        <v>7</v>
      </c>
      <c r="B1212" s="29" t="s">
        <v>776</v>
      </c>
      <c r="C1212" s="29" t="s">
        <v>1946</v>
      </c>
      <c r="D1212" s="29" t="s">
        <v>1947</v>
      </c>
      <c r="E1212" s="29" t="s">
        <v>172</v>
      </c>
      <c r="F1212" s="28" t="s">
        <v>3156</v>
      </c>
      <c r="G1212" s="28" t="s">
        <v>3184</v>
      </c>
      <c r="H1212" s="28" t="s">
        <v>174</v>
      </c>
      <c r="I1212" s="28" t="s">
        <v>174</v>
      </c>
      <c r="J1212" s="30" t="s">
        <v>174</v>
      </c>
      <c r="K1212" s="28" t="s">
        <v>479</v>
      </c>
      <c r="L1212" s="31">
        <v>43770</v>
      </c>
      <c r="M1212" s="28">
        <v>11</v>
      </c>
      <c r="N1212" s="32" t="s">
        <v>191</v>
      </c>
      <c r="O1212" s="28" t="s">
        <v>204</v>
      </c>
      <c r="P1212" s="28" t="s">
        <v>3266</v>
      </c>
      <c r="Q1212" s="28" t="s">
        <v>3267</v>
      </c>
      <c r="R1212" s="28" t="s">
        <v>3268</v>
      </c>
    </row>
    <row r="1213" spans="1:18" hidden="1">
      <c r="A1213" s="28">
        <v>7</v>
      </c>
      <c r="B1213" s="29" t="s">
        <v>776</v>
      </c>
      <c r="C1213" s="29" t="s">
        <v>1946</v>
      </c>
      <c r="D1213" s="29" t="s">
        <v>1947</v>
      </c>
      <c r="E1213" s="29" t="s">
        <v>172</v>
      </c>
      <c r="F1213" s="28" t="s">
        <v>3156</v>
      </c>
      <c r="G1213" s="28" t="s">
        <v>3156</v>
      </c>
      <c r="H1213" s="28" t="s">
        <v>174</v>
      </c>
      <c r="I1213" s="28" t="s">
        <v>174</v>
      </c>
      <c r="J1213" s="30" t="s">
        <v>174</v>
      </c>
      <c r="K1213" s="28" t="s">
        <v>962</v>
      </c>
      <c r="L1213" s="31">
        <v>44348</v>
      </c>
      <c r="M1213" s="28">
        <v>6</v>
      </c>
      <c r="N1213" s="32" t="s">
        <v>184</v>
      </c>
      <c r="O1213" s="28" t="s">
        <v>953</v>
      </c>
      <c r="P1213" s="28" t="s">
        <v>3269</v>
      </c>
      <c r="Q1213" s="28" t="s">
        <v>3270</v>
      </c>
      <c r="R1213" s="28" t="s">
        <v>3271</v>
      </c>
    </row>
    <row r="1214" spans="1:18" hidden="1">
      <c r="A1214" s="28">
        <v>8</v>
      </c>
      <c r="B1214" s="29" t="s">
        <v>371</v>
      </c>
      <c r="C1214" s="29" t="s">
        <v>3272</v>
      </c>
      <c r="D1214" s="29" t="s">
        <v>3273</v>
      </c>
      <c r="E1214" s="29" t="s">
        <v>374</v>
      </c>
      <c r="F1214" s="28" t="s">
        <v>3156</v>
      </c>
      <c r="G1214" s="28" t="s">
        <v>3156</v>
      </c>
      <c r="H1214" s="28" t="s">
        <v>174</v>
      </c>
      <c r="I1214" s="28" t="s">
        <v>174</v>
      </c>
      <c r="J1214" s="30" t="s">
        <v>174</v>
      </c>
      <c r="K1214" s="28" t="s">
        <v>823</v>
      </c>
      <c r="L1214" s="31">
        <v>44136</v>
      </c>
      <c r="M1214" s="28">
        <v>11</v>
      </c>
      <c r="N1214" s="32" t="s">
        <v>191</v>
      </c>
      <c r="O1214" s="28" t="s">
        <v>177</v>
      </c>
      <c r="P1214" s="28" t="s">
        <v>3274</v>
      </c>
      <c r="Q1214" s="28" t="s">
        <v>3275</v>
      </c>
      <c r="R1214" s="28" t="s">
        <v>3276</v>
      </c>
    </row>
    <row r="1215" spans="1:18" hidden="1">
      <c r="A1215" s="28">
        <v>2</v>
      </c>
      <c r="B1215" s="29" t="s">
        <v>240</v>
      </c>
      <c r="C1215" s="29" t="s">
        <v>241</v>
      </c>
      <c r="D1215" s="29" t="s">
        <v>242</v>
      </c>
      <c r="E1215" s="29" t="s">
        <v>172</v>
      </c>
      <c r="F1215" s="28" t="s">
        <v>3277</v>
      </c>
      <c r="G1215" s="28" t="s">
        <v>3277</v>
      </c>
      <c r="H1215" s="28" t="s">
        <v>384</v>
      </c>
      <c r="I1215" s="28">
        <v>11</v>
      </c>
      <c r="J1215" s="30">
        <v>0.03</v>
      </c>
      <c r="K1215" s="28" t="s">
        <v>971</v>
      </c>
      <c r="L1215" s="31">
        <v>42979</v>
      </c>
      <c r="M1215" s="28">
        <v>9</v>
      </c>
      <c r="N1215" s="32" t="s">
        <v>191</v>
      </c>
      <c r="O1215" s="28" t="s">
        <v>204</v>
      </c>
      <c r="P1215" s="28" t="s">
        <v>3278</v>
      </c>
      <c r="Q1215" s="28" t="s">
        <v>3279</v>
      </c>
      <c r="R1215" s="28" t="s">
        <v>211</v>
      </c>
    </row>
    <row r="1216" spans="1:18" hidden="1">
      <c r="A1216" s="28">
        <v>2</v>
      </c>
      <c r="B1216" s="29" t="s">
        <v>240</v>
      </c>
      <c r="C1216" s="29" t="s">
        <v>241</v>
      </c>
      <c r="D1216" s="29" t="s">
        <v>509</v>
      </c>
      <c r="E1216" s="29" t="s">
        <v>172</v>
      </c>
      <c r="F1216" s="28" t="s">
        <v>3277</v>
      </c>
      <c r="G1216" s="28" t="s">
        <v>3277</v>
      </c>
      <c r="H1216" s="28" t="s">
        <v>384</v>
      </c>
      <c r="I1216" s="28">
        <v>11</v>
      </c>
      <c r="J1216" s="30">
        <v>0.03</v>
      </c>
      <c r="K1216" s="28" t="s">
        <v>335</v>
      </c>
      <c r="L1216" s="31">
        <v>42614</v>
      </c>
      <c r="M1216" s="28">
        <v>9</v>
      </c>
      <c r="N1216" s="32" t="s">
        <v>191</v>
      </c>
      <c r="O1216" s="28" t="s">
        <v>177</v>
      </c>
      <c r="P1216" s="28" t="s">
        <v>3280</v>
      </c>
      <c r="Q1216" s="28" t="s">
        <v>3281</v>
      </c>
      <c r="R1216" s="28" t="s">
        <v>3282</v>
      </c>
    </row>
    <row r="1217" spans="1:18" hidden="1">
      <c r="A1217" s="28">
        <v>2</v>
      </c>
      <c r="B1217" s="29" t="s">
        <v>240</v>
      </c>
      <c r="C1217" s="29" t="s">
        <v>241</v>
      </c>
      <c r="D1217" s="29" t="s">
        <v>509</v>
      </c>
      <c r="E1217" s="29" t="s">
        <v>172</v>
      </c>
      <c r="F1217" s="28" t="s">
        <v>3277</v>
      </c>
      <c r="G1217" s="28" t="s">
        <v>3277</v>
      </c>
      <c r="H1217" s="28" t="s">
        <v>384</v>
      </c>
      <c r="I1217" s="28">
        <v>11</v>
      </c>
      <c r="J1217" s="30">
        <v>0.03</v>
      </c>
      <c r="K1217" s="28" t="s">
        <v>587</v>
      </c>
      <c r="L1217" s="31">
        <v>42736</v>
      </c>
      <c r="M1217" s="28">
        <v>1</v>
      </c>
      <c r="N1217" s="32" t="s">
        <v>176</v>
      </c>
      <c r="O1217" s="28" t="s">
        <v>204</v>
      </c>
      <c r="P1217" s="28" t="s">
        <v>3283</v>
      </c>
      <c r="Q1217" s="28" t="s">
        <v>3284</v>
      </c>
      <c r="R1217" s="28" t="s">
        <v>3285</v>
      </c>
    </row>
    <row r="1218" spans="1:18" hidden="1">
      <c r="A1218" s="28">
        <v>2</v>
      </c>
      <c r="B1218" s="29" t="s">
        <v>240</v>
      </c>
      <c r="C1218" s="29" t="s">
        <v>241</v>
      </c>
      <c r="D1218" s="29" t="s">
        <v>509</v>
      </c>
      <c r="E1218" s="29" t="s">
        <v>172</v>
      </c>
      <c r="F1218" s="28" t="s">
        <v>3277</v>
      </c>
      <c r="G1218" s="28" t="s">
        <v>3277</v>
      </c>
      <c r="H1218" s="28" t="s">
        <v>384</v>
      </c>
      <c r="I1218" s="28">
        <v>11</v>
      </c>
      <c r="J1218" s="30">
        <v>0.03</v>
      </c>
      <c r="K1218" s="28" t="s">
        <v>289</v>
      </c>
      <c r="L1218" s="31">
        <v>42795</v>
      </c>
      <c r="M1218" s="28">
        <v>3</v>
      </c>
      <c r="N1218" s="32" t="s">
        <v>191</v>
      </c>
      <c r="O1218" s="28" t="s">
        <v>204</v>
      </c>
      <c r="P1218" s="28" t="s">
        <v>3286</v>
      </c>
      <c r="Q1218" s="28" t="s">
        <v>3287</v>
      </c>
      <c r="R1218" s="28" t="s">
        <v>3288</v>
      </c>
    </row>
    <row r="1219" spans="1:18" hidden="1">
      <c r="A1219" s="28">
        <v>2</v>
      </c>
      <c r="B1219" s="29" t="s">
        <v>240</v>
      </c>
      <c r="C1219" s="29" t="s">
        <v>241</v>
      </c>
      <c r="D1219" s="29" t="s">
        <v>509</v>
      </c>
      <c r="E1219" s="29" t="s">
        <v>172</v>
      </c>
      <c r="F1219" s="28" t="s">
        <v>3277</v>
      </c>
      <c r="G1219" s="28" t="s">
        <v>3277</v>
      </c>
      <c r="H1219" s="28" t="s">
        <v>384</v>
      </c>
      <c r="I1219" s="28">
        <v>11</v>
      </c>
      <c r="J1219" s="30">
        <v>0.03</v>
      </c>
      <c r="K1219" s="28" t="s">
        <v>302</v>
      </c>
      <c r="L1219" s="31">
        <v>43282</v>
      </c>
      <c r="M1219" s="28">
        <v>7</v>
      </c>
      <c r="N1219" s="32" t="s">
        <v>184</v>
      </c>
      <c r="O1219" s="28" t="s">
        <v>204</v>
      </c>
      <c r="P1219" s="28" t="s">
        <v>3289</v>
      </c>
      <c r="Q1219" s="28" t="s">
        <v>3290</v>
      </c>
      <c r="R1219" s="28" t="s">
        <v>3285</v>
      </c>
    </row>
    <row r="1220" spans="1:18" hidden="1">
      <c r="A1220" s="28">
        <v>2</v>
      </c>
      <c r="B1220" s="29" t="s">
        <v>240</v>
      </c>
      <c r="C1220" s="29" t="s">
        <v>241</v>
      </c>
      <c r="D1220" s="29" t="s">
        <v>509</v>
      </c>
      <c r="E1220" s="29" t="s">
        <v>172</v>
      </c>
      <c r="F1220" s="28" t="s">
        <v>3277</v>
      </c>
      <c r="G1220" s="28" t="s">
        <v>3277</v>
      </c>
      <c r="H1220" s="28" t="s">
        <v>384</v>
      </c>
      <c r="I1220" s="28">
        <v>11</v>
      </c>
      <c r="J1220" s="30">
        <v>0.03</v>
      </c>
      <c r="K1220" s="28" t="s">
        <v>212</v>
      </c>
      <c r="L1220" s="31">
        <v>43313</v>
      </c>
      <c r="M1220" s="28">
        <v>8</v>
      </c>
      <c r="N1220" s="32" t="s">
        <v>184</v>
      </c>
      <c r="O1220" s="28" t="s">
        <v>204</v>
      </c>
      <c r="P1220" s="28" t="s">
        <v>3291</v>
      </c>
      <c r="Q1220" s="28" t="s">
        <v>3292</v>
      </c>
      <c r="R1220" s="28" t="s">
        <v>3293</v>
      </c>
    </row>
    <row r="1221" spans="1:18" hidden="1">
      <c r="A1221" s="28">
        <v>2</v>
      </c>
      <c r="B1221" s="29" t="s">
        <v>240</v>
      </c>
      <c r="C1221" s="29" t="s">
        <v>241</v>
      </c>
      <c r="D1221" s="29" t="s">
        <v>509</v>
      </c>
      <c r="E1221" s="29" t="s">
        <v>172</v>
      </c>
      <c r="F1221" s="28" t="s">
        <v>3277</v>
      </c>
      <c r="G1221" s="28" t="s">
        <v>3277</v>
      </c>
      <c r="H1221" s="28" t="s">
        <v>384</v>
      </c>
      <c r="I1221" s="28">
        <v>11</v>
      </c>
      <c r="J1221" s="30">
        <v>0.03</v>
      </c>
      <c r="K1221" s="28" t="s">
        <v>218</v>
      </c>
      <c r="L1221" s="31">
        <v>44044</v>
      </c>
      <c r="M1221" s="28">
        <v>8</v>
      </c>
      <c r="N1221" s="32" t="s">
        <v>184</v>
      </c>
      <c r="O1221" s="28" t="s">
        <v>204</v>
      </c>
      <c r="P1221" s="28" t="s">
        <v>3294</v>
      </c>
      <c r="Q1221" s="28" t="s">
        <v>3290</v>
      </c>
      <c r="R1221" s="28" t="s">
        <v>3285</v>
      </c>
    </row>
    <row r="1222" spans="1:18" hidden="1">
      <c r="A1222" s="28">
        <v>2</v>
      </c>
      <c r="B1222" s="29" t="s">
        <v>240</v>
      </c>
      <c r="C1222" s="29" t="s">
        <v>241</v>
      </c>
      <c r="D1222" s="29" t="s">
        <v>252</v>
      </c>
      <c r="E1222" s="29" t="s">
        <v>172</v>
      </c>
      <c r="F1222" s="28" t="s">
        <v>3277</v>
      </c>
      <c r="G1222" s="28" t="s">
        <v>3277</v>
      </c>
      <c r="H1222" s="28" t="s">
        <v>384</v>
      </c>
      <c r="I1222" s="28">
        <v>11</v>
      </c>
      <c r="J1222" s="30">
        <v>0.03</v>
      </c>
      <c r="K1222" s="28" t="s">
        <v>397</v>
      </c>
      <c r="L1222" s="31">
        <v>43739</v>
      </c>
      <c r="M1222" s="28">
        <v>10</v>
      </c>
      <c r="N1222" s="32" t="s">
        <v>191</v>
      </c>
      <c r="O1222" s="28" t="s">
        <v>204</v>
      </c>
      <c r="P1222" s="28" t="s">
        <v>3295</v>
      </c>
      <c r="Q1222" s="28" t="s">
        <v>884</v>
      </c>
      <c r="R1222" s="28" t="s">
        <v>885</v>
      </c>
    </row>
    <row r="1223" spans="1:18" hidden="1">
      <c r="A1223" s="28">
        <v>2</v>
      </c>
      <c r="B1223" s="29" t="s">
        <v>240</v>
      </c>
      <c r="C1223" s="29" t="s">
        <v>915</v>
      </c>
      <c r="D1223" s="29" t="s">
        <v>916</v>
      </c>
      <c r="E1223" s="29" t="s">
        <v>172</v>
      </c>
      <c r="F1223" s="28" t="s">
        <v>3277</v>
      </c>
      <c r="G1223" s="28" t="s">
        <v>3277</v>
      </c>
      <c r="H1223" s="28" t="s">
        <v>384</v>
      </c>
      <c r="I1223" s="28">
        <v>11</v>
      </c>
      <c r="J1223" s="30">
        <v>0.03</v>
      </c>
      <c r="K1223" s="28" t="s">
        <v>813</v>
      </c>
      <c r="L1223" s="31">
        <v>43009</v>
      </c>
      <c r="M1223" s="28">
        <v>10</v>
      </c>
      <c r="N1223" s="32" t="s">
        <v>191</v>
      </c>
      <c r="O1223" s="28" t="s">
        <v>204</v>
      </c>
      <c r="P1223" s="28" t="s">
        <v>3296</v>
      </c>
      <c r="Q1223" s="28" t="s">
        <v>3297</v>
      </c>
      <c r="R1223" s="28" t="s">
        <v>3298</v>
      </c>
    </row>
    <row r="1224" spans="1:18" hidden="1">
      <c r="A1224" s="28">
        <v>2</v>
      </c>
      <c r="B1224" s="29" t="s">
        <v>240</v>
      </c>
      <c r="C1224" s="29" t="s">
        <v>276</v>
      </c>
      <c r="D1224" s="29" t="s">
        <v>277</v>
      </c>
      <c r="E1224" s="29" t="s">
        <v>172</v>
      </c>
      <c r="F1224" s="28" t="s">
        <v>3277</v>
      </c>
      <c r="G1224" s="28" t="s">
        <v>3277</v>
      </c>
      <c r="H1224" s="28" t="s">
        <v>384</v>
      </c>
      <c r="I1224" s="28">
        <v>11</v>
      </c>
      <c r="J1224" s="30">
        <v>0.03</v>
      </c>
      <c r="K1224" s="28" t="s">
        <v>430</v>
      </c>
      <c r="L1224" s="31">
        <v>44105</v>
      </c>
      <c r="M1224" s="28">
        <v>10</v>
      </c>
      <c r="N1224" s="32" t="s">
        <v>191</v>
      </c>
      <c r="O1224" s="28" t="s">
        <v>953</v>
      </c>
      <c r="P1224" s="28" t="s">
        <v>3299</v>
      </c>
      <c r="Q1224" s="28" t="s">
        <v>3300</v>
      </c>
      <c r="R1224" s="28" t="s">
        <v>3301</v>
      </c>
    </row>
    <row r="1225" spans="1:18">
      <c r="A1225" s="28">
        <v>3</v>
      </c>
      <c r="B1225" s="29" t="s">
        <v>286</v>
      </c>
      <c r="C1225" s="29" t="s">
        <v>287</v>
      </c>
      <c r="D1225" s="29" t="s">
        <v>301</v>
      </c>
      <c r="E1225" s="29" t="s">
        <v>172</v>
      </c>
      <c r="F1225" s="28" t="s">
        <v>3277</v>
      </c>
      <c r="G1225" s="28" t="s">
        <v>3277</v>
      </c>
      <c r="H1225" s="28" t="s">
        <v>384</v>
      </c>
      <c r="I1225" s="28">
        <v>11</v>
      </c>
      <c r="J1225" s="30">
        <v>0.03</v>
      </c>
      <c r="K1225" s="28" t="s">
        <v>460</v>
      </c>
      <c r="L1225" s="31">
        <v>42675</v>
      </c>
      <c r="M1225" s="28">
        <v>11</v>
      </c>
      <c r="N1225" s="32" t="s">
        <v>191</v>
      </c>
      <c r="O1225" s="28" t="s">
        <v>244</v>
      </c>
      <c r="P1225" s="28" t="s">
        <v>3302</v>
      </c>
      <c r="Q1225" s="28" t="s">
        <v>3303</v>
      </c>
      <c r="R1225" s="28" t="s">
        <v>3304</v>
      </c>
    </row>
    <row r="1226" spans="1:18" hidden="1">
      <c r="A1226" s="28">
        <v>12</v>
      </c>
      <c r="B1226" s="29" t="s">
        <v>195</v>
      </c>
      <c r="C1226" s="29" t="s">
        <v>225</v>
      </c>
      <c r="D1226" s="29" t="s">
        <v>453</v>
      </c>
      <c r="E1226" s="29" t="s">
        <v>172</v>
      </c>
      <c r="F1226" s="28" t="s">
        <v>3305</v>
      </c>
      <c r="G1226" s="28" t="s">
        <v>3305</v>
      </c>
      <c r="H1226" s="28" t="s">
        <v>174</v>
      </c>
      <c r="I1226" s="28" t="s">
        <v>174</v>
      </c>
      <c r="J1226" s="30" t="s">
        <v>174</v>
      </c>
      <c r="K1226" s="28" t="s">
        <v>3306</v>
      </c>
      <c r="L1226" s="31" t="s">
        <v>221</v>
      </c>
      <c r="M1226" s="28" t="e">
        <v>#VALUE!</v>
      </c>
      <c r="N1226" s="32" t="e">
        <v>#VALUE!</v>
      </c>
      <c r="O1226" s="28" t="s">
        <v>204</v>
      </c>
      <c r="P1226" s="28" t="s">
        <v>3307</v>
      </c>
      <c r="Q1226" s="28" t="s">
        <v>3308</v>
      </c>
      <c r="R1226" s="28" t="s">
        <v>3309</v>
      </c>
    </row>
    <row r="1227" spans="1:18" hidden="1">
      <c r="A1227" s="28">
        <v>12</v>
      </c>
      <c r="B1227" s="29" t="s">
        <v>195</v>
      </c>
      <c r="C1227" s="29" t="s">
        <v>225</v>
      </c>
      <c r="D1227" s="29" t="s">
        <v>2963</v>
      </c>
      <c r="E1227" s="29" t="s">
        <v>172</v>
      </c>
      <c r="F1227" s="28" t="s">
        <v>3305</v>
      </c>
      <c r="G1227" s="28" t="s">
        <v>3305</v>
      </c>
      <c r="H1227" s="28" t="s">
        <v>174</v>
      </c>
      <c r="I1227" s="28" t="s">
        <v>174</v>
      </c>
      <c r="J1227" s="30" t="s">
        <v>174</v>
      </c>
      <c r="K1227" s="28" t="s">
        <v>198</v>
      </c>
      <c r="L1227" s="31">
        <v>42767</v>
      </c>
      <c r="M1227" s="28">
        <v>2</v>
      </c>
      <c r="N1227" s="32" t="s">
        <v>176</v>
      </c>
      <c r="O1227" s="28" t="s">
        <v>204</v>
      </c>
      <c r="P1227" s="28" t="s">
        <v>3310</v>
      </c>
      <c r="Q1227" s="28" t="s">
        <v>3311</v>
      </c>
      <c r="R1227" s="28" t="s">
        <v>3312</v>
      </c>
    </row>
    <row r="1228" spans="1:18" hidden="1">
      <c r="A1228" s="28">
        <v>12</v>
      </c>
      <c r="B1228" s="29" t="s">
        <v>195</v>
      </c>
      <c r="C1228" s="29" t="s">
        <v>225</v>
      </c>
      <c r="D1228" s="29" t="s">
        <v>2963</v>
      </c>
      <c r="E1228" s="29" t="s">
        <v>172</v>
      </c>
      <c r="F1228" s="28" t="s">
        <v>3305</v>
      </c>
      <c r="G1228" s="28" t="s">
        <v>3305</v>
      </c>
      <c r="H1228" s="28" t="s">
        <v>174</v>
      </c>
      <c r="I1228" s="28" t="s">
        <v>174</v>
      </c>
      <c r="J1228" s="30" t="s">
        <v>174</v>
      </c>
      <c r="K1228" s="28" t="s">
        <v>559</v>
      </c>
      <c r="L1228" s="31">
        <v>43252</v>
      </c>
      <c r="M1228" s="28">
        <v>6</v>
      </c>
      <c r="N1228" s="32" t="s">
        <v>184</v>
      </c>
      <c r="O1228" s="28" t="s">
        <v>204</v>
      </c>
      <c r="P1228" s="28" t="s">
        <v>3313</v>
      </c>
      <c r="Q1228" s="28" t="s">
        <v>3314</v>
      </c>
      <c r="R1228" s="28" t="s">
        <v>3315</v>
      </c>
    </row>
    <row r="1229" spans="1:18" hidden="1">
      <c r="A1229" s="28">
        <v>12</v>
      </c>
      <c r="B1229" s="29" t="s">
        <v>195</v>
      </c>
      <c r="C1229" s="29" t="s">
        <v>225</v>
      </c>
      <c r="D1229" s="29" t="s">
        <v>2963</v>
      </c>
      <c r="E1229" s="29" t="s">
        <v>172</v>
      </c>
      <c r="F1229" s="28" t="s">
        <v>3305</v>
      </c>
      <c r="G1229" s="28" t="s">
        <v>3305</v>
      </c>
      <c r="H1229" s="28" t="s">
        <v>174</v>
      </c>
      <c r="I1229" s="28" t="s">
        <v>174</v>
      </c>
      <c r="J1229" s="30" t="s">
        <v>174</v>
      </c>
      <c r="K1229" s="28" t="s">
        <v>214</v>
      </c>
      <c r="L1229" s="31">
        <v>43466</v>
      </c>
      <c r="M1229" s="28">
        <v>1</v>
      </c>
      <c r="N1229" s="32" t="s">
        <v>176</v>
      </c>
      <c r="O1229" s="28" t="s">
        <v>794</v>
      </c>
      <c r="P1229" s="28" t="s">
        <v>3316</v>
      </c>
      <c r="Q1229" s="28" t="s">
        <v>3317</v>
      </c>
      <c r="R1229" s="28" t="s">
        <v>3318</v>
      </c>
    </row>
    <row r="1230" spans="1:18" hidden="1">
      <c r="A1230" s="28">
        <v>12</v>
      </c>
      <c r="B1230" s="29" t="s">
        <v>195</v>
      </c>
      <c r="C1230" s="29" t="s">
        <v>225</v>
      </c>
      <c r="D1230" s="29" t="s">
        <v>2963</v>
      </c>
      <c r="E1230" s="29" t="s">
        <v>172</v>
      </c>
      <c r="F1230" s="28" t="s">
        <v>3305</v>
      </c>
      <c r="G1230" s="28" t="s">
        <v>3305</v>
      </c>
      <c r="H1230" s="28" t="s">
        <v>174</v>
      </c>
      <c r="I1230" s="28" t="s">
        <v>174</v>
      </c>
      <c r="J1230" s="30" t="s">
        <v>174</v>
      </c>
      <c r="K1230" s="28" t="s">
        <v>424</v>
      </c>
      <c r="L1230" s="31">
        <v>43678</v>
      </c>
      <c r="M1230" s="28">
        <v>8</v>
      </c>
      <c r="N1230" s="32" t="s">
        <v>184</v>
      </c>
      <c r="O1230" s="28" t="s">
        <v>953</v>
      </c>
      <c r="P1230" s="28" t="s">
        <v>3319</v>
      </c>
      <c r="Q1230" s="28" t="s">
        <v>3320</v>
      </c>
      <c r="R1230" s="28" t="s">
        <v>3321</v>
      </c>
    </row>
    <row r="1231" spans="1:18" hidden="1">
      <c r="A1231" s="28">
        <v>12</v>
      </c>
      <c r="B1231" s="29" t="s">
        <v>195</v>
      </c>
      <c r="C1231" s="29" t="s">
        <v>225</v>
      </c>
      <c r="D1231" s="29" t="s">
        <v>2963</v>
      </c>
      <c r="E1231" s="29" t="s">
        <v>172</v>
      </c>
      <c r="F1231" s="28" t="s">
        <v>3305</v>
      </c>
      <c r="G1231" s="28" t="s">
        <v>3305</v>
      </c>
      <c r="H1231" s="28" t="s">
        <v>174</v>
      </c>
      <c r="I1231" s="28" t="s">
        <v>174</v>
      </c>
      <c r="J1231" s="30" t="s">
        <v>174</v>
      </c>
      <c r="K1231" s="28" t="s">
        <v>646</v>
      </c>
      <c r="L1231" s="31">
        <v>44075</v>
      </c>
      <c r="M1231" s="28">
        <v>9</v>
      </c>
      <c r="N1231" s="32" t="s">
        <v>191</v>
      </c>
      <c r="O1231" s="28" t="s">
        <v>204</v>
      </c>
      <c r="P1231" s="28" t="s">
        <v>3322</v>
      </c>
      <c r="Q1231" s="28" t="s">
        <v>3323</v>
      </c>
      <c r="R1231" s="28" t="s">
        <v>3324</v>
      </c>
    </row>
    <row r="1232" spans="1:18" hidden="1">
      <c r="A1232" s="28">
        <v>2</v>
      </c>
      <c r="B1232" s="29" t="s">
        <v>240</v>
      </c>
      <c r="C1232" s="29" t="s">
        <v>241</v>
      </c>
      <c r="D1232" s="29" t="s">
        <v>509</v>
      </c>
      <c r="E1232" s="29" t="s">
        <v>172</v>
      </c>
      <c r="F1232" s="28" t="s">
        <v>3305</v>
      </c>
      <c r="G1232" s="28" t="s">
        <v>3305</v>
      </c>
      <c r="H1232" s="28" t="s">
        <v>174</v>
      </c>
      <c r="I1232" s="28" t="s">
        <v>174</v>
      </c>
      <c r="J1232" s="30" t="s">
        <v>174</v>
      </c>
      <c r="K1232" s="28" t="s">
        <v>520</v>
      </c>
      <c r="L1232" s="31">
        <v>43800</v>
      </c>
      <c r="M1232" s="28">
        <v>12</v>
      </c>
      <c r="N1232" s="32" t="s">
        <v>176</v>
      </c>
      <c r="O1232" s="28" t="s">
        <v>794</v>
      </c>
      <c r="P1232" s="28" t="s">
        <v>3325</v>
      </c>
      <c r="Q1232" s="28" t="s">
        <v>3326</v>
      </c>
      <c r="R1232" s="28" t="s">
        <v>3327</v>
      </c>
    </row>
    <row r="1233" spans="1:18" hidden="1">
      <c r="A1233" s="28">
        <v>2</v>
      </c>
      <c r="B1233" s="29" t="s">
        <v>240</v>
      </c>
      <c r="C1233" s="29" t="s">
        <v>276</v>
      </c>
      <c r="D1233" s="29" t="s">
        <v>277</v>
      </c>
      <c r="E1233" s="29" t="s">
        <v>172</v>
      </c>
      <c r="F1233" s="28" t="s">
        <v>3305</v>
      </c>
      <c r="G1233" s="28" t="s">
        <v>3305</v>
      </c>
      <c r="H1233" s="28" t="s">
        <v>174</v>
      </c>
      <c r="I1233" s="28" t="s">
        <v>174</v>
      </c>
      <c r="J1233" s="30" t="s">
        <v>174</v>
      </c>
      <c r="K1233" s="28" t="s">
        <v>198</v>
      </c>
      <c r="L1233" s="31">
        <v>42767</v>
      </c>
      <c r="M1233" s="28">
        <v>2</v>
      </c>
      <c r="N1233" s="32" t="s">
        <v>176</v>
      </c>
      <c r="O1233" s="28" t="s">
        <v>794</v>
      </c>
      <c r="P1233" s="28" t="s">
        <v>3328</v>
      </c>
      <c r="Q1233" s="28" t="s">
        <v>3329</v>
      </c>
      <c r="R1233" s="28" t="s">
        <v>3330</v>
      </c>
    </row>
    <row r="1234" spans="1:18" hidden="1">
      <c r="A1234" s="28">
        <v>4</v>
      </c>
      <c r="B1234" s="29" t="s">
        <v>306</v>
      </c>
      <c r="C1234" s="29" t="s">
        <v>307</v>
      </c>
      <c r="D1234" s="29" t="s">
        <v>592</v>
      </c>
      <c r="E1234" s="29" t="s">
        <v>172</v>
      </c>
      <c r="F1234" s="28" t="s">
        <v>3305</v>
      </c>
      <c r="G1234" s="28" t="s">
        <v>3305</v>
      </c>
      <c r="H1234" s="28" t="s">
        <v>174</v>
      </c>
      <c r="I1234" s="28" t="s">
        <v>174</v>
      </c>
      <c r="J1234" s="30" t="s">
        <v>174</v>
      </c>
      <c r="K1234" s="28" t="s">
        <v>248</v>
      </c>
      <c r="L1234" s="31">
        <v>43070</v>
      </c>
      <c r="M1234" s="28">
        <v>12</v>
      </c>
      <c r="N1234" s="32" t="s">
        <v>176</v>
      </c>
      <c r="O1234" s="28" t="s">
        <v>794</v>
      </c>
      <c r="P1234" s="28" t="s">
        <v>3331</v>
      </c>
      <c r="Q1234" s="28" t="s">
        <v>3332</v>
      </c>
      <c r="R1234" s="28" t="s">
        <v>3333</v>
      </c>
    </row>
    <row r="1235" spans="1:18" hidden="1">
      <c r="A1235" s="28">
        <v>4</v>
      </c>
      <c r="B1235" s="29" t="s">
        <v>306</v>
      </c>
      <c r="C1235" s="29" t="s">
        <v>307</v>
      </c>
      <c r="D1235" s="29" t="s">
        <v>592</v>
      </c>
      <c r="E1235" s="29" t="s">
        <v>172</v>
      </c>
      <c r="F1235" s="28" t="s">
        <v>3305</v>
      </c>
      <c r="G1235" s="28" t="s">
        <v>3305</v>
      </c>
      <c r="H1235" s="28" t="s">
        <v>174</v>
      </c>
      <c r="I1235" s="28" t="s">
        <v>174</v>
      </c>
      <c r="J1235" s="30" t="s">
        <v>174</v>
      </c>
      <c r="K1235" s="28" t="s">
        <v>844</v>
      </c>
      <c r="L1235" s="31">
        <v>43586</v>
      </c>
      <c r="M1235" s="28">
        <v>5</v>
      </c>
      <c r="N1235" s="32" t="s">
        <v>191</v>
      </c>
      <c r="O1235" s="28" t="s">
        <v>204</v>
      </c>
      <c r="P1235" s="28" t="s">
        <v>3334</v>
      </c>
      <c r="Q1235" s="28" t="s">
        <v>3335</v>
      </c>
      <c r="R1235" s="28" t="s">
        <v>3336</v>
      </c>
    </row>
    <row r="1236" spans="1:18" hidden="1">
      <c r="A1236" s="28">
        <v>4</v>
      </c>
      <c r="B1236" s="29" t="s">
        <v>306</v>
      </c>
      <c r="C1236" s="29" t="s">
        <v>307</v>
      </c>
      <c r="D1236" s="29" t="s">
        <v>308</v>
      </c>
      <c r="E1236" s="29" t="s">
        <v>172</v>
      </c>
      <c r="F1236" s="28" t="s">
        <v>3305</v>
      </c>
      <c r="G1236" s="28" t="s">
        <v>3305</v>
      </c>
      <c r="H1236" s="28" t="s">
        <v>174</v>
      </c>
      <c r="I1236" s="28" t="s">
        <v>174</v>
      </c>
      <c r="J1236" s="30" t="s">
        <v>174</v>
      </c>
      <c r="K1236" s="28" t="s">
        <v>232</v>
      </c>
      <c r="L1236" s="31">
        <v>42522</v>
      </c>
      <c r="M1236" s="28">
        <v>6</v>
      </c>
      <c r="N1236" s="32" t="s">
        <v>184</v>
      </c>
      <c r="O1236" s="28" t="s">
        <v>204</v>
      </c>
      <c r="P1236" s="28" t="s">
        <v>3337</v>
      </c>
      <c r="Q1236" s="28" t="s">
        <v>3338</v>
      </c>
      <c r="R1236" s="28" t="s">
        <v>3339</v>
      </c>
    </row>
    <row r="1237" spans="1:18" hidden="1">
      <c r="A1237" s="28">
        <v>4</v>
      </c>
      <c r="B1237" s="29" t="s">
        <v>306</v>
      </c>
      <c r="C1237" s="29" t="s">
        <v>307</v>
      </c>
      <c r="D1237" s="29" t="s">
        <v>308</v>
      </c>
      <c r="E1237" s="29" t="s">
        <v>172</v>
      </c>
      <c r="F1237" s="28" t="s">
        <v>3305</v>
      </c>
      <c r="G1237" s="28" t="s">
        <v>3305</v>
      </c>
      <c r="H1237" s="28" t="s">
        <v>174</v>
      </c>
      <c r="I1237" s="28" t="s">
        <v>174</v>
      </c>
      <c r="J1237" s="30" t="s">
        <v>174</v>
      </c>
      <c r="K1237" s="28" t="s">
        <v>587</v>
      </c>
      <c r="L1237" s="31">
        <v>42736</v>
      </c>
      <c r="M1237" s="28">
        <v>1</v>
      </c>
      <c r="N1237" s="32" t="s">
        <v>176</v>
      </c>
      <c r="O1237" s="28" t="s">
        <v>794</v>
      </c>
      <c r="P1237" s="28" t="s">
        <v>3340</v>
      </c>
      <c r="Q1237" s="28" t="s">
        <v>3341</v>
      </c>
      <c r="R1237" s="28" t="s">
        <v>3342</v>
      </c>
    </row>
    <row r="1238" spans="1:18" hidden="1">
      <c r="A1238" s="28">
        <v>4</v>
      </c>
      <c r="B1238" s="29" t="s">
        <v>306</v>
      </c>
      <c r="C1238" s="29" t="s">
        <v>312</v>
      </c>
      <c r="D1238" s="29" t="s">
        <v>313</v>
      </c>
      <c r="E1238" s="29" t="s">
        <v>172</v>
      </c>
      <c r="F1238" s="28" t="s">
        <v>3305</v>
      </c>
      <c r="G1238" s="28" t="s">
        <v>3305</v>
      </c>
      <c r="H1238" s="28" t="s">
        <v>174</v>
      </c>
      <c r="I1238" s="28" t="s">
        <v>174</v>
      </c>
      <c r="J1238" s="30" t="s">
        <v>174</v>
      </c>
      <c r="K1238" s="28" t="s">
        <v>501</v>
      </c>
      <c r="L1238" s="31">
        <v>43405</v>
      </c>
      <c r="M1238" s="28">
        <v>11</v>
      </c>
      <c r="N1238" s="32" t="s">
        <v>191</v>
      </c>
      <c r="O1238" s="28" t="s">
        <v>204</v>
      </c>
      <c r="P1238" s="28" t="s">
        <v>3343</v>
      </c>
      <c r="Q1238" s="28" t="s">
        <v>3344</v>
      </c>
      <c r="R1238" s="28" t="s">
        <v>3345</v>
      </c>
    </row>
    <row r="1239" spans="1:18" hidden="1">
      <c r="A1239" s="28">
        <v>4</v>
      </c>
      <c r="B1239" s="29" t="s">
        <v>306</v>
      </c>
      <c r="C1239" s="29" t="s">
        <v>1776</v>
      </c>
      <c r="D1239" s="29" t="s">
        <v>1777</v>
      </c>
      <c r="E1239" s="29" t="s">
        <v>172</v>
      </c>
      <c r="F1239" s="28" t="s">
        <v>3305</v>
      </c>
      <c r="G1239" s="28" t="s">
        <v>3305</v>
      </c>
      <c r="H1239" s="28" t="s">
        <v>174</v>
      </c>
      <c r="I1239" s="28" t="s">
        <v>174</v>
      </c>
      <c r="J1239" s="30" t="s">
        <v>174</v>
      </c>
      <c r="K1239" s="28" t="s">
        <v>335</v>
      </c>
      <c r="L1239" s="31">
        <v>42614</v>
      </c>
      <c r="M1239" s="28">
        <v>9</v>
      </c>
      <c r="N1239" s="32" t="s">
        <v>191</v>
      </c>
      <c r="O1239" s="28" t="s">
        <v>204</v>
      </c>
      <c r="P1239" s="28" t="s">
        <v>3346</v>
      </c>
      <c r="Q1239" s="28" t="s">
        <v>3347</v>
      </c>
      <c r="R1239" s="28" t="s">
        <v>3348</v>
      </c>
    </row>
    <row r="1240" spans="1:18" hidden="1">
      <c r="A1240" s="28">
        <v>4</v>
      </c>
      <c r="B1240" s="29" t="s">
        <v>306</v>
      </c>
      <c r="C1240" s="29" t="s">
        <v>318</v>
      </c>
      <c r="D1240" s="29" t="s">
        <v>319</v>
      </c>
      <c r="E1240" s="29" t="s">
        <v>172</v>
      </c>
      <c r="F1240" s="28" t="s">
        <v>3305</v>
      </c>
      <c r="G1240" s="28" t="s">
        <v>3305</v>
      </c>
      <c r="H1240" s="28" t="s">
        <v>174</v>
      </c>
      <c r="I1240" s="28" t="s">
        <v>174</v>
      </c>
      <c r="J1240" s="30" t="s">
        <v>174</v>
      </c>
      <c r="K1240" s="28" t="s">
        <v>345</v>
      </c>
      <c r="L1240" s="31">
        <v>44440</v>
      </c>
      <c r="M1240" s="28">
        <v>9</v>
      </c>
      <c r="N1240" s="32" t="s">
        <v>191</v>
      </c>
      <c r="O1240" s="28" t="s">
        <v>204</v>
      </c>
      <c r="P1240" s="28" t="s">
        <v>3349</v>
      </c>
      <c r="Q1240" s="28" t="s">
        <v>3350</v>
      </c>
      <c r="R1240" s="28" t="s">
        <v>3351</v>
      </c>
    </row>
    <row r="1241" spans="1:18" hidden="1">
      <c r="A1241" s="28">
        <v>4</v>
      </c>
      <c r="B1241" s="29" t="s">
        <v>306</v>
      </c>
      <c r="C1241" s="29" t="s">
        <v>318</v>
      </c>
      <c r="D1241" s="29" t="s">
        <v>323</v>
      </c>
      <c r="E1241" s="29" t="s">
        <v>172</v>
      </c>
      <c r="F1241" s="28" t="s">
        <v>3305</v>
      </c>
      <c r="G1241" s="28" t="s">
        <v>3305</v>
      </c>
      <c r="H1241" s="28" t="s">
        <v>174</v>
      </c>
      <c r="I1241" s="28" t="s">
        <v>174</v>
      </c>
      <c r="J1241" s="30" t="s">
        <v>174</v>
      </c>
      <c r="K1241" s="28" t="s">
        <v>971</v>
      </c>
      <c r="L1241" s="31">
        <v>42979</v>
      </c>
      <c r="M1241" s="28">
        <v>9</v>
      </c>
      <c r="N1241" s="32" t="s">
        <v>191</v>
      </c>
      <c r="O1241" s="28" t="s">
        <v>177</v>
      </c>
      <c r="P1241" s="28" t="s">
        <v>3352</v>
      </c>
      <c r="Q1241" s="28" t="s">
        <v>2996</v>
      </c>
      <c r="R1241" s="28" t="s">
        <v>2994</v>
      </c>
    </row>
    <row r="1242" spans="1:18" hidden="1">
      <c r="A1242" s="28">
        <v>4</v>
      </c>
      <c r="B1242" s="29" t="s">
        <v>306</v>
      </c>
      <c r="C1242" s="29" t="s">
        <v>333</v>
      </c>
      <c r="D1242" s="29" t="s">
        <v>334</v>
      </c>
      <c r="E1242" s="29" t="s">
        <v>172</v>
      </c>
      <c r="F1242" s="28" t="s">
        <v>3305</v>
      </c>
      <c r="G1242" s="28" t="s">
        <v>3305</v>
      </c>
      <c r="H1242" s="28" t="s">
        <v>174</v>
      </c>
      <c r="I1242" s="28" t="s">
        <v>174</v>
      </c>
      <c r="J1242" s="30" t="s">
        <v>174</v>
      </c>
      <c r="K1242" s="28" t="s">
        <v>208</v>
      </c>
      <c r="L1242" s="31">
        <v>43101</v>
      </c>
      <c r="M1242" s="28">
        <v>1</v>
      </c>
      <c r="N1242" s="32" t="s">
        <v>176</v>
      </c>
      <c r="O1242" s="28" t="s">
        <v>204</v>
      </c>
      <c r="P1242" s="28" t="s">
        <v>3353</v>
      </c>
      <c r="Q1242" s="28" t="s">
        <v>3354</v>
      </c>
      <c r="R1242" s="28" t="s">
        <v>3355</v>
      </c>
    </row>
    <row r="1243" spans="1:18" hidden="1">
      <c r="A1243" s="28">
        <v>4</v>
      </c>
      <c r="B1243" s="29" t="s">
        <v>306</v>
      </c>
      <c r="C1243" s="29" t="s">
        <v>333</v>
      </c>
      <c r="D1243" s="29" t="s">
        <v>334</v>
      </c>
      <c r="E1243" s="29" t="s">
        <v>172</v>
      </c>
      <c r="F1243" s="28" t="s">
        <v>3305</v>
      </c>
      <c r="G1243" s="28" t="s">
        <v>3305</v>
      </c>
      <c r="H1243" s="28" t="s">
        <v>174</v>
      </c>
      <c r="I1243" s="28" t="s">
        <v>174</v>
      </c>
      <c r="J1243" s="30" t="s">
        <v>174</v>
      </c>
      <c r="K1243" s="28" t="s">
        <v>473</v>
      </c>
      <c r="L1243" s="31">
        <v>43160</v>
      </c>
      <c r="M1243" s="28">
        <v>3</v>
      </c>
      <c r="N1243" s="32" t="s">
        <v>191</v>
      </c>
      <c r="O1243" s="28" t="s">
        <v>204</v>
      </c>
      <c r="P1243" s="28" t="s">
        <v>3356</v>
      </c>
      <c r="Q1243" s="28" t="s">
        <v>3354</v>
      </c>
      <c r="R1243" s="28" t="s">
        <v>3355</v>
      </c>
    </row>
    <row r="1244" spans="1:18" hidden="1">
      <c r="A1244" s="28">
        <v>4</v>
      </c>
      <c r="B1244" s="29" t="s">
        <v>306</v>
      </c>
      <c r="C1244" s="29" t="s">
        <v>333</v>
      </c>
      <c r="D1244" s="29" t="s">
        <v>673</v>
      </c>
      <c r="E1244" s="29" t="s">
        <v>172</v>
      </c>
      <c r="F1244" s="28" t="s">
        <v>3305</v>
      </c>
      <c r="G1244" s="28" t="s">
        <v>3305</v>
      </c>
      <c r="H1244" s="28" t="s">
        <v>174</v>
      </c>
      <c r="I1244" s="28" t="s">
        <v>174</v>
      </c>
      <c r="J1244" s="30" t="s">
        <v>174</v>
      </c>
      <c r="K1244" s="28" t="s">
        <v>683</v>
      </c>
      <c r="L1244" s="31">
        <v>43831</v>
      </c>
      <c r="M1244" s="28">
        <v>1</v>
      </c>
      <c r="N1244" s="32" t="s">
        <v>176</v>
      </c>
      <c r="O1244" s="28" t="s">
        <v>204</v>
      </c>
      <c r="P1244" s="28" t="s">
        <v>3357</v>
      </c>
      <c r="Q1244" s="28" t="s">
        <v>3358</v>
      </c>
      <c r="R1244" s="28" t="s">
        <v>3359</v>
      </c>
    </row>
    <row r="1245" spans="1:18" hidden="1">
      <c r="A1245" s="28">
        <v>5</v>
      </c>
      <c r="B1245" s="29" t="s">
        <v>349</v>
      </c>
      <c r="C1245" s="29" t="s">
        <v>350</v>
      </c>
      <c r="D1245" s="29" t="s">
        <v>714</v>
      </c>
      <c r="E1245" s="29" t="s">
        <v>172</v>
      </c>
      <c r="F1245" s="28" t="s">
        <v>3305</v>
      </c>
      <c r="G1245" s="28" t="s">
        <v>3305</v>
      </c>
      <c r="H1245" s="28" t="s">
        <v>174</v>
      </c>
      <c r="I1245" s="28" t="s">
        <v>174</v>
      </c>
      <c r="J1245" s="30" t="s">
        <v>174</v>
      </c>
      <c r="K1245" s="28" t="s">
        <v>769</v>
      </c>
      <c r="L1245" s="31">
        <v>42826</v>
      </c>
      <c r="M1245" s="28">
        <v>4</v>
      </c>
      <c r="N1245" s="32" t="s">
        <v>191</v>
      </c>
      <c r="O1245" s="28" t="s">
        <v>204</v>
      </c>
      <c r="P1245" s="28" t="s">
        <v>3360</v>
      </c>
      <c r="Q1245" s="28" t="s">
        <v>3361</v>
      </c>
      <c r="R1245" s="28" t="s">
        <v>3362</v>
      </c>
    </row>
    <row r="1246" spans="1:18" hidden="1">
      <c r="A1246" s="28">
        <v>5</v>
      </c>
      <c r="B1246" s="29" t="s">
        <v>349</v>
      </c>
      <c r="C1246" s="29" t="s">
        <v>355</v>
      </c>
      <c r="D1246" s="29" t="s">
        <v>360</v>
      </c>
      <c r="E1246" s="29" t="s">
        <v>172</v>
      </c>
      <c r="F1246" s="28" t="s">
        <v>3305</v>
      </c>
      <c r="G1246" s="28" t="s">
        <v>3305</v>
      </c>
      <c r="H1246" s="28" t="s">
        <v>174</v>
      </c>
      <c r="I1246" s="28" t="s">
        <v>174</v>
      </c>
      <c r="J1246" s="30" t="s">
        <v>174</v>
      </c>
      <c r="K1246" s="28" t="s">
        <v>813</v>
      </c>
      <c r="L1246" s="31">
        <v>43009</v>
      </c>
      <c r="M1246" s="28">
        <v>10</v>
      </c>
      <c r="N1246" s="32" t="s">
        <v>191</v>
      </c>
      <c r="O1246" s="28" t="s">
        <v>204</v>
      </c>
      <c r="P1246" s="28" t="s">
        <v>3363</v>
      </c>
      <c r="Q1246" s="28" t="s">
        <v>3364</v>
      </c>
      <c r="R1246" s="28" t="s">
        <v>3365</v>
      </c>
    </row>
    <row r="1247" spans="1:18" hidden="1">
      <c r="A1247" s="28">
        <v>5</v>
      </c>
      <c r="B1247" s="29" t="s">
        <v>349</v>
      </c>
      <c r="C1247" s="29" t="s">
        <v>355</v>
      </c>
      <c r="D1247" s="29" t="s">
        <v>360</v>
      </c>
      <c r="E1247" s="29" t="s">
        <v>172</v>
      </c>
      <c r="F1247" s="28" t="s">
        <v>3305</v>
      </c>
      <c r="G1247" s="28" t="s">
        <v>3305</v>
      </c>
      <c r="H1247" s="28" t="s">
        <v>174</v>
      </c>
      <c r="I1247" s="28" t="s">
        <v>174</v>
      </c>
      <c r="J1247" s="30" t="s">
        <v>174</v>
      </c>
      <c r="K1247" s="28" t="s">
        <v>212</v>
      </c>
      <c r="L1247" s="31">
        <v>43313</v>
      </c>
      <c r="M1247" s="28">
        <v>8</v>
      </c>
      <c r="N1247" s="32" t="s">
        <v>184</v>
      </c>
      <c r="O1247" s="28" t="s">
        <v>204</v>
      </c>
      <c r="P1247" s="28" t="s">
        <v>3366</v>
      </c>
      <c r="Q1247" s="28" t="s">
        <v>3367</v>
      </c>
      <c r="R1247" s="28" t="s">
        <v>3365</v>
      </c>
    </row>
    <row r="1248" spans="1:18" hidden="1">
      <c r="A1248" s="28">
        <v>5</v>
      </c>
      <c r="B1248" s="29" t="s">
        <v>349</v>
      </c>
      <c r="C1248" s="29" t="s">
        <v>355</v>
      </c>
      <c r="D1248" s="29" t="s">
        <v>360</v>
      </c>
      <c r="E1248" s="29" t="s">
        <v>172</v>
      </c>
      <c r="F1248" s="28" t="s">
        <v>3305</v>
      </c>
      <c r="G1248" s="28" t="s">
        <v>3305</v>
      </c>
      <c r="H1248" s="28" t="s">
        <v>174</v>
      </c>
      <c r="I1248" s="28" t="s">
        <v>174</v>
      </c>
      <c r="J1248" s="30" t="s">
        <v>174</v>
      </c>
      <c r="K1248" s="28" t="s">
        <v>278</v>
      </c>
      <c r="L1248" s="31">
        <v>43525</v>
      </c>
      <c r="M1248" s="28">
        <v>3</v>
      </c>
      <c r="N1248" s="32" t="s">
        <v>191</v>
      </c>
      <c r="O1248" s="28" t="s">
        <v>794</v>
      </c>
      <c r="P1248" s="28" t="s">
        <v>3368</v>
      </c>
      <c r="Q1248" s="28" t="s">
        <v>3369</v>
      </c>
      <c r="R1248" s="28" t="s">
        <v>3370</v>
      </c>
    </row>
    <row r="1249" spans="1:18" hidden="1">
      <c r="A1249" s="28">
        <v>5</v>
      </c>
      <c r="B1249" s="29" t="s">
        <v>349</v>
      </c>
      <c r="C1249" s="29" t="s">
        <v>355</v>
      </c>
      <c r="D1249" s="29" t="s">
        <v>360</v>
      </c>
      <c r="E1249" s="29" t="s">
        <v>172</v>
      </c>
      <c r="F1249" s="28" t="s">
        <v>3305</v>
      </c>
      <c r="G1249" s="28" t="s">
        <v>3305</v>
      </c>
      <c r="H1249" s="28" t="s">
        <v>174</v>
      </c>
      <c r="I1249" s="28" t="s">
        <v>174</v>
      </c>
      <c r="J1249" s="30" t="s">
        <v>174</v>
      </c>
      <c r="K1249" s="28" t="s">
        <v>683</v>
      </c>
      <c r="L1249" s="31">
        <v>43831</v>
      </c>
      <c r="M1249" s="28">
        <v>1</v>
      </c>
      <c r="N1249" s="32" t="s">
        <v>176</v>
      </c>
      <c r="O1249" s="28" t="s">
        <v>204</v>
      </c>
      <c r="P1249" s="28" t="s">
        <v>3371</v>
      </c>
      <c r="Q1249" s="28" t="s">
        <v>3372</v>
      </c>
      <c r="R1249" s="28" t="s">
        <v>3365</v>
      </c>
    </row>
    <row r="1250" spans="1:18" hidden="1">
      <c r="A1250" s="28">
        <v>12</v>
      </c>
      <c r="B1250" s="29" t="s">
        <v>195</v>
      </c>
      <c r="C1250" s="29" t="s">
        <v>196</v>
      </c>
      <c r="D1250" s="29" t="s">
        <v>197</v>
      </c>
      <c r="E1250" s="29" t="s">
        <v>172</v>
      </c>
      <c r="F1250" s="28" t="s">
        <v>3373</v>
      </c>
      <c r="G1250" s="28" t="s">
        <v>3374</v>
      </c>
      <c r="H1250" s="28" t="s">
        <v>174</v>
      </c>
      <c r="I1250" s="28" t="s">
        <v>174</v>
      </c>
      <c r="J1250" s="30" t="s">
        <v>174</v>
      </c>
      <c r="K1250" s="28" t="s">
        <v>3375</v>
      </c>
      <c r="L1250" s="31">
        <v>42309</v>
      </c>
      <c r="M1250" s="28">
        <v>11</v>
      </c>
      <c r="N1250" s="32" t="s">
        <v>191</v>
      </c>
      <c r="O1250" s="28" t="s">
        <v>204</v>
      </c>
      <c r="P1250" s="28" t="s">
        <v>3376</v>
      </c>
      <c r="Q1250" s="28" t="s">
        <v>3377</v>
      </c>
      <c r="R1250" s="28" t="s">
        <v>3378</v>
      </c>
    </row>
    <row r="1251" spans="1:18" hidden="1">
      <c r="A1251" s="28">
        <v>12</v>
      </c>
      <c r="B1251" s="29" t="s">
        <v>195</v>
      </c>
      <c r="C1251" s="29" t="s">
        <v>196</v>
      </c>
      <c r="D1251" s="29" t="s">
        <v>197</v>
      </c>
      <c r="E1251" s="29" t="s">
        <v>172</v>
      </c>
      <c r="F1251" s="28" t="s">
        <v>3373</v>
      </c>
      <c r="G1251" s="28" t="s">
        <v>3379</v>
      </c>
      <c r="H1251" s="28" t="s">
        <v>384</v>
      </c>
      <c r="I1251" s="28">
        <v>3</v>
      </c>
      <c r="J1251" s="30">
        <v>7.0999999999999994E-2</v>
      </c>
      <c r="K1251" s="28" t="s">
        <v>391</v>
      </c>
      <c r="L1251" s="31">
        <v>42370</v>
      </c>
      <c r="M1251" s="28">
        <v>1</v>
      </c>
      <c r="N1251" s="32" t="s">
        <v>176</v>
      </c>
      <c r="O1251" s="28" t="s">
        <v>204</v>
      </c>
      <c r="P1251" s="28" t="s">
        <v>3380</v>
      </c>
      <c r="Q1251" s="28" t="s">
        <v>2075</v>
      </c>
      <c r="R1251" s="28" t="s">
        <v>2076</v>
      </c>
    </row>
    <row r="1252" spans="1:18" hidden="1">
      <c r="A1252" s="28">
        <v>12</v>
      </c>
      <c r="B1252" s="29" t="s">
        <v>195</v>
      </c>
      <c r="C1252" s="29" t="s">
        <v>196</v>
      </c>
      <c r="D1252" s="29" t="s">
        <v>197</v>
      </c>
      <c r="E1252" s="29" t="s">
        <v>172</v>
      </c>
      <c r="F1252" s="28" t="s">
        <v>3373</v>
      </c>
      <c r="G1252" s="28" t="s">
        <v>3374</v>
      </c>
      <c r="H1252" s="28" t="s">
        <v>174</v>
      </c>
      <c r="I1252" s="28" t="s">
        <v>174</v>
      </c>
      <c r="J1252" s="30" t="s">
        <v>174</v>
      </c>
      <c r="K1252" s="28" t="s">
        <v>489</v>
      </c>
      <c r="L1252" s="31">
        <v>42491</v>
      </c>
      <c r="M1252" s="28">
        <v>5</v>
      </c>
      <c r="N1252" s="32" t="s">
        <v>191</v>
      </c>
      <c r="O1252" s="28" t="s">
        <v>204</v>
      </c>
      <c r="P1252" s="28" t="s">
        <v>3381</v>
      </c>
      <c r="Q1252" s="28" t="s">
        <v>2075</v>
      </c>
      <c r="R1252" s="28" t="s">
        <v>2076</v>
      </c>
    </row>
    <row r="1253" spans="1:18" hidden="1">
      <c r="A1253" s="28">
        <v>12</v>
      </c>
      <c r="B1253" s="29" t="s">
        <v>195</v>
      </c>
      <c r="C1253" s="29" t="s">
        <v>196</v>
      </c>
      <c r="D1253" s="29" t="s">
        <v>197</v>
      </c>
      <c r="E1253" s="29" t="s">
        <v>172</v>
      </c>
      <c r="F1253" s="28" t="s">
        <v>3373</v>
      </c>
      <c r="G1253" s="28" t="s">
        <v>3382</v>
      </c>
      <c r="H1253" s="28" t="s">
        <v>384</v>
      </c>
      <c r="I1253" s="28">
        <v>3</v>
      </c>
      <c r="J1253" s="30">
        <v>7.0999999999999994E-2</v>
      </c>
      <c r="K1253" s="28" t="s">
        <v>489</v>
      </c>
      <c r="L1253" s="31">
        <v>42491</v>
      </c>
      <c r="M1253" s="28">
        <v>5</v>
      </c>
      <c r="N1253" s="32" t="s">
        <v>191</v>
      </c>
      <c r="O1253" s="28" t="s">
        <v>204</v>
      </c>
      <c r="P1253" s="28" t="s">
        <v>3383</v>
      </c>
      <c r="Q1253" s="28" t="s">
        <v>3384</v>
      </c>
      <c r="R1253" s="28" t="s">
        <v>3385</v>
      </c>
    </row>
    <row r="1254" spans="1:18" hidden="1">
      <c r="A1254" s="28">
        <v>12</v>
      </c>
      <c r="B1254" s="29" t="s">
        <v>195</v>
      </c>
      <c r="C1254" s="29" t="s">
        <v>196</v>
      </c>
      <c r="D1254" s="29" t="s">
        <v>197</v>
      </c>
      <c r="E1254" s="29" t="s">
        <v>172</v>
      </c>
      <c r="F1254" s="28" t="s">
        <v>3373</v>
      </c>
      <c r="G1254" s="28" t="s">
        <v>3379</v>
      </c>
      <c r="H1254" s="28" t="s">
        <v>384</v>
      </c>
      <c r="I1254" s="28">
        <v>3</v>
      </c>
      <c r="J1254" s="30">
        <v>7.0999999999999994E-2</v>
      </c>
      <c r="K1254" s="28" t="s">
        <v>232</v>
      </c>
      <c r="L1254" s="31">
        <v>42522</v>
      </c>
      <c r="M1254" s="28">
        <v>6</v>
      </c>
      <c r="N1254" s="32" t="s">
        <v>184</v>
      </c>
      <c r="O1254" s="28" t="s">
        <v>204</v>
      </c>
      <c r="P1254" s="28" t="s">
        <v>3386</v>
      </c>
      <c r="Q1254" s="28" t="s">
        <v>3387</v>
      </c>
      <c r="R1254" s="28" t="s">
        <v>2049</v>
      </c>
    </row>
    <row r="1255" spans="1:18" hidden="1">
      <c r="A1255" s="28">
        <v>12</v>
      </c>
      <c r="B1255" s="29" t="s">
        <v>195</v>
      </c>
      <c r="C1255" s="29" t="s">
        <v>196</v>
      </c>
      <c r="D1255" s="29" t="s">
        <v>197</v>
      </c>
      <c r="E1255" s="29" t="s">
        <v>172</v>
      </c>
      <c r="F1255" s="28" t="s">
        <v>3373</v>
      </c>
      <c r="G1255" s="28" t="s">
        <v>3379</v>
      </c>
      <c r="H1255" s="28" t="s">
        <v>384</v>
      </c>
      <c r="I1255" s="28">
        <v>3</v>
      </c>
      <c r="J1255" s="30">
        <v>7.0999999999999994E-2</v>
      </c>
      <c r="K1255" s="28" t="s">
        <v>335</v>
      </c>
      <c r="L1255" s="31">
        <v>42614</v>
      </c>
      <c r="M1255" s="28">
        <v>9</v>
      </c>
      <c r="N1255" s="32" t="s">
        <v>191</v>
      </c>
      <c r="O1255" s="28" t="s">
        <v>204</v>
      </c>
      <c r="P1255" s="28" t="s">
        <v>3388</v>
      </c>
      <c r="Q1255" s="28" t="s">
        <v>3389</v>
      </c>
      <c r="R1255" s="28" t="s">
        <v>2049</v>
      </c>
    </row>
    <row r="1256" spans="1:18" hidden="1">
      <c r="A1256" s="28">
        <v>12</v>
      </c>
      <c r="B1256" s="29" t="s">
        <v>195</v>
      </c>
      <c r="C1256" s="29" t="s">
        <v>196</v>
      </c>
      <c r="D1256" s="29" t="s">
        <v>197</v>
      </c>
      <c r="E1256" s="29" t="s">
        <v>172</v>
      </c>
      <c r="F1256" s="28" t="s">
        <v>3373</v>
      </c>
      <c r="G1256" s="28" t="s">
        <v>3390</v>
      </c>
      <c r="H1256" s="28" t="s">
        <v>174</v>
      </c>
      <c r="I1256" s="28" t="s">
        <v>174</v>
      </c>
      <c r="J1256" s="30" t="s">
        <v>174</v>
      </c>
      <c r="K1256" s="28" t="s">
        <v>289</v>
      </c>
      <c r="L1256" s="31">
        <v>42795</v>
      </c>
      <c r="M1256" s="28">
        <v>3</v>
      </c>
      <c r="N1256" s="32" t="s">
        <v>191</v>
      </c>
      <c r="O1256" s="28" t="s">
        <v>204</v>
      </c>
      <c r="P1256" s="28" t="s">
        <v>3391</v>
      </c>
      <c r="Q1256" s="28" t="s">
        <v>2075</v>
      </c>
      <c r="R1256" s="28" t="s">
        <v>2076</v>
      </c>
    </row>
    <row r="1257" spans="1:18" hidden="1">
      <c r="A1257" s="28">
        <v>12</v>
      </c>
      <c r="B1257" s="29" t="s">
        <v>195</v>
      </c>
      <c r="C1257" s="29" t="s">
        <v>196</v>
      </c>
      <c r="D1257" s="29" t="s">
        <v>197</v>
      </c>
      <c r="E1257" s="29" t="s">
        <v>172</v>
      </c>
      <c r="F1257" s="28" t="s">
        <v>3373</v>
      </c>
      <c r="G1257" s="28" t="s">
        <v>3379</v>
      </c>
      <c r="H1257" s="28" t="s">
        <v>384</v>
      </c>
      <c r="I1257" s="28">
        <v>3</v>
      </c>
      <c r="J1257" s="30">
        <v>7.0999999999999994E-2</v>
      </c>
      <c r="K1257" s="28" t="s">
        <v>496</v>
      </c>
      <c r="L1257" s="31">
        <v>42917</v>
      </c>
      <c r="M1257" s="28">
        <v>7</v>
      </c>
      <c r="N1257" s="32" t="s">
        <v>184</v>
      </c>
      <c r="O1257" s="28" t="s">
        <v>204</v>
      </c>
      <c r="P1257" s="28" t="s">
        <v>3392</v>
      </c>
      <c r="Q1257" s="28" t="s">
        <v>3393</v>
      </c>
      <c r="R1257" s="28" t="s">
        <v>3394</v>
      </c>
    </row>
    <row r="1258" spans="1:18" hidden="1">
      <c r="A1258" s="28">
        <v>12</v>
      </c>
      <c r="B1258" s="29" t="s">
        <v>195</v>
      </c>
      <c r="C1258" s="29" t="s">
        <v>196</v>
      </c>
      <c r="D1258" s="29" t="s">
        <v>197</v>
      </c>
      <c r="E1258" s="29" t="s">
        <v>172</v>
      </c>
      <c r="F1258" s="28" t="s">
        <v>3373</v>
      </c>
      <c r="G1258" s="28" t="s">
        <v>3379</v>
      </c>
      <c r="H1258" s="28" t="s">
        <v>384</v>
      </c>
      <c r="I1258" s="28">
        <v>3</v>
      </c>
      <c r="J1258" s="30">
        <v>7.0999999999999994E-2</v>
      </c>
      <c r="K1258" s="28" t="s">
        <v>813</v>
      </c>
      <c r="L1258" s="31">
        <v>43009</v>
      </c>
      <c r="M1258" s="28">
        <v>10</v>
      </c>
      <c r="N1258" s="32" t="s">
        <v>191</v>
      </c>
      <c r="O1258" s="28" t="s">
        <v>204</v>
      </c>
      <c r="P1258" s="28" t="s">
        <v>3395</v>
      </c>
      <c r="Q1258" s="28" t="s">
        <v>2075</v>
      </c>
      <c r="R1258" s="28" t="s">
        <v>2076</v>
      </c>
    </row>
    <row r="1259" spans="1:18" hidden="1">
      <c r="A1259" s="28">
        <v>12</v>
      </c>
      <c r="B1259" s="29" t="s">
        <v>195</v>
      </c>
      <c r="C1259" s="29" t="s">
        <v>196</v>
      </c>
      <c r="D1259" s="29" t="s">
        <v>197</v>
      </c>
      <c r="E1259" s="29" t="s">
        <v>172</v>
      </c>
      <c r="F1259" s="28" t="s">
        <v>3373</v>
      </c>
      <c r="G1259" s="28" t="s">
        <v>3379</v>
      </c>
      <c r="H1259" s="28" t="s">
        <v>384</v>
      </c>
      <c r="I1259" s="28">
        <v>3</v>
      </c>
      <c r="J1259" s="30">
        <v>7.0999999999999994E-2</v>
      </c>
      <c r="K1259" s="28" t="s">
        <v>435</v>
      </c>
      <c r="L1259" s="31">
        <v>43040</v>
      </c>
      <c r="M1259" s="28">
        <v>11</v>
      </c>
      <c r="N1259" s="32" t="s">
        <v>191</v>
      </c>
      <c r="O1259" s="28" t="s">
        <v>204</v>
      </c>
      <c r="P1259" s="28" t="s">
        <v>3396</v>
      </c>
      <c r="Q1259" s="28" t="s">
        <v>2075</v>
      </c>
      <c r="R1259" s="28" t="s">
        <v>2076</v>
      </c>
    </row>
    <row r="1260" spans="1:18" hidden="1">
      <c r="A1260" s="28">
        <v>12</v>
      </c>
      <c r="B1260" s="29" t="s">
        <v>195</v>
      </c>
      <c r="C1260" s="29" t="s">
        <v>196</v>
      </c>
      <c r="D1260" s="29" t="s">
        <v>197</v>
      </c>
      <c r="E1260" s="29" t="s">
        <v>172</v>
      </c>
      <c r="F1260" s="28" t="s">
        <v>3373</v>
      </c>
      <c r="G1260" s="28" t="s">
        <v>3374</v>
      </c>
      <c r="H1260" s="28" t="s">
        <v>174</v>
      </c>
      <c r="I1260" s="28" t="s">
        <v>174</v>
      </c>
      <c r="J1260" s="30" t="s">
        <v>174</v>
      </c>
      <c r="K1260" s="28" t="s">
        <v>1896</v>
      </c>
      <c r="L1260" s="31">
        <v>43132</v>
      </c>
      <c r="M1260" s="28">
        <v>2</v>
      </c>
      <c r="N1260" s="32" t="s">
        <v>176</v>
      </c>
      <c r="O1260" s="28" t="s">
        <v>204</v>
      </c>
      <c r="P1260" s="28" t="s">
        <v>3397</v>
      </c>
      <c r="Q1260" s="28" t="s">
        <v>3398</v>
      </c>
      <c r="R1260" s="28" t="s">
        <v>3399</v>
      </c>
    </row>
    <row r="1261" spans="1:18" hidden="1">
      <c r="A1261" s="28">
        <v>12</v>
      </c>
      <c r="B1261" s="29" t="s">
        <v>195</v>
      </c>
      <c r="C1261" s="29" t="s">
        <v>196</v>
      </c>
      <c r="D1261" s="29" t="s">
        <v>197</v>
      </c>
      <c r="E1261" s="29" t="s">
        <v>172</v>
      </c>
      <c r="F1261" s="28" t="s">
        <v>3373</v>
      </c>
      <c r="G1261" s="28" t="s">
        <v>3382</v>
      </c>
      <c r="H1261" s="28" t="s">
        <v>384</v>
      </c>
      <c r="I1261" s="28">
        <v>3</v>
      </c>
      <c r="J1261" s="30">
        <v>7.0999999999999994E-2</v>
      </c>
      <c r="K1261" s="28" t="s">
        <v>473</v>
      </c>
      <c r="L1261" s="31">
        <v>43160</v>
      </c>
      <c r="M1261" s="28">
        <v>3</v>
      </c>
      <c r="N1261" s="32" t="s">
        <v>191</v>
      </c>
      <c r="O1261" s="28" t="s">
        <v>204</v>
      </c>
      <c r="P1261" s="28" t="s">
        <v>3400</v>
      </c>
      <c r="Q1261" s="28" t="s">
        <v>3384</v>
      </c>
      <c r="R1261" s="28" t="s">
        <v>3385</v>
      </c>
    </row>
    <row r="1262" spans="1:18" hidden="1">
      <c r="A1262" s="28">
        <v>12</v>
      </c>
      <c r="B1262" s="29" t="s">
        <v>195</v>
      </c>
      <c r="C1262" s="29" t="s">
        <v>196</v>
      </c>
      <c r="D1262" s="29" t="s">
        <v>197</v>
      </c>
      <c r="E1262" s="29" t="s">
        <v>172</v>
      </c>
      <c r="F1262" s="28" t="s">
        <v>3373</v>
      </c>
      <c r="G1262" s="28" t="s">
        <v>3382</v>
      </c>
      <c r="H1262" s="28" t="s">
        <v>384</v>
      </c>
      <c r="I1262" s="28">
        <v>3</v>
      </c>
      <c r="J1262" s="30">
        <v>7.0999999999999994E-2</v>
      </c>
      <c r="K1262" s="28" t="s">
        <v>473</v>
      </c>
      <c r="L1262" s="31">
        <v>43160</v>
      </c>
      <c r="M1262" s="28">
        <v>3</v>
      </c>
      <c r="N1262" s="32" t="s">
        <v>191</v>
      </c>
      <c r="O1262" s="28" t="s">
        <v>204</v>
      </c>
      <c r="P1262" s="28" t="s">
        <v>3401</v>
      </c>
      <c r="Q1262" s="28" t="s">
        <v>3384</v>
      </c>
      <c r="R1262" s="28" t="s">
        <v>3385</v>
      </c>
    </row>
    <row r="1263" spans="1:18" hidden="1">
      <c r="A1263" s="28">
        <v>12</v>
      </c>
      <c r="B1263" s="29" t="s">
        <v>195</v>
      </c>
      <c r="C1263" s="29" t="s">
        <v>196</v>
      </c>
      <c r="D1263" s="29" t="s">
        <v>197</v>
      </c>
      <c r="E1263" s="29" t="s">
        <v>172</v>
      </c>
      <c r="F1263" s="28" t="s">
        <v>3373</v>
      </c>
      <c r="G1263" s="28" t="s">
        <v>3379</v>
      </c>
      <c r="H1263" s="28" t="s">
        <v>384</v>
      </c>
      <c r="I1263" s="28">
        <v>3</v>
      </c>
      <c r="J1263" s="30">
        <v>7.0999999999999994E-2</v>
      </c>
      <c r="K1263" s="28" t="s">
        <v>405</v>
      </c>
      <c r="L1263" s="31">
        <v>43221</v>
      </c>
      <c r="M1263" s="28">
        <v>5</v>
      </c>
      <c r="N1263" s="32" t="s">
        <v>191</v>
      </c>
      <c r="O1263" s="28" t="s">
        <v>204</v>
      </c>
      <c r="P1263" s="28" t="s">
        <v>3402</v>
      </c>
      <c r="Q1263" s="28" t="s">
        <v>3384</v>
      </c>
      <c r="R1263" s="28" t="s">
        <v>3403</v>
      </c>
    </row>
    <row r="1264" spans="1:18" hidden="1">
      <c r="A1264" s="28">
        <v>12</v>
      </c>
      <c r="B1264" s="29" t="s">
        <v>195</v>
      </c>
      <c r="C1264" s="29" t="s">
        <v>196</v>
      </c>
      <c r="D1264" s="29" t="s">
        <v>197</v>
      </c>
      <c r="E1264" s="29" t="s">
        <v>172</v>
      </c>
      <c r="F1264" s="28" t="s">
        <v>3373</v>
      </c>
      <c r="G1264" s="28" t="s">
        <v>3379</v>
      </c>
      <c r="H1264" s="28" t="s">
        <v>384</v>
      </c>
      <c r="I1264" s="28">
        <v>3</v>
      </c>
      <c r="J1264" s="30">
        <v>7.0999999999999994E-2</v>
      </c>
      <c r="K1264" s="28" t="s">
        <v>212</v>
      </c>
      <c r="L1264" s="31">
        <v>43313</v>
      </c>
      <c r="M1264" s="28">
        <v>8</v>
      </c>
      <c r="N1264" s="32" t="s">
        <v>184</v>
      </c>
      <c r="O1264" s="28" t="s">
        <v>204</v>
      </c>
      <c r="P1264" s="28" t="s">
        <v>3404</v>
      </c>
      <c r="Q1264" s="28" t="s">
        <v>2075</v>
      </c>
      <c r="R1264" s="28" t="s">
        <v>2076</v>
      </c>
    </row>
    <row r="1265" spans="1:18" hidden="1">
      <c r="A1265" s="28">
        <v>12</v>
      </c>
      <c r="B1265" s="29" t="s">
        <v>195</v>
      </c>
      <c r="C1265" s="29" t="s">
        <v>196</v>
      </c>
      <c r="D1265" s="29" t="s">
        <v>197</v>
      </c>
      <c r="E1265" s="29" t="s">
        <v>172</v>
      </c>
      <c r="F1265" s="28" t="s">
        <v>3373</v>
      </c>
      <c r="G1265" s="28" t="s">
        <v>3379</v>
      </c>
      <c r="H1265" s="28" t="s">
        <v>384</v>
      </c>
      <c r="I1265" s="28">
        <v>3</v>
      </c>
      <c r="J1265" s="30">
        <v>7.0999999999999994E-2</v>
      </c>
      <c r="K1265" s="28" t="s">
        <v>3405</v>
      </c>
      <c r="L1265" s="31">
        <v>43313</v>
      </c>
      <c r="M1265" s="28">
        <v>8</v>
      </c>
      <c r="N1265" s="32" t="s">
        <v>184</v>
      </c>
      <c r="O1265" s="28" t="s">
        <v>204</v>
      </c>
      <c r="P1265" s="28" t="s">
        <v>3406</v>
      </c>
      <c r="Q1265" s="28" t="s">
        <v>3387</v>
      </c>
      <c r="R1265" s="28" t="s">
        <v>2049</v>
      </c>
    </row>
    <row r="1266" spans="1:18" hidden="1">
      <c r="A1266" s="28">
        <v>12</v>
      </c>
      <c r="B1266" s="29" t="s">
        <v>195</v>
      </c>
      <c r="C1266" s="29" t="s">
        <v>196</v>
      </c>
      <c r="D1266" s="29" t="s">
        <v>197</v>
      </c>
      <c r="E1266" s="29" t="s">
        <v>172</v>
      </c>
      <c r="F1266" s="28" t="s">
        <v>3373</v>
      </c>
      <c r="G1266" s="28" t="s">
        <v>3379</v>
      </c>
      <c r="H1266" s="28" t="s">
        <v>384</v>
      </c>
      <c r="I1266" s="28">
        <v>3</v>
      </c>
      <c r="J1266" s="30">
        <v>7.0999999999999994E-2</v>
      </c>
      <c r="K1266" s="28" t="s">
        <v>1136</v>
      </c>
      <c r="L1266" s="31">
        <v>43497</v>
      </c>
      <c r="M1266" s="28">
        <v>2</v>
      </c>
      <c r="N1266" s="32" t="s">
        <v>176</v>
      </c>
      <c r="O1266" s="28" t="s">
        <v>204</v>
      </c>
      <c r="P1266" s="28" t="s">
        <v>3407</v>
      </c>
      <c r="Q1266" s="28" t="s">
        <v>2075</v>
      </c>
      <c r="R1266" s="28" t="s">
        <v>2076</v>
      </c>
    </row>
    <row r="1267" spans="1:18" hidden="1">
      <c r="A1267" s="28">
        <v>12</v>
      </c>
      <c r="B1267" s="29" t="s">
        <v>195</v>
      </c>
      <c r="C1267" s="29" t="s">
        <v>196</v>
      </c>
      <c r="D1267" s="29" t="s">
        <v>197</v>
      </c>
      <c r="E1267" s="29" t="s">
        <v>172</v>
      </c>
      <c r="F1267" s="28" t="s">
        <v>3373</v>
      </c>
      <c r="G1267" s="28" t="s">
        <v>3382</v>
      </c>
      <c r="H1267" s="28" t="s">
        <v>384</v>
      </c>
      <c r="I1267" s="28">
        <v>3</v>
      </c>
      <c r="J1267" s="30">
        <v>7.0999999999999994E-2</v>
      </c>
      <c r="K1267" s="28" t="s">
        <v>1136</v>
      </c>
      <c r="L1267" s="31">
        <v>43497</v>
      </c>
      <c r="M1267" s="28">
        <v>2</v>
      </c>
      <c r="N1267" s="32" t="s">
        <v>176</v>
      </c>
      <c r="O1267" s="28" t="s">
        <v>204</v>
      </c>
      <c r="P1267" s="28" t="s">
        <v>3408</v>
      </c>
      <c r="Q1267" s="28" t="s">
        <v>3384</v>
      </c>
      <c r="R1267" s="28" t="s">
        <v>3385</v>
      </c>
    </row>
    <row r="1268" spans="1:18" hidden="1">
      <c r="A1268" s="28">
        <v>12</v>
      </c>
      <c r="B1268" s="29" t="s">
        <v>195</v>
      </c>
      <c r="C1268" s="29" t="s">
        <v>196</v>
      </c>
      <c r="D1268" s="29" t="s">
        <v>197</v>
      </c>
      <c r="E1268" s="29" t="s">
        <v>172</v>
      </c>
      <c r="F1268" s="28" t="s">
        <v>3373</v>
      </c>
      <c r="G1268" s="28" t="s">
        <v>3379</v>
      </c>
      <c r="H1268" s="28" t="s">
        <v>384</v>
      </c>
      <c r="I1268" s="28">
        <v>3</v>
      </c>
      <c r="J1268" s="30">
        <v>7.0999999999999994E-2</v>
      </c>
      <c r="K1268" s="28" t="s">
        <v>278</v>
      </c>
      <c r="L1268" s="31">
        <v>43525</v>
      </c>
      <c r="M1268" s="28">
        <v>3</v>
      </c>
      <c r="N1268" s="32" t="s">
        <v>191</v>
      </c>
      <c r="O1268" s="28" t="s">
        <v>204</v>
      </c>
      <c r="P1268" s="28" t="s">
        <v>3409</v>
      </c>
      <c r="Q1268" s="28" t="s">
        <v>3410</v>
      </c>
      <c r="R1268" s="28" t="s">
        <v>2049</v>
      </c>
    </row>
    <row r="1269" spans="1:18" hidden="1">
      <c r="A1269" s="28">
        <v>12</v>
      </c>
      <c r="B1269" s="29" t="s">
        <v>195</v>
      </c>
      <c r="C1269" s="29" t="s">
        <v>196</v>
      </c>
      <c r="D1269" s="29" t="s">
        <v>197</v>
      </c>
      <c r="E1269" s="29" t="s">
        <v>172</v>
      </c>
      <c r="F1269" s="28" t="s">
        <v>3373</v>
      </c>
      <c r="G1269" s="28" t="s">
        <v>3379</v>
      </c>
      <c r="H1269" s="28" t="s">
        <v>384</v>
      </c>
      <c r="I1269" s="28">
        <v>3</v>
      </c>
      <c r="J1269" s="30">
        <v>7.0999999999999994E-2</v>
      </c>
      <c r="K1269" s="28" t="s">
        <v>397</v>
      </c>
      <c r="L1269" s="31">
        <v>43739</v>
      </c>
      <c r="M1269" s="28">
        <v>10</v>
      </c>
      <c r="N1269" s="32" t="s">
        <v>191</v>
      </c>
      <c r="O1269" s="28" t="s">
        <v>204</v>
      </c>
      <c r="P1269" s="28" t="s">
        <v>3411</v>
      </c>
      <c r="Q1269" s="28" t="s">
        <v>413</v>
      </c>
      <c r="R1269" s="28" t="s">
        <v>414</v>
      </c>
    </row>
    <row r="1270" spans="1:18" hidden="1">
      <c r="A1270" s="28">
        <v>12</v>
      </c>
      <c r="B1270" s="29" t="s">
        <v>195</v>
      </c>
      <c r="C1270" s="29" t="s">
        <v>196</v>
      </c>
      <c r="D1270" s="29" t="s">
        <v>197</v>
      </c>
      <c r="E1270" s="29" t="s">
        <v>172</v>
      </c>
      <c r="F1270" s="28" t="s">
        <v>3373</v>
      </c>
      <c r="G1270" s="28" t="s">
        <v>3379</v>
      </c>
      <c r="H1270" s="28" t="s">
        <v>384</v>
      </c>
      <c r="I1270" s="28">
        <v>3</v>
      </c>
      <c r="J1270" s="30">
        <v>7.0999999999999994E-2</v>
      </c>
      <c r="K1270" s="28" t="s">
        <v>324</v>
      </c>
      <c r="L1270" s="31">
        <v>43862</v>
      </c>
      <c r="M1270" s="28">
        <v>2</v>
      </c>
      <c r="N1270" s="32" t="s">
        <v>176</v>
      </c>
      <c r="O1270" s="28" t="s">
        <v>204</v>
      </c>
      <c r="P1270" s="28" t="s">
        <v>3412</v>
      </c>
      <c r="Q1270" s="28" t="s">
        <v>2075</v>
      </c>
      <c r="R1270" s="28" t="s">
        <v>2076</v>
      </c>
    </row>
    <row r="1271" spans="1:18" hidden="1">
      <c r="A1271" s="28">
        <v>12</v>
      </c>
      <c r="B1271" s="29" t="s">
        <v>195</v>
      </c>
      <c r="C1271" s="29" t="s">
        <v>196</v>
      </c>
      <c r="D1271" s="29" t="s">
        <v>197</v>
      </c>
      <c r="E1271" s="29" t="s">
        <v>172</v>
      </c>
      <c r="F1271" s="28" t="s">
        <v>3373</v>
      </c>
      <c r="G1271" s="28" t="s">
        <v>3390</v>
      </c>
      <c r="H1271" s="28" t="s">
        <v>174</v>
      </c>
      <c r="I1271" s="28" t="s">
        <v>174</v>
      </c>
      <c r="J1271" s="30" t="s">
        <v>174</v>
      </c>
      <c r="K1271" s="28" t="s">
        <v>328</v>
      </c>
      <c r="L1271" s="31">
        <v>43891</v>
      </c>
      <c r="M1271" s="28">
        <v>3</v>
      </c>
      <c r="N1271" s="32" t="s">
        <v>191</v>
      </c>
      <c r="O1271" s="28" t="s">
        <v>204</v>
      </c>
      <c r="P1271" s="28" t="s">
        <v>3413</v>
      </c>
      <c r="Q1271" s="28" t="s">
        <v>2075</v>
      </c>
      <c r="R1271" s="28" t="s">
        <v>2076</v>
      </c>
    </row>
    <row r="1272" spans="1:18" hidden="1">
      <c r="A1272" s="28">
        <v>12</v>
      </c>
      <c r="B1272" s="29" t="s">
        <v>195</v>
      </c>
      <c r="C1272" s="29" t="s">
        <v>196</v>
      </c>
      <c r="D1272" s="29" t="s">
        <v>197</v>
      </c>
      <c r="E1272" s="29" t="s">
        <v>172</v>
      </c>
      <c r="F1272" s="28" t="s">
        <v>3373</v>
      </c>
      <c r="G1272" s="28" t="s">
        <v>3379</v>
      </c>
      <c r="H1272" s="28" t="s">
        <v>384</v>
      </c>
      <c r="I1272" s="28">
        <v>3</v>
      </c>
      <c r="J1272" s="30">
        <v>7.0999999999999994E-2</v>
      </c>
      <c r="K1272" s="28" t="s">
        <v>415</v>
      </c>
      <c r="L1272" s="31">
        <v>43952</v>
      </c>
      <c r="M1272" s="28">
        <v>5</v>
      </c>
      <c r="N1272" s="32" t="s">
        <v>191</v>
      </c>
      <c r="O1272" s="28" t="s">
        <v>204</v>
      </c>
      <c r="P1272" s="28" t="s">
        <v>3414</v>
      </c>
      <c r="Q1272" s="28" t="s">
        <v>2075</v>
      </c>
      <c r="R1272" s="28" t="s">
        <v>2076</v>
      </c>
    </row>
    <row r="1273" spans="1:18" hidden="1">
      <c r="A1273" s="28">
        <v>12</v>
      </c>
      <c r="B1273" s="29" t="s">
        <v>195</v>
      </c>
      <c r="C1273" s="29" t="s">
        <v>196</v>
      </c>
      <c r="D1273" s="29" t="s">
        <v>197</v>
      </c>
      <c r="E1273" s="29" t="s">
        <v>172</v>
      </c>
      <c r="F1273" s="28" t="s">
        <v>3373</v>
      </c>
      <c r="G1273" s="28" t="s">
        <v>3379</v>
      </c>
      <c r="H1273" s="28" t="s">
        <v>384</v>
      </c>
      <c r="I1273" s="28">
        <v>3</v>
      </c>
      <c r="J1273" s="30">
        <v>7.0999999999999994E-2</v>
      </c>
      <c r="K1273" s="28" t="s">
        <v>415</v>
      </c>
      <c r="L1273" s="31">
        <v>43952</v>
      </c>
      <c r="M1273" s="28">
        <v>5</v>
      </c>
      <c r="N1273" s="32" t="s">
        <v>191</v>
      </c>
      <c r="O1273" s="28" t="s">
        <v>204</v>
      </c>
      <c r="P1273" s="28" t="s">
        <v>3415</v>
      </c>
      <c r="Q1273" s="28" t="s">
        <v>2075</v>
      </c>
      <c r="R1273" s="28" t="s">
        <v>2076</v>
      </c>
    </row>
    <row r="1274" spans="1:18" hidden="1">
      <c r="A1274" s="28">
        <v>12</v>
      </c>
      <c r="B1274" s="29" t="s">
        <v>195</v>
      </c>
      <c r="C1274" s="29" t="s">
        <v>196</v>
      </c>
      <c r="D1274" s="29" t="s">
        <v>197</v>
      </c>
      <c r="E1274" s="29" t="s">
        <v>172</v>
      </c>
      <c r="F1274" s="28" t="s">
        <v>3373</v>
      </c>
      <c r="G1274" s="28" t="s">
        <v>3379</v>
      </c>
      <c r="H1274" s="28" t="s">
        <v>384</v>
      </c>
      <c r="I1274" s="28">
        <v>3</v>
      </c>
      <c r="J1274" s="30">
        <v>7.0999999999999994E-2</v>
      </c>
      <c r="K1274" s="28" t="s">
        <v>415</v>
      </c>
      <c r="L1274" s="31">
        <v>43952</v>
      </c>
      <c r="M1274" s="28">
        <v>5</v>
      </c>
      <c r="N1274" s="32" t="s">
        <v>191</v>
      </c>
      <c r="O1274" s="28" t="s">
        <v>204</v>
      </c>
      <c r="P1274" s="28" t="s">
        <v>3416</v>
      </c>
      <c r="Q1274" s="28" t="s">
        <v>2075</v>
      </c>
      <c r="R1274" s="28" t="s">
        <v>2076</v>
      </c>
    </row>
    <row r="1275" spans="1:18" hidden="1">
      <c r="A1275" s="28">
        <v>12</v>
      </c>
      <c r="B1275" s="29" t="s">
        <v>195</v>
      </c>
      <c r="C1275" s="29" t="s">
        <v>196</v>
      </c>
      <c r="D1275" s="29" t="s">
        <v>197</v>
      </c>
      <c r="E1275" s="29" t="s">
        <v>172</v>
      </c>
      <c r="F1275" s="28" t="s">
        <v>3373</v>
      </c>
      <c r="G1275" s="28" t="s">
        <v>3390</v>
      </c>
      <c r="H1275" s="28" t="s">
        <v>174</v>
      </c>
      <c r="I1275" s="28" t="s">
        <v>174</v>
      </c>
      <c r="J1275" s="30" t="s">
        <v>174</v>
      </c>
      <c r="K1275" s="28" t="s">
        <v>415</v>
      </c>
      <c r="L1275" s="31">
        <v>43952</v>
      </c>
      <c r="M1275" s="28">
        <v>5</v>
      </c>
      <c r="N1275" s="32" t="s">
        <v>191</v>
      </c>
      <c r="O1275" s="28" t="s">
        <v>204</v>
      </c>
      <c r="P1275" s="28" t="s">
        <v>3417</v>
      </c>
      <c r="Q1275" s="28" t="s">
        <v>2075</v>
      </c>
      <c r="R1275" s="28" t="s">
        <v>2076</v>
      </c>
    </row>
    <row r="1276" spans="1:18" hidden="1">
      <c r="A1276" s="28">
        <v>12</v>
      </c>
      <c r="B1276" s="29" t="s">
        <v>195</v>
      </c>
      <c r="C1276" s="29" t="s">
        <v>196</v>
      </c>
      <c r="D1276" s="29" t="s">
        <v>197</v>
      </c>
      <c r="E1276" s="29" t="s">
        <v>172</v>
      </c>
      <c r="F1276" s="28" t="s">
        <v>3373</v>
      </c>
      <c r="G1276" s="28" t="s">
        <v>3379</v>
      </c>
      <c r="H1276" s="28" t="s">
        <v>384</v>
      </c>
      <c r="I1276" s="28">
        <v>3</v>
      </c>
      <c r="J1276" s="30">
        <v>7.0999999999999994E-2</v>
      </c>
      <c r="K1276" s="28" t="s">
        <v>430</v>
      </c>
      <c r="L1276" s="31">
        <v>44105</v>
      </c>
      <c r="M1276" s="28">
        <v>10</v>
      </c>
      <c r="N1276" s="32" t="s">
        <v>191</v>
      </c>
      <c r="O1276" s="28" t="s">
        <v>204</v>
      </c>
      <c r="P1276" s="28" t="s">
        <v>3418</v>
      </c>
      <c r="Q1276" s="28" t="s">
        <v>3387</v>
      </c>
      <c r="R1276" s="28" t="s">
        <v>2049</v>
      </c>
    </row>
    <row r="1277" spans="1:18" hidden="1">
      <c r="A1277" s="28">
        <v>12</v>
      </c>
      <c r="B1277" s="29" t="s">
        <v>195</v>
      </c>
      <c r="C1277" s="29" t="s">
        <v>196</v>
      </c>
      <c r="D1277" s="29" t="s">
        <v>197</v>
      </c>
      <c r="E1277" s="29" t="s">
        <v>172</v>
      </c>
      <c r="F1277" s="28" t="s">
        <v>3373</v>
      </c>
      <c r="G1277" s="28" t="s">
        <v>3374</v>
      </c>
      <c r="H1277" s="28" t="s">
        <v>174</v>
      </c>
      <c r="I1277" s="28" t="s">
        <v>174</v>
      </c>
      <c r="J1277" s="30" t="s">
        <v>174</v>
      </c>
      <c r="K1277" s="28" t="s">
        <v>962</v>
      </c>
      <c r="L1277" s="31">
        <v>44348</v>
      </c>
      <c r="M1277" s="28">
        <v>6</v>
      </c>
      <c r="N1277" s="32" t="s">
        <v>184</v>
      </c>
      <c r="O1277" s="28" t="s">
        <v>204</v>
      </c>
      <c r="P1277" s="28" t="s">
        <v>3419</v>
      </c>
      <c r="Q1277" s="28" t="s">
        <v>3420</v>
      </c>
      <c r="R1277" s="28" t="s">
        <v>3421</v>
      </c>
    </row>
    <row r="1278" spans="1:18" hidden="1">
      <c r="A1278" s="28">
        <v>12</v>
      </c>
      <c r="B1278" s="29" t="s">
        <v>195</v>
      </c>
      <c r="C1278" s="29" t="s">
        <v>196</v>
      </c>
      <c r="D1278" s="29" t="s">
        <v>197</v>
      </c>
      <c r="E1278" s="29" t="s">
        <v>172</v>
      </c>
      <c r="F1278" s="28" t="s">
        <v>3373</v>
      </c>
      <c r="G1278" s="28" t="s">
        <v>3379</v>
      </c>
      <c r="H1278" s="28" t="s">
        <v>384</v>
      </c>
      <c r="I1278" s="28">
        <v>3</v>
      </c>
      <c r="J1278" s="30">
        <v>7.0999999999999994E-2</v>
      </c>
      <c r="K1278" s="28" t="s">
        <v>712</v>
      </c>
      <c r="L1278" s="31">
        <v>44470</v>
      </c>
      <c r="M1278" s="28">
        <v>10</v>
      </c>
      <c r="N1278" s="32" t="s">
        <v>191</v>
      </c>
      <c r="O1278" s="28" t="s">
        <v>204</v>
      </c>
      <c r="P1278" s="28" t="s">
        <v>3422</v>
      </c>
      <c r="Q1278" s="28" t="s">
        <v>2075</v>
      </c>
      <c r="R1278" s="28" t="s">
        <v>2076</v>
      </c>
    </row>
    <row r="1279" spans="1:18" hidden="1">
      <c r="A1279" s="28">
        <v>12</v>
      </c>
      <c r="B1279" s="29" t="s">
        <v>195</v>
      </c>
      <c r="C1279" s="29" t="s">
        <v>196</v>
      </c>
      <c r="D1279" s="29" t="s">
        <v>197</v>
      </c>
      <c r="E1279" s="29" t="s">
        <v>172</v>
      </c>
      <c r="F1279" s="28" t="s">
        <v>3373</v>
      </c>
      <c r="G1279" s="28" t="s">
        <v>3379</v>
      </c>
      <c r="H1279" s="28" t="s">
        <v>384</v>
      </c>
      <c r="I1279" s="28">
        <v>3</v>
      </c>
      <c r="J1279" s="30">
        <v>7.0999999999999994E-2</v>
      </c>
      <c r="K1279" s="28" t="s">
        <v>670</v>
      </c>
      <c r="L1279" s="31">
        <v>44501</v>
      </c>
      <c r="M1279" s="28">
        <v>11</v>
      </c>
      <c r="N1279" s="32" t="s">
        <v>191</v>
      </c>
      <c r="O1279" s="28" t="s">
        <v>794</v>
      </c>
      <c r="P1279" s="28" t="s">
        <v>3423</v>
      </c>
      <c r="Q1279" s="28" t="s">
        <v>3424</v>
      </c>
      <c r="R1279" s="28" t="s">
        <v>3425</v>
      </c>
    </row>
    <row r="1280" spans="1:18" hidden="1">
      <c r="A1280" s="28">
        <v>12</v>
      </c>
      <c r="B1280" s="29" t="s">
        <v>195</v>
      </c>
      <c r="C1280" s="29" t="s">
        <v>196</v>
      </c>
      <c r="D1280" s="29" t="s">
        <v>197</v>
      </c>
      <c r="E1280" s="29" t="s">
        <v>172</v>
      </c>
      <c r="F1280" s="28" t="s">
        <v>3373</v>
      </c>
      <c r="G1280" s="28" t="s">
        <v>3382</v>
      </c>
      <c r="H1280" s="28" t="s">
        <v>384</v>
      </c>
      <c r="I1280" s="28">
        <v>3</v>
      </c>
      <c r="J1280" s="30">
        <v>7.0999999999999994E-2</v>
      </c>
      <c r="K1280" s="28" t="s">
        <v>3426</v>
      </c>
      <c r="L1280" s="31" t="s">
        <v>221</v>
      </c>
      <c r="M1280" s="28" t="e">
        <v>#VALUE!</v>
      </c>
      <c r="N1280" s="32" t="e">
        <v>#VALUE!</v>
      </c>
      <c r="O1280" s="28" t="s">
        <v>204</v>
      </c>
      <c r="P1280" s="28" t="s">
        <v>3427</v>
      </c>
      <c r="Q1280" s="28" t="s">
        <v>3384</v>
      </c>
      <c r="R1280" s="28" t="s">
        <v>3385</v>
      </c>
    </row>
    <row r="1281" spans="1:18" hidden="1">
      <c r="A1281" s="28">
        <v>12</v>
      </c>
      <c r="B1281" s="29" t="s">
        <v>195</v>
      </c>
      <c r="C1281" s="29" t="s">
        <v>196</v>
      </c>
      <c r="D1281" s="29" t="s">
        <v>197</v>
      </c>
      <c r="E1281" s="29" t="s">
        <v>172</v>
      </c>
      <c r="F1281" s="28" t="s">
        <v>3373</v>
      </c>
      <c r="G1281" s="28" t="s">
        <v>3379</v>
      </c>
      <c r="H1281" s="28" t="s">
        <v>384</v>
      </c>
      <c r="I1281" s="28">
        <v>3</v>
      </c>
      <c r="J1281" s="30">
        <v>7.0999999999999994E-2</v>
      </c>
      <c r="K1281" s="28" t="s">
        <v>3428</v>
      </c>
      <c r="L1281" s="31" t="s">
        <v>221</v>
      </c>
      <c r="M1281" s="28" t="e">
        <v>#VALUE!</v>
      </c>
      <c r="N1281" s="32" t="e">
        <v>#VALUE!</v>
      </c>
      <c r="O1281" s="28" t="s">
        <v>204</v>
      </c>
      <c r="P1281" s="28" t="s">
        <v>3429</v>
      </c>
      <c r="Q1281" s="28" t="s">
        <v>3430</v>
      </c>
      <c r="R1281" s="28" t="s">
        <v>3431</v>
      </c>
    </row>
    <row r="1282" spans="1:18" hidden="1">
      <c r="A1282" s="28">
        <v>12</v>
      </c>
      <c r="B1282" s="29" t="s">
        <v>195</v>
      </c>
      <c r="C1282" s="29" t="s">
        <v>1391</v>
      </c>
      <c r="D1282" s="29" t="s">
        <v>3432</v>
      </c>
      <c r="E1282" s="29" t="s">
        <v>172</v>
      </c>
      <c r="F1282" s="28" t="s">
        <v>3373</v>
      </c>
      <c r="G1282" s="28" t="s">
        <v>3374</v>
      </c>
      <c r="H1282" s="28" t="s">
        <v>174</v>
      </c>
      <c r="I1282" s="28" t="s">
        <v>174</v>
      </c>
      <c r="J1282" s="30" t="s">
        <v>174</v>
      </c>
      <c r="K1282" s="28" t="s">
        <v>267</v>
      </c>
      <c r="L1282" s="31">
        <v>42583</v>
      </c>
      <c r="M1282" s="28">
        <v>8</v>
      </c>
      <c r="N1282" s="32" t="s">
        <v>184</v>
      </c>
      <c r="O1282" s="28" t="s">
        <v>204</v>
      </c>
      <c r="P1282" s="28" t="s">
        <v>3433</v>
      </c>
      <c r="Q1282" s="28" t="s">
        <v>3434</v>
      </c>
      <c r="R1282" s="28" t="s">
        <v>3435</v>
      </c>
    </row>
    <row r="1283" spans="1:18" hidden="1">
      <c r="A1283" s="28">
        <v>12</v>
      </c>
      <c r="B1283" s="29" t="s">
        <v>195</v>
      </c>
      <c r="C1283" s="29" t="s">
        <v>230</v>
      </c>
      <c r="D1283" s="29" t="s">
        <v>231</v>
      </c>
      <c r="E1283" s="29" t="s">
        <v>172</v>
      </c>
      <c r="F1283" s="28" t="s">
        <v>3373</v>
      </c>
      <c r="G1283" s="28" t="s">
        <v>3379</v>
      </c>
      <c r="H1283" s="28" t="s">
        <v>384</v>
      </c>
      <c r="I1283" s="28">
        <v>3</v>
      </c>
      <c r="J1283" s="30">
        <v>7.0999999999999994E-2</v>
      </c>
      <c r="K1283" s="28" t="s">
        <v>3436</v>
      </c>
      <c r="L1283" s="31">
        <v>42005</v>
      </c>
      <c r="M1283" s="28">
        <v>1</v>
      </c>
      <c r="N1283" s="32" t="s">
        <v>176</v>
      </c>
      <c r="O1283" s="28" t="s">
        <v>204</v>
      </c>
      <c r="P1283" s="28" t="s">
        <v>3437</v>
      </c>
      <c r="Q1283" s="28" t="s">
        <v>3438</v>
      </c>
      <c r="R1283" s="28" t="s">
        <v>3439</v>
      </c>
    </row>
    <row r="1284" spans="1:18" hidden="1">
      <c r="A1284" s="28">
        <v>12</v>
      </c>
      <c r="B1284" s="29" t="s">
        <v>195</v>
      </c>
      <c r="C1284" s="29" t="s">
        <v>230</v>
      </c>
      <c r="D1284" s="29" t="s">
        <v>231</v>
      </c>
      <c r="E1284" s="29" t="s">
        <v>172</v>
      </c>
      <c r="F1284" s="28" t="s">
        <v>3373</v>
      </c>
      <c r="G1284" s="28" t="s">
        <v>3379</v>
      </c>
      <c r="H1284" s="28" t="s">
        <v>384</v>
      </c>
      <c r="I1284" s="28">
        <v>3</v>
      </c>
      <c r="J1284" s="30">
        <v>7.0999999999999994E-2</v>
      </c>
      <c r="K1284" s="28" t="s">
        <v>430</v>
      </c>
      <c r="L1284" s="31">
        <v>44105</v>
      </c>
      <c r="M1284" s="28">
        <v>10</v>
      </c>
      <c r="N1284" s="32" t="s">
        <v>191</v>
      </c>
      <c r="O1284" s="28" t="s">
        <v>204</v>
      </c>
      <c r="P1284" s="28" t="s">
        <v>3440</v>
      </c>
      <c r="Q1284" s="28" t="s">
        <v>3441</v>
      </c>
      <c r="R1284" s="28" t="s">
        <v>3442</v>
      </c>
    </row>
    <row r="1285" spans="1:18" hidden="1">
      <c r="A1285" s="28">
        <v>2</v>
      </c>
      <c r="B1285" s="29" t="s">
        <v>240</v>
      </c>
      <c r="C1285" s="29" t="s">
        <v>241</v>
      </c>
      <c r="D1285" s="29" t="s">
        <v>242</v>
      </c>
      <c r="E1285" s="29" t="s">
        <v>172</v>
      </c>
      <c r="F1285" s="28" t="s">
        <v>3373</v>
      </c>
      <c r="G1285" s="28" t="s">
        <v>3379</v>
      </c>
      <c r="H1285" s="28" t="s">
        <v>384</v>
      </c>
      <c r="I1285" s="28">
        <v>3</v>
      </c>
      <c r="J1285" s="30">
        <v>7.0999999999999994E-2</v>
      </c>
      <c r="K1285" s="28" t="s">
        <v>214</v>
      </c>
      <c r="L1285" s="31">
        <v>43466</v>
      </c>
      <c r="M1285" s="28">
        <v>1</v>
      </c>
      <c r="N1285" s="32" t="s">
        <v>176</v>
      </c>
      <c r="O1285" s="28" t="s">
        <v>204</v>
      </c>
      <c r="P1285" s="28" t="s">
        <v>3443</v>
      </c>
      <c r="Q1285" s="28" t="s">
        <v>3444</v>
      </c>
      <c r="R1285" s="28" t="s">
        <v>3445</v>
      </c>
    </row>
    <row r="1286" spans="1:18" hidden="1">
      <c r="A1286" s="28">
        <v>2</v>
      </c>
      <c r="B1286" s="29" t="s">
        <v>240</v>
      </c>
      <c r="C1286" s="29" t="s">
        <v>276</v>
      </c>
      <c r="D1286" s="29" t="s">
        <v>277</v>
      </c>
      <c r="E1286" s="29" t="s">
        <v>172</v>
      </c>
      <c r="F1286" s="28" t="s">
        <v>3373</v>
      </c>
      <c r="G1286" s="28" t="s">
        <v>3379</v>
      </c>
      <c r="H1286" s="28" t="s">
        <v>384</v>
      </c>
      <c r="I1286" s="28">
        <v>3</v>
      </c>
      <c r="J1286" s="30">
        <v>7.0999999999999994E-2</v>
      </c>
      <c r="K1286" s="28" t="s">
        <v>271</v>
      </c>
      <c r="L1286" s="31">
        <v>42856</v>
      </c>
      <c r="M1286" s="28">
        <v>5</v>
      </c>
      <c r="N1286" s="32" t="s">
        <v>191</v>
      </c>
      <c r="O1286" s="28" t="s">
        <v>204</v>
      </c>
      <c r="P1286" s="28" t="s">
        <v>3446</v>
      </c>
      <c r="Q1286" s="28" t="s">
        <v>3447</v>
      </c>
      <c r="R1286" s="28" t="s">
        <v>3448</v>
      </c>
    </row>
    <row r="1287" spans="1:18" hidden="1">
      <c r="A1287" s="28">
        <v>2</v>
      </c>
      <c r="B1287" s="29" t="s">
        <v>240</v>
      </c>
      <c r="C1287" s="29" t="s">
        <v>276</v>
      </c>
      <c r="D1287" s="29" t="s">
        <v>282</v>
      </c>
      <c r="E1287" s="29" t="s">
        <v>172</v>
      </c>
      <c r="F1287" s="28" t="s">
        <v>3373</v>
      </c>
      <c r="G1287" s="28" t="s">
        <v>3390</v>
      </c>
      <c r="H1287" s="28" t="s">
        <v>174</v>
      </c>
      <c r="I1287" s="28" t="s">
        <v>174</v>
      </c>
      <c r="J1287" s="30" t="s">
        <v>174</v>
      </c>
      <c r="K1287" s="28" t="s">
        <v>248</v>
      </c>
      <c r="L1287" s="31">
        <v>43070</v>
      </c>
      <c r="M1287" s="28">
        <v>12</v>
      </c>
      <c r="N1287" s="32" t="s">
        <v>176</v>
      </c>
      <c r="O1287" s="28" t="s">
        <v>2054</v>
      </c>
      <c r="P1287" s="28" t="s">
        <v>3449</v>
      </c>
      <c r="Q1287" s="28" t="s">
        <v>3450</v>
      </c>
      <c r="R1287" s="28" t="s">
        <v>3451</v>
      </c>
    </row>
    <row r="1288" spans="1:18">
      <c r="A1288" s="28">
        <v>3</v>
      </c>
      <c r="B1288" s="29" t="s">
        <v>286</v>
      </c>
      <c r="C1288" s="29" t="s">
        <v>287</v>
      </c>
      <c r="D1288" s="29" t="s">
        <v>288</v>
      </c>
      <c r="E1288" s="29" t="s">
        <v>172</v>
      </c>
      <c r="F1288" s="28" t="s">
        <v>3373</v>
      </c>
      <c r="G1288" s="28" t="s">
        <v>3379</v>
      </c>
      <c r="H1288" s="28" t="s">
        <v>384</v>
      </c>
      <c r="I1288" s="28">
        <v>3</v>
      </c>
      <c r="J1288" s="30">
        <v>7.0999999999999994E-2</v>
      </c>
      <c r="K1288" s="28" t="s">
        <v>769</v>
      </c>
      <c r="L1288" s="31">
        <v>42826</v>
      </c>
      <c r="M1288" s="28">
        <v>4</v>
      </c>
      <c r="N1288" s="32" t="s">
        <v>191</v>
      </c>
      <c r="O1288" s="28" t="s">
        <v>204</v>
      </c>
      <c r="P1288" s="28" t="s">
        <v>3452</v>
      </c>
      <c r="Q1288" s="28" t="s">
        <v>2263</v>
      </c>
      <c r="R1288" s="28" t="s">
        <v>2264</v>
      </c>
    </row>
    <row r="1289" spans="1:18">
      <c r="A1289" s="28">
        <v>3</v>
      </c>
      <c r="B1289" s="29" t="s">
        <v>286</v>
      </c>
      <c r="C1289" s="29" t="s">
        <v>287</v>
      </c>
      <c r="D1289" s="29" t="s">
        <v>288</v>
      </c>
      <c r="E1289" s="29" t="s">
        <v>172</v>
      </c>
      <c r="F1289" s="28" t="s">
        <v>3373</v>
      </c>
      <c r="G1289" s="28" t="s">
        <v>3379</v>
      </c>
      <c r="H1289" s="28" t="s">
        <v>384</v>
      </c>
      <c r="I1289" s="28">
        <v>3</v>
      </c>
      <c r="J1289" s="30">
        <v>7.0999999999999994E-2</v>
      </c>
      <c r="K1289" s="28" t="s">
        <v>813</v>
      </c>
      <c r="L1289" s="31">
        <v>43009</v>
      </c>
      <c r="M1289" s="28">
        <v>10</v>
      </c>
      <c r="N1289" s="32" t="s">
        <v>191</v>
      </c>
      <c r="O1289" s="28" t="s">
        <v>204</v>
      </c>
      <c r="P1289" s="28" t="s">
        <v>3453</v>
      </c>
      <c r="Q1289" s="28" t="s">
        <v>2263</v>
      </c>
      <c r="R1289" s="28" t="s">
        <v>2264</v>
      </c>
    </row>
    <row r="1290" spans="1:18">
      <c r="A1290" s="28">
        <v>3</v>
      </c>
      <c r="B1290" s="29" t="s">
        <v>286</v>
      </c>
      <c r="C1290" s="29" t="s">
        <v>287</v>
      </c>
      <c r="D1290" s="29" t="s">
        <v>288</v>
      </c>
      <c r="E1290" s="29" t="s">
        <v>172</v>
      </c>
      <c r="F1290" s="28" t="s">
        <v>3373</v>
      </c>
      <c r="G1290" s="28" t="s">
        <v>3390</v>
      </c>
      <c r="H1290" s="28" t="s">
        <v>174</v>
      </c>
      <c r="I1290" s="28" t="s">
        <v>174</v>
      </c>
      <c r="J1290" s="30" t="s">
        <v>174</v>
      </c>
      <c r="K1290" s="28" t="s">
        <v>278</v>
      </c>
      <c r="L1290" s="31">
        <v>43525</v>
      </c>
      <c r="M1290" s="28">
        <v>3</v>
      </c>
      <c r="N1290" s="32" t="s">
        <v>191</v>
      </c>
      <c r="O1290" s="28" t="s">
        <v>2054</v>
      </c>
      <c r="P1290" s="28" t="s">
        <v>3454</v>
      </c>
      <c r="Q1290" s="28" t="s">
        <v>3455</v>
      </c>
      <c r="R1290" s="28" t="s">
        <v>3456</v>
      </c>
    </row>
    <row r="1291" spans="1:18">
      <c r="A1291" s="28">
        <v>3</v>
      </c>
      <c r="B1291" s="29" t="s">
        <v>286</v>
      </c>
      <c r="C1291" s="29" t="s">
        <v>287</v>
      </c>
      <c r="D1291" s="29" t="s">
        <v>288</v>
      </c>
      <c r="E1291" s="29" t="s">
        <v>172</v>
      </c>
      <c r="F1291" s="28" t="s">
        <v>3373</v>
      </c>
      <c r="G1291" s="28" t="s">
        <v>3379</v>
      </c>
      <c r="H1291" s="28" t="s">
        <v>384</v>
      </c>
      <c r="I1291" s="28">
        <v>3</v>
      </c>
      <c r="J1291" s="30">
        <v>7.0999999999999994E-2</v>
      </c>
      <c r="K1291" s="28" t="s">
        <v>518</v>
      </c>
      <c r="L1291" s="31">
        <v>43709</v>
      </c>
      <c r="M1291" s="28">
        <v>9</v>
      </c>
      <c r="N1291" s="32" t="s">
        <v>191</v>
      </c>
      <c r="O1291" s="28" t="s">
        <v>204</v>
      </c>
      <c r="P1291" s="28" t="s">
        <v>3457</v>
      </c>
      <c r="Q1291" s="28" t="s">
        <v>2263</v>
      </c>
      <c r="R1291" s="28" t="s">
        <v>2264</v>
      </c>
    </row>
    <row r="1292" spans="1:18">
      <c r="A1292" s="28">
        <v>3</v>
      </c>
      <c r="B1292" s="29" t="s">
        <v>286</v>
      </c>
      <c r="C1292" s="29" t="s">
        <v>287</v>
      </c>
      <c r="D1292" s="29" t="s">
        <v>288</v>
      </c>
      <c r="E1292" s="29" t="s">
        <v>172</v>
      </c>
      <c r="F1292" s="28" t="s">
        <v>3373</v>
      </c>
      <c r="G1292" s="28" t="s">
        <v>3379</v>
      </c>
      <c r="H1292" s="28" t="s">
        <v>384</v>
      </c>
      <c r="I1292" s="28">
        <v>3</v>
      </c>
      <c r="J1292" s="30">
        <v>7.0999999999999994E-2</v>
      </c>
      <c r="K1292" s="28" t="s">
        <v>190</v>
      </c>
      <c r="L1292" s="31">
        <v>44287</v>
      </c>
      <c r="M1292" s="28">
        <v>4</v>
      </c>
      <c r="N1292" s="32" t="s">
        <v>191</v>
      </c>
      <c r="O1292" s="28" t="s">
        <v>204</v>
      </c>
      <c r="P1292" s="28" t="s">
        <v>3458</v>
      </c>
      <c r="Q1292" s="28" t="s">
        <v>2263</v>
      </c>
      <c r="R1292" s="28" t="s">
        <v>2264</v>
      </c>
    </row>
    <row r="1293" spans="1:18">
      <c r="A1293" s="28">
        <v>3</v>
      </c>
      <c r="B1293" s="29" t="s">
        <v>286</v>
      </c>
      <c r="C1293" s="29" t="s">
        <v>287</v>
      </c>
      <c r="D1293" s="29" t="s">
        <v>288</v>
      </c>
      <c r="E1293" s="29" t="s">
        <v>172</v>
      </c>
      <c r="F1293" s="28" t="s">
        <v>3373</v>
      </c>
      <c r="G1293" s="28" t="s">
        <v>3374</v>
      </c>
      <c r="H1293" s="28" t="s">
        <v>174</v>
      </c>
      <c r="I1293" s="28" t="s">
        <v>174</v>
      </c>
      <c r="J1293" s="30" t="s">
        <v>174</v>
      </c>
      <c r="K1293" s="28" t="s">
        <v>962</v>
      </c>
      <c r="L1293" s="31">
        <v>44348</v>
      </c>
      <c r="M1293" s="28">
        <v>6</v>
      </c>
      <c r="N1293" s="32" t="s">
        <v>184</v>
      </c>
      <c r="O1293" s="28" t="s">
        <v>204</v>
      </c>
      <c r="P1293" s="28" t="s">
        <v>3459</v>
      </c>
      <c r="Q1293" s="28" t="s">
        <v>3460</v>
      </c>
      <c r="R1293" s="28" t="s">
        <v>3461</v>
      </c>
    </row>
    <row r="1294" spans="1:18" hidden="1">
      <c r="A1294" s="28">
        <v>4</v>
      </c>
      <c r="B1294" s="29" t="s">
        <v>306</v>
      </c>
      <c r="C1294" s="29" t="s">
        <v>307</v>
      </c>
      <c r="D1294" s="29" t="s">
        <v>308</v>
      </c>
      <c r="E1294" s="29" t="s">
        <v>172</v>
      </c>
      <c r="F1294" s="28" t="s">
        <v>3373</v>
      </c>
      <c r="G1294" s="28" t="s">
        <v>3379</v>
      </c>
      <c r="H1294" s="28" t="s">
        <v>384</v>
      </c>
      <c r="I1294" s="28">
        <v>3</v>
      </c>
      <c r="J1294" s="30">
        <v>7.0999999999999994E-2</v>
      </c>
      <c r="K1294" s="28" t="s">
        <v>442</v>
      </c>
      <c r="L1294" s="31">
        <v>43647</v>
      </c>
      <c r="M1294" s="28">
        <v>7</v>
      </c>
      <c r="N1294" s="32" t="s">
        <v>184</v>
      </c>
      <c r="O1294" s="28" t="s">
        <v>794</v>
      </c>
      <c r="P1294" s="28" t="s">
        <v>3462</v>
      </c>
      <c r="Q1294" s="28" t="s">
        <v>3463</v>
      </c>
      <c r="R1294" s="28" t="s">
        <v>3108</v>
      </c>
    </row>
    <row r="1295" spans="1:18" hidden="1">
      <c r="A1295" s="28">
        <v>4</v>
      </c>
      <c r="B1295" s="29" t="s">
        <v>306</v>
      </c>
      <c r="C1295" s="29" t="s">
        <v>312</v>
      </c>
      <c r="D1295" s="29" t="s">
        <v>313</v>
      </c>
      <c r="E1295" s="29" t="s">
        <v>172</v>
      </c>
      <c r="F1295" s="28" t="s">
        <v>3373</v>
      </c>
      <c r="G1295" s="28" t="s">
        <v>3382</v>
      </c>
      <c r="H1295" s="28" t="s">
        <v>384</v>
      </c>
      <c r="I1295" s="28">
        <v>3</v>
      </c>
      <c r="J1295" s="30">
        <v>7.0999999999999994E-2</v>
      </c>
      <c r="K1295" s="28" t="s">
        <v>263</v>
      </c>
      <c r="L1295" s="31">
        <v>42430</v>
      </c>
      <c r="M1295" s="28">
        <v>3</v>
      </c>
      <c r="N1295" s="32" t="s">
        <v>191</v>
      </c>
      <c r="O1295" s="28" t="s">
        <v>204</v>
      </c>
      <c r="P1295" s="28" t="s">
        <v>3464</v>
      </c>
      <c r="Q1295" s="28" t="s">
        <v>3465</v>
      </c>
      <c r="R1295" s="28" t="s">
        <v>3466</v>
      </c>
    </row>
    <row r="1296" spans="1:18" hidden="1">
      <c r="A1296" s="28">
        <v>4</v>
      </c>
      <c r="B1296" s="29" t="s">
        <v>306</v>
      </c>
      <c r="C1296" s="29" t="s">
        <v>312</v>
      </c>
      <c r="D1296" s="29" t="s">
        <v>313</v>
      </c>
      <c r="E1296" s="29" t="s">
        <v>172</v>
      </c>
      <c r="F1296" s="28" t="s">
        <v>3373</v>
      </c>
      <c r="G1296" s="28" t="s">
        <v>3379</v>
      </c>
      <c r="H1296" s="28" t="s">
        <v>384</v>
      </c>
      <c r="I1296" s="28">
        <v>3</v>
      </c>
      <c r="J1296" s="30">
        <v>7.0999999999999994E-2</v>
      </c>
      <c r="K1296" s="28" t="s">
        <v>263</v>
      </c>
      <c r="L1296" s="31">
        <v>42430</v>
      </c>
      <c r="M1296" s="28">
        <v>3</v>
      </c>
      <c r="N1296" s="32" t="s">
        <v>191</v>
      </c>
      <c r="O1296" s="28" t="s">
        <v>204</v>
      </c>
      <c r="P1296" s="28" t="s">
        <v>3467</v>
      </c>
      <c r="Q1296" s="28" t="s">
        <v>3468</v>
      </c>
      <c r="R1296" s="28" t="s">
        <v>3469</v>
      </c>
    </row>
    <row r="1297" spans="1:18" hidden="1">
      <c r="A1297" s="28">
        <v>4</v>
      </c>
      <c r="B1297" s="29" t="s">
        <v>306</v>
      </c>
      <c r="C1297" s="29" t="s">
        <v>312</v>
      </c>
      <c r="D1297" s="29" t="s">
        <v>313</v>
      </c>
      <c r="E1297" s="29" t="s">
        <v>172</v>
      </c>
      <c r="F1297" s="28" t="s">
        <v>3373</v>
      </c>
      <c r="G1297" s="28" t="s">
        <v>3379</v>
      </c>
      <c r="H1297" s="28" t="s">
        <v>384</v>
      </c>
      <c r="I1297" s="28">
        <v>3</v>
      </c>
      <c r="J1297" s="30">
        <v>7.0999999999999994E-2</v>
      </c>
      <c r="K1297" s="28" t="s">
        <v>267</v>
      </c>
      <c r="L1297" s="31">
        <v>42583</v>
      </c>
      <c r="M1297" s="28">
        <v>8</v>
      </c>
      <c r="N1297" s="32" t="s">
        <v>184</v>
      </c>
      <c r="O1297" s="28" t="s">
        <v>204</v>
      </c>
      <c r="P1297" s="28" t="s">
        <v>3470</v>
      </c>
      <c r="Q1297" s="28" t="s">
        <v>3471</v>
      </c>
      <c r="R1297" s="28" t="s">
        <v>3472</v>
      </c>
    </row>
    <row r="1298" spans="1:18" hidden="1">
      <c r="A1298" s="28">
        <v>4</v>
      </c>
      <c r="B1298" s="29" t="s">
        <v>306</v>
      </c>
      <c r="C1298" s="29" t="s">
        <v>312</v>
      </c>
      <c r="D1298" s="29" t="s">
        <v>313</v>
      </c>
      <c r="E1298" s="29" t="s">
        <v>172</v>
      </c>
      <c r="F1298" s="28" t="s">
        <v>3373</v>
      </c>
      <c r="G1298" s="28" t="s">
        <v>3379</v>
      </c>
      <c r="H1298" s="28" t="s">
        <v>384</v>
      </c>
      <c r="I1298" s="28">
        <v>3</v>
      </c>
      <c r="J1298" s="30">
        <v>7.0999999999999994E-2</v>
      </c>
      <c r="K1298" s="28" t="s">
        <v>496</v>
      </c>
      <c r="L1298" s="31">
        <v>42917</v>
      </c>
      <c r="M1298" s="28">
        <v>7</v>
      </c>
      <c r="N1298" s="32" t="s">
        <v>184</v>
      </c>
      <c r="O1298" s="28" t="s">
        <v>204</v>
      </c>
      <c r="P1298" s="28" t="s">
        <v>3473</v>
      </c>
      <c r="Q1298" s="28" t="s">
        <v>3474</v>
      </c>
      <c r="R1298" s="28" t="s">
        <v>3469</v>
      </c>
    </row>
    <row r="1299" spans="1:18" hidden="1">
      <c r="A1299" s="28">
        <v>4</v>
      </c>
      <c r="B1299" s="29" t="s">
        <v>306</v>
      </c>
      <c r="C1299" s="29" t="s">
        <v>312</v>
      </c>
      <c r="D1299" s="29" t="s">
        <v>313</v>
      </c>
      <c r="E1299" s="29" t="s">
        <v>172</v>
      </c>
      <c r="F1299" s="28" t="s">
        <v>3373</v>
      </c>
      <c r="G1299" s="28" t="s">
        <v>3379</v>
      </c>
      <c r="H1299" s="28" t="s">
        <v>384</v>
      </c>
      <c r="I1299" s="28">
        <v>3</v>
      </c>
      <c r="J1299" s="30">
        <v>7.0999999999999994E-2</v>
      </c>
      <c r="K1299" s="28" t="s">
        <v>971</v>
      </c>
      <c r="L1299" s="31">
        <v>42979</v>
      </c>
      <c r="M1299" s="28">
        <v>9</v>
      </c>
      <c r="N1299" s="32" t="s">
        <v>191</v>
      </c>
      <c r="O1299" s="28" t="s">
        <v>204</v>
      </c>
      <c r="P1299" s="28" t="s">
        <v>3475</v>
      </c>
      <c r="Q1299" s="28" t="s">
        <v>3468</v>
      </c>
      <c r="R1299" s="28" t="s">
        <v>3469</v>
      </c>
    </row>
    <row r="1300" spans="1:18" hidden="1">
      <c r="A1300" s="28">
        <v>4</v>
      </c>
      <c r="B1300" s="29" t="s">
        <v>306</v>
      </c>
      <c r="C1300" s="29" t="s">
        <v>312</v>
      </c>
      <c r="D1300" s="29" t="s">
        <v>313</v>
      </c>
      <c r="E1300" s="29" t="s">
        <v>172</v>
      </c>
      <c r="F1300" s="28" t="s">
        <v>3373</v>
      </c>
      <c r="G1300" s="28" t="s">
        <v>3379</v>
      </c>
      <c r="H1300" s="28" t="s">
        <v>384</v>
      </c>
      <c r="I1300" s="28">
        <v>3</v>
      </c>
      <c r="J1300" s="30">
        <v>7.0999999999999994E-2</v>
      </c>
      <c r="K1300" s="28" t="s">
        <v>278</v>
      </c>
      <c r="L1300" s="31">
        <v>43525</v>
      </c>
      <c r="M1300" s="28">
        <v>3</v>
      </c>
      <c r="N1300" s="32" t="s">
        <v>191</v>
      </c>
      <c r="O1300" s="28" t="s">
        <v>204</v>
      </c>
      <c r="P1300" s="28" t="s">
        <v>3476</v>
      </c>
      <c r="Q1300" s="28" t="s">
        <v>3468</v>
      </c>
      <c r="R1300" s="28" t="s">
        <v>3469</v>
      </c>
    </row>
    <row r="1301" spans="1:18" hidden="1">
      <c r="A1301" s="28">
        <v>4</v>
      </c>
      <c r="B1301" s="29" t="s">
        <v>306</v>
      </c>
      <c r="C1301" s="29" t="s">
        <v>312</v>
      </c>
      <c r="D1301" s="29" t="s">
        <v>313</v>
      </c>
      <c r="E1301" s="29" t="s">
        <v>172</v>
      </c>
      <c r="F1301" s="28" t="s">
        <v>3373</v>
      </c>
      <c r="G1301" s="28" t="s">
        <v>3390</v>
      </c>
      <c r="H1301" s="28" t="s">
        <v>174</v>
      </c>
      <c r="I1301" s="28" t="s">
        <v>174</v>
      </c>
      <c r="J1301" s="30" t="s">
        <v>174</v>
      </c>
      <c r="K1301" s="28" t="s">
        <v>411</v>
      </c>
      <c r="L1301" s="31">
        <v>43556</v>
      </c>
      <c r="M1301" s="28">
        <v>4</v>
      </c>
      <c r="N1301" s="32" t="s">
        <v>191</v>
      </c>
      <c r="O1301" s="28" t="s">
        <v>1060</v>
      </c>
      <c r="P1301" s="28" t="s">
        <v>3477</v>
      </c>
      <c r="Q1301" s="28" t="s">
        <v>3478</v>
      </c>
      <c r="R1301" s="28" t="s">
        <v>3479</v>
      </c>
    </row>
    <row r="1302" spans="1:18" hidden="1">
      <c r="A1302" s="28">
        <v>4</v>
      </c>
      <c r="B1302" s="29" t="s">
        <v>306</v>
      </c>
      <c r="C1302" s="29" t="s">
        <v>312</v>
      </c>
      <c r="D1302" s="29" t="s">
        <v>313</v>
      </c>
      <c r="E1302" s="29" t="s">
        <v>172</v>
      </c>
      <c r="F1302" s="28" t="s">
        <v>3373</v>
      </c>
      <c r="G1302" s="28" t="s">
        <v>3379</v>
      </c>
      <c r="H1302" s="28" t="s">
        <v>384</v>
      </c>
      <c r="I1302" s="28">
        <v>3</v>
      </c>
      <c r="J1302" s="30">
        <v>7.0999999999999994E-2</v>
      </c>
      <c r="K1302" s="28" t="s">
        <v>411</v>
      </c>
      <c r="L1302" s="31">
        <v>43556</v>
      </c>
      <c r="M1302" s="28">
        <v>4</v>
      </c>
      <c r="N1302" s="32" t="s">
        <v>191</v>
      </c>
      <c r="O1302" s="28" t="s">
        <v>204</v>
      </c>
      <c r="P1302" s="28" t="s">
        <v>3480</v>
      </c>
      <c r="Q1302" s="28" t="s">
        <v>3468</v>
      </c>
      <c r="R1302" s="28" t="s">
        <v>3469</v>
      </c>
    </row>
    <row r="1303" spans="1:18" hidden="1">
      <c r="A1303" s="28">
        <v>4</v>
      </c>
      <c r="B1303" s="29" t="s">
        <v>306</v>
      </c>
      <c r="C1303" s="29" t="s">
        <v>312</v>
      </c>
      <c r="D1303" s="29" t="s">
        <v>313</v>
      </c>
      <c r="E1303" s="29" t="s">
        <v>172</v>
      </c>
      <c r="F1303" s="28" t="s">
        <v>3373</v>
      </c>
      <c r="G1303" s="28" t="s">
        <v>3379</v>
      </c>
      <c r="H1303" s="28" t="s">
        <v>384</v>
      </c>
      <c r="I1303" s="28">
        <v>3</v>
      </c>
      <c r="J1303" s="30">
        <v>7.0999999999999994E-2</v>
      </c>
      <c r="K1303" s="28" t="s">
        <v>236</v>
      </c>
      <c r="L1303" s="31">
        <v>43617</v>
      </c>
      <c r="M1303" s="28">
        <v>6</v>
      </c>
      <c r="N1303" s="32" t="s">
        <v>184</v>
      </c>
      <c r="O1303" s="28" t="s">
        <v>204</v>
      </c>
      <c r="P1303" s="28" t="s">
        <v>3481</v>
      </c>
      <c r="Q1303" s="28" t="s">
        <v>3468</v>
      </c>
      <c r="R1303" s="28" t="s">
        <v>3469</v>
      </c>
    </row>
    <row r="1304" spans="1:18" hidden="1">
      <c r="A1304" s="28">
        <v>4</v>
      </c>
      <c r="B1304" s="29" t="s">
        <v>306</v>
      </c>
      <c r="C1304" s="29" t="s">
        <v>312</v>
      </c>
      <c r="D1304" s="29" t="s">
        <v>313</v>
      </c>
      <c r="E1304" s="29" t="s">
        <v>172</v>
      </c>
      <c r="F1304" s="28" t="s">
        <v>3373</v>
      </c>
      <c r="G1304" s="28" t="s">
        <v>3379</v>
      </c>
      <c r="H1304" s="28" t="s">
        <v>384</v>
      </c>
      <c r="I1304" s="28">
        <v>3</v>
      </c>
      <c r="J1304" s="30">
        <v>7.0999999999999994E-2</v>
      </c>
      <c r="K1304" s="28" t="s">
        <v>397</v>
      </c>
      <c r="L1304" s="31">
        <v>43739</v>
      </c>
      <c r="M1304" s="28">
        <v>10</v>
      </c>
      <c r="N1304" s="32" t="s">
        <v>191</v>
      </c>
      <c r="O1304" s="28" t="s">
        <v>204</v>
      </c>
      <c r="P1304" s="28" t="s">
        <v>3482</v>
      </c>
      <c r="Q1304" s="28" t="s">
        <v>3483</v>
      </c>
      <c r="R1304" s="28" t="s">
        <v>3466</v>
      </c>
    </row>
    <row r="1305" spans="1:18" hidden="1">
      <c r="A1305" s="28">
        <v>4</v>
      </c>
      <c r="B1305" s="29" t="s">
        <v>306</v>
      </c>
      <c r="C1305" s="29" t="s">
        <v>312</v>
      </c>
      <c r="D1305" s="29" t="s">
        <v>313</v>
      </c>
      <c r="E1305" s="29" t="s">
        <v>172</v>
      </c>
      <c r="F1305" s="28" t="s">
        <v>3373</v>
      </c>
      <c r="G1305" s="28" t="s">
        <v>3379</v>
      </c>
      <c r="H1305" s="28" t="s">
        <v>384</v>
      </c>
      <c r="I1305" s="28">
        <v>3</v>
      </c>
      <c r="J1305" s="30">
        <v>7.0999999999999994E-2</v>
      </c>
      <c r="K1305" s="28" t="s">
        <v>415</v>
      </c>
      <c r="L1305" s="31">
        <v>43952</v>
      </c>
      <c r="M1305" s="28">
        <v>5</v>
      </c>
      <c r="N1305" s="32" t="s">
        <v>191</v>
      </c>
      <c r="O1305" s="28" t="s">
        <v>204</v>
      </c>
      <c r="P1305" s="28" t="s">
        <v>3484</v>
      </c>
      <c r="Q1305" s="28" t="s">
        <v>3468</v>
      </c>
      <c r="R1305" s="28" t="s">
        <v>3469</v>
      </c>
    </row>
    <row r="1306" spans="1:18" hidden="1">
      <c r="A1306" s="28">
        <v>4</v>
      </c>
      <c r="B1306" s="29" t="s">
        <v>306</v>
      </c>
      <c r="C1306" s="29" t="s">
        <v>312</v>
      </c>
      <c r="D1306" s="29" t="s">
        <v>313</v>
      </c>
      <c r="E1306" s="29" t="s">
        <v>172</v>
      </c>
      <c r="F1306" s="28" t="s">
        <v>3373</v>
      </c>
      <c r="G1306" s="28" t="s">
        <v>3379</v>
      </c>
      <c r="H1306" s="28" t="s">
        <v>384</v>
      </c>
      <c r="I1306" s="28">
        <v>3</v>
      </c>
      <c r="J1306" s="30">
        <v>7.0999999999999994E-2</v>
      </c>
      <c r="K1306" s="28" t="s">
        <v>646</v>
      </c>
      <c r="L1306" s="31">
        <v>44075</v>
      </c>
      <c r="M1306" s="28">
        <v>9</v>
      </c>
      <c r="N1306" s="32" t="s">
        <v>191</v>
      </c>
      <c r="O1306" s="28" t="s">
        <v>204</v>
      </c>
      <c r="P1306" s="28" t="s">
        <v>3485</v>
      </c>
      <c r="Q1306" s="28" t="s">
        <v>3486</v>
      </c>
      <c r="R1306" s="28" t="s">
        <v>3487</v>
      </c>
    </row>
    <row r="1307" spans="1:18" hidden="1">
      <c r="A1307" s="28">
        <v>4</v>
      </c>
      <c r="B1307" s="29" t="s">
        <v>306</v>
      </c>
      <c r="C1307" s="29" t="s">
        <v>312</v>
      </c>
      <c r="D1307" s="29" t="s">
        <v>313</v>
      </c>
      <c r="E1307" s="29" t="s">
        <v>172</v>
      </c>
      <c r="F1307" s="28" t="s">
        <v>3373</v>
      </c>
      <c r="G1307" s="28" t="s">
        <v>3379</v>
      </c>
      <c r="H1307" s="28" t="s">
        <v>384</v>
      </c>
      <c r="I1307" s="28">
        <v>3</v>
      </c>
      <c r="J1307" s="30">
        <v>7.0999999999999994E-2</v>
      </c>
      <c r="K1307" s="28" t="s">
        <v>646</v>
      </c>
      <c r="L1307" s="31">
        <v>44075</v>
      </c>
      <c r="M1307" s="28">
        <v>9</v>
      </c>
      <c r="N1307" s="32" t="s">
        <v>191</v>
      </c>
      <c r="O1307" s="28" t="s">
        <v>204</v>
      </c>
      <c r="P1307" s="28" t="s">
        <v>3488</v>
      </c>
      <c r="Q1307" s="28" t="s">
        <v>3468</v>
      </c>
      <c r="R1307" s="28" t="s">
        <v>3469</v>
      </c>
    </row>
    <row r="1308" spans="1:18" hidden="1">
      <c r="A1308" s="28">
        <v>4</v>
      </c>
      <c r="B1308" s="29" t="s">
        <v>306</v>
      </c>
      <c r="C1308" s="29" t="s">
        <v>312</v>
      </c>
      <c r="D1308" s="29" t="s">
        <v>313</v>
      </c>
      <c r="E1308" s="29" t="s">
        <v>172</v>
      </c>
      <c r="F1308" s="28" t="s">
        <v>3373</v>
      </c>
      <c r="G1308" s="28" t="s">
        <v>3379</v>
      </c>
      <c r="H1308" s="28" t="s">
        <v>384</v>
      </c>
      <c r="I1308" s="28">
        <v>3</v>
      </c>
      <c r="J1308" s="30">
        <v>7.0999999999999994E-2</v>
      </c>
      <c r="K1308" s="28" t="s">
        <v>823</v>
      </c>
      <c r="L1308" s="31">
        <v>44136</v>
      </c>
      <c r="M1308" s="28">
        <v>11</v>
      </c>
      <c r="N1308" s="32" t="s">
        <v>191</v>
      </c>
      <c r="O1308" s="28" t="s">
        <v>204</v>
      </c>
      <c r="P1308" s="28" t="s">
        <v>3489</v>
      </c>
      <c r="Q1308" s="28" t="s">
        <v>3490</v>
      </c>
      <c r="R1308" s="28" t="s">
        <v>3491</v>
      </c>
    </row>
    <row r="1309" spans="1:18" hidden="1">
      <c r="A1309" s="28">
        <v>4</v>
      </c>
      <c r="B1309" s="29" t="s">
        <v>306</v>
      </c>
      <c r="C1309" s="29" t="s">
        <v>312</v>
      </c>
      <c r="D1309" s="29" t="s">
        <v>313</v>
      </c>
      <c r="E1309" s="29" t="s">
        <v>172</v>
      </c>
      <c r="F1309" s="28" t="s">
        <v>3373</v>
      </c>
      <c r="G1309" s="28" t="s">
        <v>3379</v>
      </c>
      <c r="H1309" s="28" t="s">
        <v>384</v>
      </c>
      <c r="I1309" s="28">
        <v>3</v>
      </c>
      <c r="J1309" s="30">
        <v>7.0999999999999994E-2</v>
      </c>
      <c r="K1309" s="28" t="s">
        <v>823</v>
      </c>
      <c r="L1309" s="31">
        <v>44136</v>
      </c>
      <c r="M1309" s="28">
        <v>11</v>
      </c>
      <c r="N1309" s="32" t="s">
        <v>191</v>
      </c>
      <c r="O1309" s="28" t="s">
        <v>204</v>
      </c>
      <c r="P1309" s="28" t="s">
        <v>3492</v>
      </c>
      <c r="Q1309" s="28" t="s">
        <v>3468</v>
      </c>
      <c r="R1309" s="28" t="s">
        <v>3469</v>
      </c>
    </row>
    <row r="1310" spans="1:18" hidden="1">
      <c r="A1310" s="28">
        <v>4</v>
      </c>
      <c r="B1310" s="29" t="s">
        <v>306</v>
      </c>
      <c r="C1310" s="29" t="s">
        <v>312</v>
      </c>
      <c r="D1310" s="29" t="s">
        <v>313</v>
      </c>
      <c r="E1310" s="29" t="s">
        <v>172</v>
      </c>
      <c r="F1310" s="28" t="s">
        <v>3373</v>
      </c>
      <c r="G1310" s="28" t="s">
        <v>3379</v>
      </c>
      <c r="H1310" s="28" t="s">
        <v>384</v>
      </c>
      <c r="I1310" s="28">
        <v>3</v>
      </c>
      <c r="J1310" s="30">
        <v>7.0999999999999994E-2</v>
      </c>
      <c r="K1310" s="28" t="s">
        <v>345</v>
      </c>
      <c r="L1310" s="31">
        <v>44440</v>
      </c>
      <c r="M1310" s="28">
        <v>9</v>
      </c>
      <c r="N1310" s="32" t="s">
        <v>191</v>
      </c>
      <c r="O1310" s="28" t="s">
        <v>204</v>
      </c>
      <c r="P1310" s="28" t="s">
        <v>3493</v>
      </c>
      <c r="Q1310" s="28" t="s">
        <v>3468</v>
      </c>
      <c r="R1310" s="28" t="s">
        <v>3469</v>
      </c>
    </row>
    <row r="1311" spans="1:18" hidden="1">
      <c r="A1311" s="28">
        <v>4</v>
      </c>
      <c r="B1311" s="29" t="s">
        <v>306</v>
      </c>
      <c r="C1311" s="29" t="s">
        <v>1776</v>
      </c>
      <c r="D1311" s="29" t="s">
        <v>3494</v>
      </c>
      <c r="E1311" s="29" t="s">
        <v>172</v>
      </c>
      <c r="F1311" s="28" t="s">
        <v>3373</v>
      </c>
      <c r="G1311" s="28" t="s">
        <v>3390</v>
      </c>
      <c r="H1311" s="28" t="s">
        <v>174</v>
      </c>
      <c r="I1311" s="28" t="s">
        <v>174</v>
      </c>
      <c r="J1311" s="30" t="s">
        <v>174</v>
      </c>
      <c r="K1311" s="28" t="s">
        <v>678</v>
      </c>
      <c r="L1311" s="31">
        <v>43344</v>
      </c>
      <c r="M1311" s="28">
        <v>9</v>
      </c>
      <c r="N1311" s="32" t="s">
        <v>191</v>
      </c>
      <c r="O1311" s="28" t="s">
        <v>204</v>
      </c>
      <c r="P1311" s="28" t="s">
        <v>3495</v>
      </c>
      <c r="Q1311" s="28" t="s">
        <v>3496</v>
      </c>
      <c r="R1311" s="28" t="s">
        <v>3497</v>
      </c>
    </row>
    <row r="1312" spans="1:18" hidden="1">
      <c r="A1312" s="28">
        <v>4</v>
      </c>
      <c r="B1312" s="29" t="s">
        <v>306</v>
      </c>
      <c r="C1312" s="29" t="s">
        <v>624</v>
      </c>
      <c r="D1312" s="29" t="s">
        <v>2672</v>
      </c>
      <c r="E1312" s="29" t="s">
        <v>172</v>
      </c>
      <c r="F1312" s="28" t="s">
        <v>3373</v>
      </c>
      <c r="G1312" s="28" t="s">
        <v>3379</v>
      </c>
      <c r="H1312" s="28" t="s">
        <v>384</v>
      </c>
      <c r="I1312" s="28">
        <v>3</v>
      </c>
      <c r="J1312" s="30">
        <v>7.0999999999999994E-2</v>
      </c>
      <c r="K1312" s="28" t="s">
        <v>218</v>
      </c>
      <c r="L1312" s="31">
        <v>44044</v>
      </c>
      <c r="M1312" s="28">
        <v>8</v>
      </c>
      <c r="N1312" s="32" t="s">
        <v>184</v>
      </c>
      <c r="O1312" s="28" t="s">
        <v>204</v>
      </c>
      <c r="P1312" s="28" t="s">
        <v>3498</v>
      </c>
      <c r="Q1312" s="28" t="s">
        <v>3499</v>
      </c>
      <c r="R1312" s="28" t="s">
        <v>3500</v>
      </c>
    </row>
    <row r="1313" spans="1:18" hidden="1">
      <c r="A1313" s="28">
        <v>4</v>
      </c>
      <c r="B1313" s="29" t="s">
        <v>306</v>
      </c>
      <c r="C1313" s="29" t="s">
        <v>624</v>
      </c>
      <c r="D1313" s="29" t="s">
        <v>630</v>
      </c>
      <c r="E1313" s="29" t="s">
        <v>172</v>
      </c>
      <c r="F1313" s="28" t="s">
        <v>3373</v>
      </c>
      <c r="G1313" s="28" t="s">
        <v>3379</v>
      </c>
      <c r="H1313" s="28" t="s">
        <v>384</v>
      </c>
      <c r="I1313" s="28">
        <v>3</v>
      </c>
      <c r="J1313" s="30">
        <v>7.0999999999999994E-2</v>
      </c>
      <c r="K1313" s="28" t="s">
        <v>271</v>
      </c>
      <c r="L1313" s="31">
        <v>42856</v>
      </c>
      <c r="M1313" s="28">
        <v>5</v>
      </c>
      <c r="N1313" s="32" t="s">
        <v>191</v>
      </c>
      <c r="O1313" s="28" t="s">
        <v>204</v>
      </c>
      <c r="P1313" s="28" t="s">
        <v>3501</v>
      </c>
      <c r="Q1313" s="28" t="s">
        <v>3502</v>
      </c>
      <c r="R1313" s="28" t="s">
        <v>3500</v>
      </c>
    </row>
    <row r="1314" spans="1:18" hidden="1">
      <c r="A1314" s="28">
        <v>4</v>
      </c>
      <c r="B1314" s="29" t="s">
        <v>306</v>
      </c>
      <c r="C1314" s="29" t="s">
        <v>624</v>
      </c>
      <c r="D1314" s="29" t="s">
        <v>630</v>
      </c>
      <c r="E1314" s="29" t="s">
        <v>172</v>
      </c>
      <c r="F1314" s="28" t="s">
        <v>3373</v>
      </c>
      <c r="G1314" s="28" t="s">
        <v>3379</v>
      </c>
      <c r="H1314" s="28" t="s">
        <v>384</v>
      </c>
      <c r="I1314" s="28">
        <v>3</v>
      </c>
      <c r="J1314" s="30">
        <v>7.0999999999999994E-2</v>
      </c>
      <c r="K1314" s="28" t="s">
        <v>813</v>
      </c>
      <c r="L1314" s="31">
        <v>43009</v>
      </c>
      <c r="M1314" s="28">
        <v>10</v>
      </c>
      <c r="N1314" s="32" t="s">
        <v>191</v>
      </c>
      <c r="O1314" s="28" t="s">
        <v>204</v>
      </c>
      <c r="P1314" s="28" t="s">
        <v>3503</v>
      </c>
      <c r="Q1314" s="28" t="s">
        <v>3504</v>
      </c>
      <c r="R1314" s="28" t="s">
        <v>3505</v>
      </c>
    </row>
    <row r="1315" spans="1:18" hidden="1">
      <c r="A1315" s="28">
        <v>4</v>
      </c>
      <c r="B1315" s="29" t="s">
        <v>306</v>
      </c>
      <c r="C1315" s="29" t="s">
        <v>624</v>
      </c>
      <c r="D1315" s="29" t="s">
        <v>630</v>
      </c>
      <c r="E1315" s="29" t="s">
        <v>172</v>
      </c>
      <c r="F1315" s="28" t="s">
        <v>3373</v>
      </c>
      <c r="G1315" s="28" t="s">
        <v>3379</v>
      </c>
      <c r="H1315" s="28" t="s">
        <v>384</v>
      </c>
      <c r="I1315" s="28">
        <v>3</v>
      </c>
      <c r="J1315" s="30">
        <v>7.0999999999999994E-2</v>
      </c>
      <c r="K1315" s="28" t="s">
        <v>475</v>
      </c>
      <c r="L1315" s="31">
        <v>43191</v>
      </c>
      <c r="M1315" s="28">
        <v>4</v>
      </c>
      <c r="N1315" s="32" t="s">
        <v>191</v>
      </c>
      <c r="O1315" s="28" t="s">
        <v>204</v>
      </c>
      <c r="P1315" s="28" t="s">
        <v>3506</v>
      </c>
      <c r="Q1315" s="28" t="s">
        <v>3502</v>
      </c>
      <c r="R1315" s="28" t="s">
        <v>3500</v>
      </c>
    </row>
    <row r="1316" spans="1:18" hidden="1">
      <c r="A1316" s="28">
        <v>4</v>
      </c>
      <c r="B1316" s="29" t="s">
        <v>306</v>
      </c>
      <c r="C1316" s="29" t="s">
        <v>624</v>
      </c>
      <c r="D1316" s="29" t="s">
        <v>630</v>
      </c>
      <c r="E1316" s="29" t="s">
        <v>172</v>
      </c>
      <c r="F1316" s="28" t="s">
        <v>3373</v>
      </c>
      <c r="G1316" s="28" t="s">
        <v>3379</v>
      </c>
      <c r="H1316" s="28" t="s">
        <v>384</v>
      </c>
      <c r="I1316" s="28">
        <v>3</v>
      </c>
      <c r="J1316" s="30">
        <v>7.0999999999999994E-2</v>
      </c>
      <c r="K1316" s="28" t="s">
        <v>411</v>
      </c>
      <c r="L1316" s="31">
        <v>43556</v>
      </c>
      <c r="M1316" s="28">
        <v>4</v>
      </c>
      <c r="N1316" s="32" t="s">
        <v>191</v>
      </c>
      <c r="O1316" s="28" t="s">
        <v>204</v>
      </c>
      <c r="P1316" s="28" t="s">
        <v>3507</v>
      </c>
      <c r="Q1316" s="28" t="s">
        <v>3502</v>
      </c>
      <c r="R1316" s="28" t="s">
        <v>3500</v>
      </c>
    </row>
    <row r="1317" spans="1:18" hidden="1">
      <c r="A1317" s="28">
        <v>4</v>
      </c>
      <c r="B1317" s="29" t="s">
        <v>306</v>
      </c>
      <c r="C1317" s="29" t="s">
        <v>624</v>
      </c>
      <c r="D1317" s="29" t="s">
        <v>630</v>
      </c>
      <c r="E1317" s="29" t="s">
        <v>172</v>
      </c>
      <c r="F1317" s="28" t="s">
        <v>3373</v>
      </c>
      <c r="G1317" s="28" t="s">
        <v>3379</v>
      </c>
      <c r="H1317" s="28" t="s">
        <v>384</v>
      </c>
      <c r="I1317" s="28">
        <v>3</v>
      </c>
      <c r="J1317" s="30">
        <v>7.0999999999999994E-2</v>
      </c>
      <c r="K1317" s="28" t="s">
        <v>430</v>
      </c>
      <c r="L1317" s="31">
        <v>44105</v>
      </c>
      <c r="M1317" s="28">
        <v>10</v>
      </c>
      <c r="N1317" s="32" t="s">
        <v>191</v>
      </c>
      <c r="O1317" s="28" t="s">
        <v>204</v>
      </c>
      <c r="P1317" s="28" t="s">
        <v>3508</v>
      </c>
      <c r="Q1317" s="28" t="s">
        <v>3502</v>
      </c>
      <c r="R1317" s="28" t="s">
        <v>3500</v>
      </c>
    </row>
    <row r="1318" spans="1:18" hidden="1">
      <c r="A1318" s="28">
        <v>4</v>
      </c>
      <c r="B1318" s="29" t="s">
        <v>306</v>
      </c>
      <c r="C1318" s="29" t="s">
        <v>624</v>
      </c>
      <c r="D1318" s="29" t="s">
        <v>630</v>
      </c>
      <c r="E1318" s="29" t="s">
        <v>172</v>
      </c>
      <c r="F1318" s="28" t="s">
        <v>3373</v>
      </c>
      <c r="G1318" s="28" t="s">
        <v>3379</v>
      </c>
      <c r="H1318" s="28" t="s">
        <v>384</v>
      </c>
      <c r="I1318" s="28">
        <v>3</v>
      </c>
      <c r="J1318" s="30">
        <v>7.0999999999999994E-2</v>
      </c>
      <c r="K1318" s="28" t="s">
        <v>483</v>
      </c>
      <c r="L1318" s="31">
        <v>44197</v>
      </c>
      <c r="M1318" s="28">
        <v>1</v>
      </c>
      <c r="N1318" s="32" t="s">
        <v>176</v>
      </c>
      <c r="O1318" s="28" t="s">
        <v>204</v>
      </c>
      <c r="P1318" s="28" t="s">
        <v>3509</v>
      </c>
      <c r="Q1318" s="28" t="s">
        <v>3502</v>
      </c>
      <c r="R1318" s="28" t="s">
        <v>3500</v>
      </c>
    </row>
    <row r="1319" spans="1:18" hidden="1">
      <c r="A1319" s="28">
        <v>4</v>
      </c>
      <c r="B1319" s="29" t="s">
        <v>306</v>
      </c>
      <c r="C1319" s="29" t="s">
        <v>318</v>
      </c>
      <c r="D1319" s="29" t="s">
        <v>319</v>
      </c>
      <c r="E1319" s="29" t="s">
        <v>172</v>
      </c>
      <c r="F1319" s="28" t="s">
        <v>3373</v>
      </c>
      <c r="G1319" s="28" t="s">
        <v>3382</v>
      </c>
      <c r="H1319" s="28" t="s">
        <v>384</v>
      </c>
      <c r="I1319" s="28">
        <v>3</v>
      </c>
      <c r="J1319" s="30">
        <v>7.0999999999999994E-2</v>
      </c>
      <c r="K1319" s="28" t="s">
        <v>424</v>
      </c>
      <c r="L1319" s="31">
        <v>43678</v>
      </c>
      <c r="M1319" s="28">
        <v>8</v>
      </c>
      <c r="N1319" s="32" t="s">
        <v>184</v>
      </c>
      <c r="O1319" s="28" t="s">
        <v>204</v>
      </c>
      <c r="P1319" s="28" t="s">
        <v>3510</v>
      </c>
      <c r="Q1319" s="28" t="s">
        <v>3511</v>
      </c>
      <c r="R1319" s="28" t="s">
        <v>3512</v>
      </c>
    </row>
    <row r="1320" spans="1:18" hidden="1">
      <c r="A1320" s="28">
        <v>4</v>
      </c>
      <c r="B1320" s="29" t="s">
        <v>306</v>
      </c>
      <c r="C1320" s="29" t="s">
        <v>318</v>
      </c>
      <c r="D1320" s="29" t="s">
        <v>319</v>
      </c>
      <c r="E1320" s="29" t="s">
        <v>172</v>
      </c>
      <c r="F1320" s="28" t="s">
        <v>3373</v>
      </c>
      <c r="G1320" s="28" t="s">
        <v>3374</v>
      </c>
      <c r="H1320" s="28" t="s">
        <v>174</v>
      </c>
      <c r="I1320" s="28" t="s">
        <v>174</v>
      </c>
      <c r="J1320" s="30" t="s">
        <v>174</v>
      </c>
      <c r="K1320" s="28" t="s">
        <v>2131</v>
      </c>
      <c r="L1320" s="31">
        <v>44531</v>
      </c>
      <c r="M1320" s="28">
        <v>12</v>
      </c>
      <c r="N1320" s="32" t="s">
        <v>176</v>
      </c>
      <c r="O1320" s="28" t="s">
        <v>204</v>
      </c>
      <c r="P1320" s="28" t="s">
        <v>3513</v>
      </c>
      <c r="Q1320" s="28" t="s">
        <v>3514</v>
      </c>
      <c r="R1320" s="28" t="s">
        <v>3515</v>
      </c>
    </row>
    <row r="1321" spans="1:18" hidden="1">
      <c r="A1321" s="28">
        <v>4</v>
      </c>
      <c r="B1321" s="29" t="s">
        <v>306</v>
      </c>
      <c r="C1321" s="29" t="s">
        <v>318</v>
      </c>
      <c r="D1321" s="29" t="s">
        <v>323</v>
      </c>
      <c r="E1321" s="29" t="s">
        <v>172</v>
      </c>
      <c r="F1321" s="28" t="s">
        <v>3373</v>
      </c>
      <c r="G1321" s="28" t="s">
        <v>3379</v>
      </c>
      <c r="H1321" s="28" t="s">
        <v>384</v>
      </c>
      <c r="I1321" s="28">
        <v>3</v>
      </c>
      <c r="J1321" s="30">
        <v>7.0999999999999994E-2</v>
      </c>
      <c r="K1321" s="28" t="s">
        <v>813</v>
      </c>
      <c r="L1321" s="31">
        <v>43009</v>
      </c>
      <c r="M1321" s="28">
        <v>10</v>
      </c>
      <c r="N1321" s="32" t="s">
        <v>191</v>
      </c>
      <c r="O1321" s="28" t="s">
        <v>204</v>
      </c>
      <c r="P1321" s="28" t="s">
        <v>3516</v>
      </c>
      <c r="Q1321" s="28" t="s">
        <v>2469</v>
      </c>
      <c r="R1321" s="28" t="s">
        <v>3515</v>
      </c>
    </row>
    <row r="1322" spans="1:18" hidden="1">
      <c r="A1322" s="28">
        <v>4</v>
      </c>
      <c r="B1322" s="29" t="s">
        <v>306</v>
      </c>
      <c r="C1322" s="29" t="s">
        <v>318</v>
      </c>
      <c r="D1322" s="29" t="s">
        <v>323</v>
      </c>
      <c r="E1322" s="29" t="s">
        <v>172</v>
      </c>
      <c r="F1322" s="28" t="s">
        <v>3373</v>
      </c>
      <c r="G1322" s="28" t="s">
        <v>3379</v>
      </c>
      <c r="H1322" s="28" t="s">
        <v>384</v>
      </c>
      <c r="I1322" s="28">
        <v>3</v>
      </c>
      <c r="J1322" s="30">
        <v>7.0999999999999994E-2</v>
      </c>
      <c r="K1322" s="28" t="s">
        <v>218</v>
      </c>
      <c r="L1322" s="31">
        <v>44044</v>
      </c>
      <c r="M1322" s="28">
        <v>8</v>
      </c>
      <c r="N1322" s="32" t="s">
        <v>184</v>
      </c>
      <c r="O1322" s="28" t="s">
        <v>204</v>
      </c>
      <c r="P1322" s="28" t="s">
        <v>3517</v>
      </c>
      <c r="Q1322" s="28" t="s">
        <v>3518</v>
      </c>
      <c r="R1322" s="28" t="s">
        <v>3515</v>
      </c>
    </row>
    <row r="1323" spans="1:18" hidden="1">
      <c r="A1323" s="28">
        <v>4</v>
      </c>
      <c r="B1323" s="29" t="s">
        <v>306</v>
      </c>
      <c r="C1323" s="29" t="s">
        <v>318</v>
      </c>
      <c r="D1323" s="29" t="s">
        <v>323</v>
      </c>
      <c r="E1323" s="29" t="s">
        <v>172</v>
      </c>
      <c r="F1323" s="28" t="s">
        <v>3373</v>
      </c>
      <c r="G1323" s="28" t="s">
        <v>3379</v>
      </c>
      <c r="H1323" s="28" t="s">
        <v>384</v>
      </c>
      <c r="I1323" s="28">
        <v>3</v>
      </c>
      <c r="J1323" s="30">
        <v>7.0999999999999994E-2</v>
      </c>
      <c r="K1323" s="28" t="s">
        <v>670</v>
      </c>
      <c r="L1323" s="31">
        <v>44501</v>
      </c>
      <c r="M1323" s="28">
        <v>11</v>
      </c>
      <c r="N1323" s="32" t="s">
        <v>191</v>
      </c>
      <c r="O1323" s="28" t="s">
        <v>204</v>
      </c>
      <c r="P1323" s="28" t="s">
        <v>3519</v>
      </c>
      <c r="Q1323" s="28" t="s">
        <v>3520</v>
      </c>
      <c r="R1323" s="28" t="s">
        <v>3521</v>
      </c>
    </row>
    <row r="1324" spans="1:18" hidden="1">
      <c r="A1324" s="28">
        <v>4</v>
      </c>
      <c r="B1324" s="29" t="s">
        <v>306</v>
      </c>
      <c r="C1324" s="29" t="s">
        <v>333</v>
      </c>
      <c r="D1324" s="29" t="s">
        <v>673</v>
      </c>
      <c r="E1324" s="29" t="s">
        <v>172</v>
      </c>
      <c r="F1324" s="28" t="s">
        <v>3373</v>
      </c>
      <c r="G1324" s="28" t="s">
        <v>3379</v>
      </c>
      <c r="H1324" s="28" t="s">
        <v>384</v>
      </c>
      <c r="I1324" s="28">
        <v>3</v>
      </c>
      <c r="J1324" s="30">
        <v>7.0999999999999994E-2</v>
      </c>
      <c r="K1324" s="28" t="s">
        <v>328</v>
      </c>
      <c r="L1324" s="31">
        <v>43891</v>
      </c>
      <c r="M1324" s="28">
        <v>3</v>
      </c>
      <c r="N1324" s="32" t="s">
        <v>191</v>
      </c>
      <c r="O1324" s="28" t="s">
        <v>204</v>
      </c>
      <c r="P1324" s="28" t="s">
        <v>3522</v>
      </c>
      <c r="Q1324" s="28" t="s">
        <v>2527</v>
      </c>
      <c r="R1324" s="28" t="s">
        <v>695</v>
      </c>
    </row>
    <row r="1325" spans="1:18" hidden="1">
      <c r="A1325" s="28">
        <v>4</v>
      </c>
      <c r="B1325" s="29" t="s">
        <v>306</v>
      </c>
      <c r="C1325" s="29" t="s">
        <v>339</v>
      </c>
      <c r="D1325" s="29" t="s">
        <v>687</v>
      </c>
      <c r="E1325" s="29" t="s">
        <v>172</v>
      </c>
      <c r="F1325" s="28" t="s">
        <v>3373</v>
      </c>
      <c r="G1325" s="28" t="s">
        <v>3379</v>
      </c>
      <c r="H1325" s="28" t="s">
        <v>384</v>
      </c>
      <c r="I1325" s="28">
        <v>3</v>
      </c>
      <c r="J1325" s="30">
        <v>7.0999999999999994E-2</v>
      </c>
      <c r="K1325" s="28" t="s">
        <v>243</v>
      </c>
      <c r="L1325" s="31">
        <v>42461</v>
      </c>
      <c r="M1325" s="28">
        <v>4</v>
      </c>
      <c r="N1325" s="32" t="s">
        <v>191</v>
      </c>
      <c r="O1325" s="28" t="s">
        <v>204</v>
      </c>
      <c r="P1325" s="28" t="s">
        <v>3523</v>
      </c>
      <c r="Q1325" s="28" t="s">
        <v>694</v>
      </c>
      <c r="R1325" s="28" t="s">
        <v>695</v>
      </c>
    </row>
    <row r="1326" spans="1:18" hidden="1">
      <c r="A1326" s="28">
        <v>4</v>
      </c>
      <c r="B1326" s="29" t="s">
        <v>306</v>
      </c>
      <c r="C1326" s="29" t="s">
        <v>339</v>
      </c>
      <c r="D1326" s="29" t="s">
        <v>687</v>
      </c>
      <c r="E1326" s="29" t="s">
        <v>172</v>
      </c>
      <c r="F1326" s="28" t="s">
        <v>3373</v>
      </c>
      <c r="G1326" s="28" t="s">
        <v>3379</v>
      </c>
      <c r="H1326" s="28" t="s">
        <v>384</v>
      </c>
      <c r="I1326" s="28">
        <v>3</v>
      </c>
      <c r="J1326" s="30">
        <v>7.0999999999999994E-2</v>
      </c>
      <c r="K1326" s="28" t="s">
        <v>489</v>
      </c>
      <c r="L1326" s="31">
        <v>42491</v>
      </c>
      <c r="M1326" s="28">
        <v>5</v>
      </c>
      <c r="N1326" s="32" t="s">
        <v>191</v>
      </c>
      <c r="O1326" s="28" t="s">
        <v>204</v>
      </c>
      <c r="P1326" s="28" t="s">
        <v>3524</v>
      </c>
      <c r="Q1326" s="28" t="s">
        <v>2527</v>
      </c>
      <c r="R1326" s="28" t="s">
        <v>3525</v>
      </c>
    </row>
    <row r="1327" spans="1:18" hidden="1">
      <c r="A1327" s="28">
        <v>4</v>
      </c>
      <c r="B1327" s="29" t="s">
        <v>306</v>
      </c>
      <c r="C1327" s="29" t="s">
        <v>339</v>
      </c>
      <c r="D1327" s="29" t="s">
        <v>687</v>
      </c>
      <c r="E1327" s="29" t="s">
        <v>172</v>
      </c>
      <c r="F1327" s="28" t="s">
        <v>3373</v>
      </c>
      <c r="G1327" s="28" t="s">
        <v>3390</v>
      </c>
      <c r="H1327" s="28" t="s">
        <v>174</v>
      </c>
      <c r="I1327" s="28" t="s">
        <v>174</v>
      </c>
      <c r="J1327" s="30" t="s">
        <v>174</v>
      </c>
      <c r="K1327" s="28" t="s">
        <v>496</v>
      </c>
      <c r="L1327" s="31">
        <v>42917</v>
      </c>
      <c r="M1327" s="28">
        <v>7</v>
      </c>
      <c r="N1327" s="32" t="s">
        <v>184</v>
      </c>
      <c r="O1327" s="28" t="s">
        <v>185</v>
      </c>
      <c r="P1327" s="28" t="s">
        <v>3526</v>
      </c>
      <c r="Q1327" s="28" t="s">
        <v>3527</v>
      </c>
      <c r="R1327" s="28" t="s">
        <v>3528</v>
      </c>
    </row>
    <row r="1328" spans="1:18" hidden="1">
      <c r="A1328" s="28">
        <v>4</v>
      </c>
      <c r="B1328" s="29" t="s">
        <v>306</v>
      </c>
      <c r="C1328" s="29" t="s">
        <v>339</v>
      </c>
      <c r="D1328" s="29" t="s">
        <v>687</v>
      </c>
      <c r="E1328" s="29" t="s">
        <v>172</v>
      </c>
      <c r="F1328" s="28" t="s">
        <v>3373</v>
      </c>
      <c r="G1328" s="28" t="s">
        <v>3379</v>
      </c>
      <c r="H1328" s="28" t="s">
        <v>384</v>
      </c>
      <c r="I1328" s="28">
        <v>3</v>
      </c>
      <c r="J1328" s="30">
        <v>7.0999999999999994E-2</v>
      </c>
      <c r="K1328" s="28" t="s">
        <v>405</v>
      </c>
      <c r="L1328" s="31">
        <v>43221</v>
      </c>
      <c r="M1328" s="28">
        <v>5</v>
      </c>
      <c r="N1328" s="32" t="s">
        <v>191</v>
      </c>
      <c r="O1328" s="28" t="s">
        <v>204</v>
      </c>
      <c r="P1328" s="28" t="s">
        <v>3529</v>
      </c>
      <c r="Q1328" s="28" t="s">
        <v>3530</v>
      </c>
      <c r="R1328" s="28" t="s">
        <v>3531</v>
      </c>
    </row>
    <row r="1329" spans="1:18" hidden="1">
      <c r="A1329" s="28">
        <v>4</v>
      </c>
      <c r="B1329" s="29" t="s">
        <v>306</v>
      </c>
      <c r="C1329" s="29" t="s">
        <v>339</v>
      </c>
      <c r="D1329" s="29" t="s">
        <v>687</v>
      </c>
      <c r="E1329" s="29" t="s">
        <v>172</v>
      </c>
      <c r="F1329" s="28" t="s">
        <v>3373</v>
      </c>
      <c r="G1329" s="28" t="s">
        <v>3382</v>
      </c>
      <c r="H1329" s="28" t="s">
        <v>384</v>
      </c>
      <c r="I1329" s="28">
        <v>3</v>
      </c>
      <c r="J1329" s="30">
        <v>7.0999999999999994E-2</v>
      </c>
      <c r="K1329" s="28" t="s">
        <v>302</v>
      </c>
      <c r="L1329" s="31">
        <v>43282</v>
      </c>
      <c r="M1329" s="28">
        <v>7</v>
      </c>
      <c r="N1329" s="32" t="s">
        <v>184</v>
      </c>
      <c r="O1329" s="28" t="s">
        <v>204</v>
      </c>
      <c r="P1329" s="28" t="s">
        <v>3532</v>
      </c>
      <c r="Q1329" s="28" t="s">
        <v>3511</v>
      </c>
      <c r="R1329" s="28" t="s">
        <v>695</v>
      </c>
    </row>
    <row r="1330" spans="1:18" hidden="1">
      <c r="A1330" s="28">
        <v>4</v>
      </c>
      <c r="B1330" s="29" t="s">
        <v>306</v>
      </c>
      <c r="C1330" s="29" t="s">
        <v>339</v>
      </c>
      <c r="D1330" s="29" t="s">
        <v>687</v>
      </c>
      <c r="E1330" s="29" t="s">
        <v>172</v>
      </c>
      <c r="F1330" s="28" t="s">
        <v>3373</v>
      </c>
      <c r="G1330" s="28" t="s">
        <v>3379</v>
      </c>
      <c r="H1330" s="28" t="s">
        <v>384</v>
      </c>
      <c r="I1330" s="28">
        <v>3</v>
      </c>
      <c r="J1330" s="30">
        <v>7.0999999999999994E-2</v>
      </c>
      <c r="K1330" s="28" t="s">
        <v>501</v>
      </c>
      <c r="L1330" s="31">
        <v>43405</v>
      </c>
      <c r="M1330" s="28">
        <v>11</v>
      </c>
      <c r="N1330" s="32" t="s">
        <v>191</v>
      </c>
      <c r="O1330" s="28" t="s">
        <v>204</v>
      </c>
      <c r="P1330" s="28" t="s">
        <v>3533</v>
      </c>
      <c r="Q1330" s="28" t="s">
        <v>3534</v>
      </c>
      <c r="R1330" s="28" t="s">
        <v>3531</v>
      </c>
    </row>
    <row r="1331" spans="1:18" hidden="1">
      <c r="A1331" s="28">
        <v>4</v>
      </c>
      <c r="B1331" s="29" t="s">
        <v>306</v>
      </c>
      <c r="C1331" s="29" t="s">
        <v>339</v>
      </c>
      <c r="D1331" s="29" t="s">
        <v>687</v>
      </c>
      <c r="E1331" s="29" t="s">
        <v>172</v>
      </c>
      <c r="F1331" s="28" t="s">
        <v>3373</v>
      </c>
      <c r="G1331" s="28" t="s">
        <v>3379</v>
      </c>
      <c r="H1331" s="28" t="s">
        <v>384</v>
      </c>
      <c r="I1331" s="28">
        <v>3</v>
      </c>
      <c r="J1331" s="30">
        <v>7.0999999999999994E-2</v>
      </c>
      <c r="K1331" s="28" t="s">
        <v>501</v>
      </c>
      <c r="L1331" s="31">
        <v>43405</v>
      </c>
      <c r="M1331" s="28">
        <v>11</v>
      </c>
      <c r="N1331" s="32" t="s">
        <v>191</v>
      </c>
      <c r="O1331" s="28" t="s">
        <v>204</v>
      </c>
      <c r="P1331" s="28" t="s">
        <v>3535</v>
      </c>
      <c r="Q1331" s="28" t="s">
        <v>694</v>
      </c>
      <c r="R1331" s="28" t="s">
        <v>3525</v>
      </c>
    </row>
    <row r="1332" spans="1:18" hidden="1">
      <c r="A1332" s="28">
        <v>4</v>
      </c>
      <c r="B1332" s="29" t="s">
        <v>306</v>
      </c>
      <c r="C1332" s="29" t="s">
        <v>339</v>
      </c>
      <c r="D1332" s="29" t="s">
        <v>687</v>
      </c>
      <c r="E1332" s="29" t="s">
        <v>172</v>
      </c>
      <c r="F1332" s="28" t="s">
        <v>3373</v>
      </c>
      <c r="G1332" s="28" t="s">
        <v>3382</v>
      </c>
      <c r="H1332" s="28" t="s">
        <v>384</v>
      </c>
      <c r="I1332" s="28">
        <v>3</v>
      </c>
      <c r="J1332" s="30">
        <v>7.0999999999999994E-2</v>
      </c>
      <c r="K1332" s="28" t="s">
        <v>707</v>
      </c>
      <c r="L1332" s="31">
        <v>43770</v>
      </c>
      <c r="M1332" s="28">
        <v>11</v>
      </c>
      <c r="N1332" s="32" t="s">
        <v>191</v>
      </c>
      <c r="O1332" s="28" t="s">
        <v>204</v>
      </c>
      <c r="P1332" s="28" t="s">
        <v>3536</v>
      </c>
      <c r="Q1332" s="28" t="s">
        <v>3511</v>
      </c>
      <c r="R1332" s="28" t="s">
        <v>695</v>
      </c>
    </row>
    <row r="1333" spans="1:18" hidden="1">
      <c r="A1333" s="28">
        <v>4</v>
      </c>
      <c r="B1333" s="29" t="s">
        <v>306</v>
      </c>
      <c r="C1333" s="29" t="s">
        <v>339</v>
      </c>
      <c r="D1333" s="29" t="s">
        <v>687</v>
      </c>
      <c r="E1333" s="29" t="s">
        <v>172</v>
      </c>
      <c r="F1333" s="28" t="s">
        <v>3373</v>
      </c>
      <c r="G1333" s="28" t="s">
        <v>3390</v>
      </c>
      <c r="H1333" s="28" t="s">
        <v>174</v>
      </c>
      <c r="I1333" s="28" t="s">
        <v>174</v>
      </c>
      <c r="J1333" s="30" t="s">
        <v>174</v>
      </c>
      <c r="K1333" s="28" t="s">
        <v>646</v>
      </c>
      <c r="L1333" s="31">
        <v>44075</v>
      </c>
      <c r="M1333" s="28">
        <v>9</v>
      </c>
      <c r="N1333" s="32" t="s">
        <v>191</v>
      </c>
      <c r="O1333" s="28" t="s">
        <v>204</v>
      </c>
      <c r="P1333" s="28" t="s">
        <v>3537</v>
      </c>
      <c r="Q1333" s="28" t="s">
        <v>3538</v>
      </c>
      <c r="R1333" s="28" t="s">
        <v>3539</v>
      </c>
    </row>
    <row r="1334" spans="1:18" hidden="1">
      <c r="A1334" s="28">
        <v>4</v>
      </c>
      <c r="B1334" s="29" t="s">
        <v>306</v>
      </c>
      <c r="C1334" s="29" t="s">
        <v>339</v>
      </c>
      <c r="D1334" s="29" t="s">
        <v>687</v>
      </c>
      <c r="E1334" s="29" t="s">
        <v>172</v>
      </c>
      <c r="F1334" s="28" t="s">
        <v>3373</v>
      </c>
      <c r="G1334" s="28" t="s">
        <v>3379</v>
      </c>
      <c r="H1334" s="28" t="s">
        <v>384</v>
      </c>
      <c r="I1334" s="28">
        <v>3</v>
      </c>
      <c r="J1334" s="30">
        <v>7.0999999999999994E-2</v>
      </c>
      <c r="K1334" s="28" t="s">
        <v>646</v>
      </c>
      <c r="L1334" s="31">
        <v>44075</v>
      </c>
      <c r="M1334" s="28">
        <v>9</v>
      </c>
      <c r="N1334" s="32" t="s">
        <v>191</v>
      </c>
      <c r="O1334" s="28" t="s">
        <v>204</v>
      </c>
      <c r="P1334" s="28" t="s">
        <v>3540</v>
      </c>
      <c r="Q1334" s="28" t="s">
        <v>694</v>
      </c>
      <c r="R1334" s="28" t="s">
        <v>695</v>
      </c>
    </row>
    <row r="1335" spans="1:18" hidden="1">
      <c r="A1335" s="28">
        <v>4</v>
      </c>
      <c r="B1335" s="29" t="s">
        <v>306</v>
      </c>
      <c r="C1335" s="29" t="s">
        <v>339</v>
      </c>
      <c r="D1335" s="29" t="s">
        <v>687</v>
      </c>
      <c r="E1335" s="29" t="s">
        <v>172</v>
      </c>
      <c r="F1335" s="28" t="s">
        <v>3373</v>
      </c>
      <c r="G1335" s="28" t="s">
        <v>3379</v>
      </c>
      <c r="H1335" s="28" t="s">
        <v>384</v>
      </c>
      <c r="I1335" s="28">
        <v>3</v>
      </c>
      <c r="J1335" s="30">
        <v>7.0999999999999994E-2</v>
      </c>
      <c r="K1335" s="28" t="s">
        <v>190</v>
      </c>
      <c r="L1335" s="31">
        <v>44287</v>
      </c>
      <c r="M1335" s="28">
        <v>4</v>
      </c>
      <c r="N1335" s="32" t="s">
        <v>191</v>
      </c>
      <c r="O1335" s="28" t="s">
        <v>204</v>
      </c>
      <c r="P1335" s="28" t="s">
        <v>3541</v>
      </c>
      <c r="Q1335" s="28" t="s">
        <v>3542</v>
      </c>
      <c r="R1335" s="28" t="s">
        <v>3531</v>
      </c>
    </row>
    <row r="1336" spans="1:18" hidden="1">
      <c r="A1336" s="28">
        <v>4</v>
      </c>
      <c r="B1336" s="29" t="s">
        <v>306</v>
      </c>
      <c r="C1336" s="29" t="s">
        <v>339</v>
      </c>
      <c r="D1336" s="29" t="s">
        <v>687</v>
      </c>
      <c r="E1336" s="29" t="s">
        <v>172</v>
      </c>
      <c r="F1336" s="28" t="s">
        <v>3373</v>
      </c>
      <c r="G1336" s="28" t="s">
        <v>3379</v>
      </c>
      <c r="H1336" s="28" t="s">
        <v>384</v>
      </c>
      <c r="I1336" s="28">
        <v>3</v>
      </c>
      <c r="J1336" s="30">
        <v>7.0999999999999994E-2</v>
      </c>
      <c r="K1336" s="28" t="s">
        <v>670</v>
      </c>
      <c r="L1336" s="31">
        <v>44501</v>
      </c>
      <c r="M1336" s="28">
        <v>11</v>
      </c>
      <c r="N1336" s="32" t="s">
        <v>191</v>
      </c>
      <c r="O1336" s="28" t="s">
        <v>204</v>
      </c>
      <c r="P1336" s="28" t="s">
        <v>3543</v>
      </c>
      <c r="Q1336" s="28" t="s">
        <v>3542</v>
      </c>
      <c r="R1336" s="28" t="s">
        <v>3531</v>
      </c>
    </row>
    <row r="1337" spans="1:18" hidden="1">
      <c r="A1337" s="28">
        <v>4</v>
      </c>
      <c r="B1337" s="29" t="s">
        <v>306</v>
      </c>
      <c r="C1337" s="29" t="s">
        <v>339</v>
      </c>
      <c r="D1337" s="29" t="s">
        <v>340</v>
      </c>
      <c r="E1337" s="29" t="s">
        <v>172</v>
      </c>
      <c r="F1337" s="28" t="s">
        <v>3373</v>
      </c>
      <c r="G1337" s="28" t="s">
        <v>3379</v>
      </c>
      <c r="H1337" s="28" t="s">
        <v>384</v>
      </c>
      <c r="I1337" s="28">
        <v>3</v>
      </c>
      <c r="J1337" s="30">
        <v>7.0999999999999994E-2</v>
      </c>
      <c r="K1337" s="28" t="s">
        <v>3544</v>
      </c>
      <c r="L1337" s="31">
        <v>42125</v>
      </c>
      <c r="M1337" s="28">
        <v>5</v>
      </c>
      <c r="N1337" s="32" t="s">
        <v>191</v>
      </c>
      <c r="O1337" s="28" t="s">
        <v>204</v>
      </c>
      <c r="P1337" s="28" t="s">
        <v>3545</v>
      </c>
      <c r="Q1337" s="28" t="s">
        <v>3546</v>
      </c>
      <c r="R1337" s="28" t="s">
        <v>3531</v>
      </c>
    </row>
    <row r="1338" spans="1:18" hidden="1">
      <c r="A1338" s="28">
        <v>4</v>
      </c>
      <c r="B1338" s="29" t="s">
        <v>306</v>
      </c>
      <c r="C1338" s="29" t="s">
        <v>339</v>
      </c>
      <c r="D1338" s="29" t="s">
        <v>340</v>
      </c>
      <c r="E1338" s="29" t="s">
        <v>172</v>
      </c>
      <c r="F1338" s="28" t="s">
        <v>3373</v>
      </c>
      <c r="G1338" s="28" t="s">
        <v>3374</v>
      </c>
      <c r="H1338" s="28" t="s">
        <v>174</v>
      </c>
      <c r="I1338" s="28" t="s">
        <v>174</v>
      </c>
      <c r="J1338" s="30" t="s">
        <v>174</v>
      </c>
      <c r="K1338" s="28" t="s">
        <v>175</v>
      </c>
      <c r="L1338" s="31">
        <v>42339</v>
      </c>
      <c r="M1338" s="28">
        <v>12</v>
      </c>
      <c r="N1338" s="32" t="s">
        <v>176</v>
      </c>
      <c r="O1338" s="28" t="s">
        <v>204</v>
      </c>
      <c r="P1338" s="28" t="s">
        <v>3547</v>
      </c>
      <c r="Q1338" s="28" t="s">
        <v>3546</v>
      </c>
      <c r="R1338" s="28" t="s">
        <v>3548</v>
      </c>
    </row>
    <row r="1339" spans="1:18" hidden="1">
      <c r="A1339" s="28">
        <v>4</v>
      </c>
      <c r="B1339" s="29" t="s">
        <v>306</v>
      </c>
      <c r="C1339" s="29" t="s">
        <v>339</v>
      </c>
      <c r="D1339" s="29" t="s">
        <v>340</v>
      </c>
      <c r="E1339" s="29" t="s">
        <v>172</v>
      </c>
      <c r="F1339" s="28" t="s">
        <v>3373</v>
      </c>
      <c r="G1339" s="28" t="s">
        <v>3382</v>
      </c>
      <c r="H1339" s="28" t="s">
        <v>384</v>
      </c>
      <c r="I1339" s="28">
        <v>3</v>
      </c>
      <c r="J1339" s="30">
        <v>7.0999999999999994E-2</v>
      </c>
      <c r="K1339" s="28" t="s">
        <v>485</v>
      </c>
      <c r="L1339" s="31">
        <v>42401</v>
      </c>
      <c r="M1339" s="28">
        <v>2</v>
      </c>
      <c r="N1339" s="32" t="s">
        <v>176</v>
      </c>
      <c r="O1339" s="28" t="s">
        <v>204</v>
      </c>
      <c r="P1339" s="28" t="s">
        <v>3549</v>
      </c>
      <c r="Q1339" s="28" t="s">
        <v>2527</v>
      </c>
      <c r="R1339" s="28" t="s">
        <v>695</v>
      </c>
    </row>
    <row r="1340" spans="1:18" hidden="1">
      <c r="A1340" s="28">
        <v>4</v>
      </c>
      <c r="B1340" s="29" t="s">
        <v>306</v>
      </c>
      <c r="C1340" s="29" t="s">
        <v>339</v>
      </c>
      <c r="D1340" s="29" t="s">
        <v>340</v>
      </c>
      <c r="E1340" s="29" t="s">
        <v>172</v>
      </c>
      <c r="F1340" s="28" t="s">
        <v>3373</v>
      </c>
      <c r="G1340" s="28" t="s">
        <v>3382</v>
      </c>
      <c r="H1340" s="28" t="s">
        <v>384</v>
      </c>
      <c r="I1340" s="28">
        <v>3</v>
      </c>
      <c r="J1340" s="30">
        <v>7.0999999999999994E-2</v>
      </c>
      <c r="K1340" s="28" t="s">
        <v>263</v>
      </c>
      <c r="L1340" s="31">
        <v>42430</v>
      </c>
      <c r="M1340" s="28">
        <v>3</v>
      </c>
      <c r="N1340" s="32" t="s">
        <v>191</v>
      </c>
      <c r="O1340" s="28" t="s">
        <v>204</v>
      </c>
      <c r="P1340" s="28" t="s">
        <v>3550</v>
      </c>
      <c r="Q1340" s="28" t="s">
        <v>3511</v>
      </c>
      <c r="R1340" s="28" t="s">
        <v>695</v>
      </c>
    </row>
    <row r="1341" spans="1:18" hidden="1">
      <c r="A1341" s="28">
        <v>4</v>
      </c>
      <c r="B1341" s="29" t="s">
        <v>306</v>
      </c>
      <c r="C1341" s="29" t="s">
        <v>339</v>
      </c>
      <c r="D1341" s="29" t="s">
        <v>340</v>
      </c>
      <c r="E1341" s="29" t="s">
        <v>172</v>
      </c>
      <c r="F1341" s="28" t="s">
        <v>3373</v>
      </c>
      <c r="G1341" s="28" t="s">
        <v>3379</v>
      </c>
      <c r="H1341" s="28" t="s">
        <v>384</v>
      </c>
      <c r="I1341" s="28">
        <v>3</v>
      </c>
      <c r="J1341" s="30">
        <v>7.0999999999999994E-2</v>
      </c>
      <c r="K1341" s="28" t="s">
        <v>243</v>
      </c>
      <c r="L1341" s="31">
        <v>42461</v>
      </c>
      <c r="M1341" s="28">
        <v>4</v>
      </c>
      <c r="N1341" s="32" t="s">
        <v>191</v>
      </c>
      <c r="O1341" s="28" t="s">
        <v>204</v>
      </c>
      <c r="P1341" s="28" t="s">
        <v>3551</v>
      </c>
      <c r="Q1341" s="28" t="s">
        <v>3511</v>
      </c>
      <c r="R1341" s="28" t="s">
        <v>695</v>
      </c>
    </row>
    <row r="1342" spans="1:18" hidden="1">
      <c r="A1342" s="28">
        <v>4</v>
      </c>
      <c r="B1342" s="29" t="s">
        <v>306</v>
      </c>
      <c r="C1342" s="29" t="s">
        <v>339</v>
      </c>
      <c r="D1342" s="29" t="s">
        <v>340</v>
      </c>
      <c r="E1342" s="29" t="s">
        <v>172</v>
      </c>
      <c r="F1342" s="28" t="s">
        <v>3373</v>
      </c>
      <c r="G1342" s="28" t="s">
        <v>3390</v>
      </c>
      <c r="H1342" s="28" t="s">
        <v>174</v>
      </c>
      <c r="I1342" s="28" t="s">
        <v>174</v>
      </c>
      <c r="J1342" s="30" t="s">
        <v>174</v>
      </c>
      <c r="K1342" s="28" t="s">
        <v>489</v>
      </c>
      <c r="L1342" s="31">
        <v>42491</v>
      </c>
      <c r="M1342" s="28">
        <v>5</v>
      </c>
      <c r="N1342" s="32" t="s">
        <v>191</v>
      </c>
      <c r="O1342" s="28" t="s">
        <v>177</v>
      </c>
      <c r="P1342" s="28" t="s">
        <v>3552</v>
      </c>
      <c r="Q1342" s="28" t="s">
        <v>3553</v>
      </c>
      <c r="R1342" s="28" t="s">
        <v>3554</v>
      </c>
    </row>
    <row r="1343" spans="1:18" hidden="1">
      <c r="A1343" s="28">
        <v>4</v>
      </c>
      <c r="B1343" s="29" t="s">
        <v>306</v>
      </c>
      <c r="C1343" s="29" t="s">
        <v>339</v>
      </c>
      <c r="D1343" s="29" t="s">
        <v>340</v>
      </c>
      <c r="E1343" s="29" t="s">
        <v>172</v>
      </c>
      <c r="F1343" s="28" t="s">
        <v>3373</v>
      </c>
      <c r="G1343" s="28" t="s">
        <v>3379</v>
      </c>
      <c r="H1343" s="28" t="s">
        <v>384</v>
      </c>
      <c r="I1343" s="28">
        <v>3</v>
      </c>
      <c r="J1343" s="30">
        <v>7.0999999999999994E-2</v>
      </c>
      <c r="K1343" s="28" t="s">
        <v>489</v>
      </c>
      <c r="L1343" s="31">
        <v>42491</v>
      </c>
      <c r="M1343" s="28">
        <v>5</v>
      </c>
      <c r="N1343" s="32" t="s">
        <v>191</v>
      </c>
      <c r="O1343" s="28" t="s">
        <v>204</v>
      </c>
      <c r="P1343" s="28" t="s">
        <v>3555</v>
      </c>
      <c r="Q1343" s="28" t="s">
        <v>3511</v>
      </c>
      <c r="R1343" s="28" t="s">
        <v>695</v>
      </c>
    </row>
    <row r="1344" spans="1:18" hidden="1">
      <c r="A1344" s="28">
        <v>4</v>
      </c>
      <c r="B1344" s="29" t="s">
        <v>306</v>
      </c>
      <c r="C1344" s="29" t="s">
        <v>339</v>
      </c>
      <c r="D1344" s="29" t="s">
        <v>340</v>
      </c>
      <c r="E1344" s="29" t="s">
        <v>172</v>
      </c>
      <c r="F1344" s="28" t="s">
        <v>3373</v>
      </c>
      <c r="G1344" s="28" t="s">
        <v>3379</v>
      </c>
      <c r="H1344" s="28" t="s">
        <v>384</v>
      </c>
      <c r="I1344" s="28">
        <v>3</v>
      </c>
      <c r="J1344" s="30">
        <v>7.0999999999999994E-2</v>
      </c>
      <c r="K1344" s="28" t="s">
        <v>489</v>
      </c>
      <c r="L1344" s="31">
        <v>42491</v>
      </c>
      <c r="M1344" s="28">
        <v>5</v>
      </c>
      <c r="N1344" s="32" t="s">
        <v>191</v>
      </c>
      <c r="O1344" s="28" t="s">
        <v>204</v>
      </c>
      <c r="P1344" s="28" t="s">
        <v>3556</v>
      </c>
      <c r="Q1344" s="28" t="s">
        <v>700</v>
      </c>
      <c r="R1344" s="28" t="s">
        <v>698</v>
      </c>
    </row>
    <row r="1345" spans="1:18" hidden="1">
      <c r="A1345" s="28">
        <v>4</v>
      </c>
      <c r="B1345" s="29" t="s">
        <v>306</v>
      </c>
      <c r="C1345" s="29" t="s">
        <v>339</v>
      </c>
      <c r="D1345" s="29" t="s">
        <v>340</v>
      </c>
      <c r="E1345" s="29" t="s">
        <v>172</v>
      </c>
      <c r="F1345" s="28" t="s">
        <v>3373</v>
      </c>
      <c r="G1345" s="28" t="s">
        <v>3379</v>
      </c>
      <c r="H1345" s="28" t="s">
        <v>384</v>
      </c>
      <c r="I1345" s="28">
        <v>3</v>
      </c>
      <c r="J1345" s="30">
        <v>7.0999999999999994E-2</v>
      </c>
      <c r="K1345" s="28" t="s">
        <v>489</v>
      </c>
      <c r="L1345" s="31">
        <v>42491</v>
      </c>
      <c r="M1345" s="28">
        <v>5</v>
      </c>
      <c r="N1345" s="32" t="s">
        <v>191</v>
      </c>
      <c r="O1345" s="28" t="s">
        <v>204</v>
      </c>
      <c r="P1345" s="28" t="s">
        <v>3557</v>
      </c>
      <c r="Q1345" s="28" t="s">
        <v>3546</v>
      </c>
      <c r="R1345" s="28" t="s">
        <v>3531</v>
      </c>
    </row>
    <row r="1346" spans="1:18" hidden="1">
      <c r="A1346" s="28">
        <v>4</v>
      </c>
      <c r="B1346" s="29" t="s">
        <v>306</v>
      </c>
      <c r="C1346" s="29" t="s">
        <v>339</v>
      </c>
      <c r="D1346" s="29" t="s">
        <v>340</v>
      </c>
      <c r="E1346" s="29" t="s">
        <v>172</v>
      </c>
      <c r="F1346" s="28" t="s">
        <v>3373</v>
      </c>
      <c r="G1346" s="28" t="s">
        <v>3382</v>
      </c>
      <c r="H1346" s="28" t="s">
        <v>384</v>
      </c>
      <c r="I1346" s="28">
        <v>3</v>
      </c>
      <c r="J1346" s="30">
        <v>7.0999999999999994E-2</v>
      </c>
      <c r="K1346" s="28" t="s">
        <v>489</v>
      </c>
      <c r="L1346" s="31">
        <v>42491</v>
      </c>
      <c r="M1346" s="28">
        <v>5</v>
      </c>
      <c r="N1346" s="32" t="s">
        <v>191</v>
      </c>
      <c r="O1346" s="28" t="s">
        <v>204</v>
      </c>
      <c r="P1346" s="28" t="s">
        <v>3558</v>
      </c>
      <c r="Q1346" s="28" t="s">
        <v>2527</v>
      </c>
      <c r="R1346" s="28" t="s">
        <v>695</v>
      </c>
    </row>
    <row r="1347" spans="1:18" hidden="1">
      <c r="A1347" s="28">
        <v>4</v>
      </c>
      <c r="B1347" s="29" t="s">
        <v>306</v>
      </c>
      <c r="C1347" s="29" t="s">
        <v>339</v>
      </c>
      <c r="D1347" s="29" t="s">
        <v>340</v>
      </c>
      <c r="E1347" s="29" t="s">
        <v>172</v>
      </c>
      <c r="F1347" s="28" t="s">
        <v>3373</v>
      </c>
      <c r="G1347" s="28" t="s">
        <v>3379</v>
      </c>
      <c r="H1347" s="28" t="s">
        <v>384</v>
      </c>
      <c r="I1347" s="28">
        <v>3</v>
      </c>
      <c r="J1347" s="30">
        <v>7.0999999999999994E-2</v>
      </c>
      <c r="K1347" s="28" t="s">
        <v>232</v>
      </c>
      <c r="L1347" s="31">
        <v>42522</v>
      </c>
      <c r="M1347" s="28">
        <v>6</v>
      </c>
      <c r="N1347" s="32" t="s">
        <v>184</v>
      </c>
      <c r="O1347" s="28" t="s">
        <v>204</v>
      </c>
      <c r="P1347" s="28" t="s">
        <v>3559</v>
      </c>
      <c r="Q1347" s="28" t="s">
        <v>3546</v>
      </c>
      <c r="R1347" s="28" t="s">
        <v>3531</v>
      </c>
    </row>
    <row r="1348" spans="1:18" hidden="1">
      <c r="A1348" s="28">
        <v>4</v>
      </c>
      <c r="B1348" s="29" t="s">
        <v>306</v>
      </c>
      <c r="C1348" s="29" t="s">
        <v>339</v>
      </c>
      <c r="D1348" s="29" t="s">
        <v>340</v>
      </c>
      <c r="E1348" s="29" t="s">
        <v>172</v>
      </c>
      <c r="F1348" s="28" t="s">
        <v>3373</v>
      </c>
      <c r="G1348" s="28" t="s">
        <v>3379</v>
      </c>
      <c r="H1348" s="28" t="s">
        <v>384</v>
      </c>
      <c r="I1348" s="28">
        <v>3</v>
      </c>
      <c r="J1348" s="30">
        <v>7.0999999999999994E-2</v>
      </c>
      <c r="K1348" s="28" t="s">
        <v>232</v>
      </c>
      <c r="L1348" s="31">
        <v>42522</v>
      </c>
      <c r="M1348" s="28">
        <v>6</v>
      </c>
      <c r="N1348" s="32" t="s">
        <v>184</v>
      </c>
      <c r="O1348" s="28" t="s">
        <v>204</v>
      </c>
      <c r="P1348" s="28" t="s">
        <v>3560</v>
      </c>
      <c r="Q1348" s="28" t="s">
        <v>3561</v>
      </c>
      <c r="R1348" s="28" t="s">
        <v>3531</v>
      </c>
    </row>
    <row r="1349" spans="1:18" hidden="1">
      <c r="A1349" s="28">
        <v>4</v>
      </c>
      <c r="B1349" s="29" t="s">
        <v>306</v>
      </c>
      <c r="C1349" s="29" t="s">
        <v>339</v>
      </c>
      <c r="D1349" s="29" t="s">
        <v>340</v>
      </c>
      <c r="E1349" s="29" t="s">
        <v>172</v>
      </c>
      <c r="F1349" s="28" t="s">
        <v>3373</v>
      </c>
      <c r="G1349" s="28" t="s">
        <v>3382</v>
      </c>
      <c r="H1349" s="28" t="s">
        <v>384</v>
      </c>
      <c r="I1349" s="28">
        <v>3</v>
      </c>
      <c r="J1349" s="30">
        <v>7.0999999999999994E-2</v>
      </c>
      <c r="K1349" s="28" t="s">
        <v>257</v>
      </c>
      <c r="L1349" s="31">
        <v>42552</v>
      </c>
      <c r="M1349" s="28">
        <v>7</v>
      </c>
      <c r="N1349" s="32" t="s">
        <v>184</v>
      </c>
      <c r="O1349" s="28" t="s">
        <v>204</v>
      </c>
      <c r="P1349" s="28" t="s">
        <v>3562</v>
      </c>
      <c r="Q1349" s="28" t="s">
        <v>3511</v>
      </c>
      <c r="R1349" s="28" t="s">
        <v>695</v>
      </c>
    </row>
    <row r="1350" spans="1:18" hidden="1">
      <c r="A1350" s="28">
        <v>4</v>
      </c>
      <c r="B1350" s="29" t="s">
        <v>306</v>
      </c>
      <c r="C1350" s="29" t="s">
        <v>339</v>
      </c>
      <c r="D1350" s="29" t="s">
        <v>340</v>
      </c>
      <c r="E1350" s="29" t="s">
        <v>172</v>
      </c>
      <c r="F1350" s="28" t="s">
        <v>3373</v>
      </c>
      <c r="G1350" s="28" t="s">
        <v>3379</v>
      </c>
      <c r="H1350" s="28" t="s">
        <v>384</v>
      </c>
      <c r="I1350" s="28">
        <v>3</v>
      </c>
      <c r="J1350" s="30">
        <v>7.0999999999999994E-2</v>
      </c>
      <c r="K1350" s="28" t="s">
        <v>335</v>
      </c>
      <c r="L1350" s="31">
        <v>42614</v>
      </c>
      <c r="M1350" s="28">
        <v>9</v>
      </c>
      <c r="N1350" s="32" t="s">
        <v>191</v>
      </c>
      <c r="O1350" s="28" t="s">
        <v>204</v>
      </c>
      <c r="P1350" s="28" t="s">
        <v>3563</v>
      </c>
      <c r="Q1350" s="28" t="s">
        <v>700</v>
      </c>
      <c r="R1350" s="28" t="s">
        <v>698</v>
      </c>
    </row>
    <row r="1351" spans="1:18" hidden="1">
      <c r="A1351" s="28">
        <v>4</v>
      </c>
      <c r="B1351" s="29" t="s">
        <v>306</v>
      </c>
      <c r="C1351" s="29" t="s">
        <v>339</v>
      </c>
      <c r="D1351" s="29" t="s">
        <v>340</v>
      </c>
      <c r="E1351" s="29" t="s">
        <v>172</v>
      </c>
      <c r="F1351" s="28" t="s">
        <v>3373</v>
      </c>
      <c r="G1351" s="28" t="s">
        <v>3379</v>
      </c>
      <c r="H1351" s="28" t="s">
        <v>384</v>
      </c>
      <c r="I1351" s="28">
        <v>3</v>
      </c>
      <c r="J1351" s="30">
        <v>7.0999999999999994E-2</v>
      </c>
      <c r="K1351" s="28" t="s">
        <v>335</v>
      </c>
      <c r="L1351" s="31">
        <v>42614</v>
      </c>
      <c r="M1351" s="28">
        <v>9</v>
      </c>
      <c r="N1351" s="32" t="s">
        <v>191</v>
      </c>
      <c r="O1351" s="28" t="s">
        <v>204</v>
      </c>
      <c r="P1351" s="28" t="s">
        <v>3564</v>
      </c>
      <c r="Q1351" s="28" t="s">
        <v>700</v>
      </c>
      <c r="R1351" s="28" t="s">
        <v>698</v>
      </c>
    </row>
    <row r="1352" spans="1:18" hidden="1">
      <c r="A1352" s="28">
        <v>4</v>
      </c>
      <c r="B1352" s="29" t="s">
        <v>306</v>
      </c>
      <c r="C1352" s="29" t="s">
        <v>339</v>
      </c>
      <c r="D1352" s="29" t="s">
        <v>340</v>
      </c>
      <c r="E1352" s="29" t="s">
        <v>172</v>
      </c>
      <c r="F1352" s="28" t="s">
        <v>3373</v>
      </c>
      <c r="G1352" s="28" t="s">
        <v>3379</v>
      </c>
      <c r="H1352" s="28" t="s">
        <v>384</v>
      </c>
      <c r="I1352" s="28">
        <v>3</v>
      </c>
      <c r="J1352" s="30">
        <v>7.0999999999999994E-2</v>
      </c>
      <c r="K1352" s="28" t="s">
        <v>651</v>
      </c>
      <c r="L1352" s="31">
        <v>42644</v>
      </c>
      <c r="M1352" s="28">
        <v>10</v>
      </c>
      <c r="N1352" s="32" t="s">
        <v>191</v>
      </c>
      <c r="O1352" s="28" t="s">
        <v>204</v>
      </c>
      <c r="P1352" s="28" t="s">
        <v>3565</v>
      </c>
      <c r="Q1352" s="28" t="s">
        <v>2527</v>
      </c>
      <c r="R1352" s="28" t="s">
        <v>695</v>
      </c>
    </row>
    <row r="1353" spans="1:18" hidden="1">
      <c r="A1353" s="28">
        <v>4</v>
      </c>
      <c r="B1353" s="29" t="s">
        <v>306</v>
      </c>
      <c r="C1353" s="29" t="s">
        <v>339</v>
      </c>
      <c r="D1353" s="29" t="s">
        <v>340</v>
      </c>
      <c r="E1353" s="29" t="s">
        <v>172</v>
      </c>
      <c r="F1353" s="28" t="s">
        <v>3373</v>
      </c>
      <c r="G1353" s="28" t="s">
        <v>3382</v>
      </c>
      <c r="H1353" s="28" t="s">
        <v>384</v>
      </c>
      <c r="I1353" s="28">
        <v>3</v>
      </c>
      <c r="J1353" s="30">
        <v>7.0999999999999994E-2</v>
      </c>
      <c r="K1353" s="28" t="s">
        <v>460</v>
      </c>
      <c r="L1353" s="31">
        <v>42675</v>
      </c>
      <c r="M1353" s="28">
        <v>11</v>
      </c>
      <c r="N1353" s="32" t="s">
        <v>191</v>
      </c>
      <c r="O1353" s="28" t="s">
        <v>204</v>
      </c>
      <c r="P1353" s="28" t="s">
        <v>3566</v>
      </c>
      <c r="Q1353" s="28" t="s">
        <v>2527</v>
      </c>
      <c r="R1353" s="28" t="s">
        <v>695</v>
      </c>
    </row>
    <row r="1354" spans="1:18" hidden="1">
      <c r="A1354" s="28">
        <v>4</v>
      </c>
      <c r="B1354" s="29" t="s">
        <v>306</v>
      </c>
      <c r="C1354" s="29" t="s">
        <v>339</v>
      </c>
      <c r="D1354" s="29" t="s">
        <v>340</v>
      </c>
      <c r="E1354" s="29" t="s">
        <v>172</v>
      </c>
      <c r="F1354" s="28" t="s">
        <v>3373</v>
      </c>
      <c r="G1354" s="28" t="s">
        <v>3379</v>
      </c>
      <c r="H1354" s="28" t="s">
        <v>384</v>
      </c>
      <c r="I1354" s="28">
        <v>3</v>
      </c>
      <c r="J1354" s="30">
        <v>7.0999999999999994E-2</v>
      </c>
      <c r="K1354" s="28" t="s">
        <v>401</v>
      </c>
      <c r="L1354" s="31">
        <v>42705</v>
      </c>
      <c r="M1354" s="28">
        <v>12</v>
      </c>
      <c r="N1354" s="32" t="s">
        <v>176</v>
      </c>
      <c r="O1354" s="28" t="s">
        <v>204</v>
      </c>
      <c r="P1354" s="28" t="s">
        <v>3567</v>
      </c>
      <c r="Q1354" s="28" t="s">
        <v>700</v>
      </c>
      <c r="R1354" s="28" t="s">
        <v>698</v>
      </c>
    </row>
    <row r="1355" spans="1:18" hidden="1">
      <c r="A1355" s="28">
        <v>4</v>
      </c>
      <c r="B1355" s="29" t="s">
        <v>306</v>
      </c>
      <c r="C1355" s="29" t="s">
        <v>339</v>
      </c>
      <c r="D1355" s="29" t="s">
        <v>340</v>
      </c>
      <c r="E1355" s="29" t="s">
        <v>172</v>
      </c>
      <c r="F1355" s="28" t="s">
        <v>3373</v>
      </c>
      <c r="G1355" s="28" t="s">
        <v>3379</v>
      </c>
      <c r="H1355" s="28" t="s">
        <v>384</v>
      </c>
      <c r="I1355" s="28">
        <v>3</v>
      </c>
      <c r="J1355" s="30">
        <v>7.0999999999999994E-2</v>
      </c>
      <c r="K1355" s="28" t="s">
        <v>401</v>
      </c>
      <c r="L1355" s="31">
        <v>42705</v>
      </c>
      <c r="M1355" s="28">
        <v>12</v>
      </c>
      <c r="N1355" s="32" t="s">
        <v>176</v>
      </c>
      <c r="O1355" s="28" t="s">
        <v>204</v>
      </c>
      <c r="P1355" s="28" t="s">
        <v>3568</v>
      </c>
      <c r="Q1355" s="28" t="s">
        <v>2527</v>
      </c>
      <c r="R1355" s="28" t="s">
        <v>695</v>
      </c>
    </row>
    <row r="1356" spans="1:18" hidden="1">
      <c r="A1356" s="28">
        <v>4</v>
      </c>
      <c r="B1356" s="29" t="s">
        <v>306</v>
      </c>
      <c r="C1356" s="29" t="s">
        <v>339</v>
      </c>
      <c r="D1356" s="29" t="s">
        <v>340</v>
      </c>
      <c r="E1356" s="29" t="s">
        <v>172</v>
      </c>
      <c r="F1356" s="28" t="s">
        <v>3373</v>
      </c>
      <c r="G1356" s="28" t="s">
        <v>3379</v>
      </c>
      <c r="H1356" s="28" t="s">
        <v>384</v>
      </c>
      <c r="I1356" s="28">
        <v>3</v>
      </c>
      <c r="J1356" s="30">
        <v>7.0999999999999994E-2</v>
      </c>
      <c r="K1356" s="28" t="s">
        <v>198</v>
      </c>
      <c r="L1356" s="31">
        <v>42767</v>
      </c>
      <c r="M1356" s="28">
        <v>2</v>
      </c>
      <c r="N1356" s="32" t="s">
        <v>176</v>
      </c>
      <c r="O1356" s="28" t="s">
        <v>204</v>
      </c>
      <c r="P1356" s="28" t="s">
        <v>3569</v>
      </c>
      <c r="Q1356" s="28" t="s">
        <v>3511</v>
      </c>
      <c r="R1356" s="28" t="s">
        <v>695</v>
      </c>
    </row>
    <row r="1357" spans="1:18" hidden="1">
      <c r="A1357" s="28">
        <v>4</v>
      </c>
      <c r="B1357" s="29" t="s">
        <v>306</v>
      </c>
      <c r="C1357" s="29" t="s">
        <v>339</v>
      </c>
      <c r="D1357" s="29" t="s">
        <v>340</v>
      </c>
      <c r="E1357" s="29" t="s">
        <v>172</v>
      </c>
      <c r="F1357" s="28" t="s">
        <v>3373</v>
      </c>
      <c r="G1357" s="28" t="s">
        <v>3390</v>
      </c>
      <c r="H1357" s="28" t="s">
        <v>174</v>
      </c>
      <c r="I1357" s="28" t="s">
        <v>174</v>
      </c>
      <c r="J1357" s="30" t="s">
        <v>174</v>
      </c>
      <c r="K1357" s="28" t="s">
        <v>198</v>
      </c>
      <c r="L1357" s="31">
        <v>42767</v>
      </c>
      <c r="M1357" s="28">
        <v>2</v>
      </c>
      <c r="N1357" s="32" t="s">
        <v>176</v>
      </c>
      <c r="O1357" s="28" t="s">
        <v>2054</v>
      </c>
      <c r="P1357" s="28" t="s">
        <v>3570</v>
      </c>
      <c r="Q1357" s="28" t="s">
        <v>3571</v>
      </c>
      <c r="R1357" s="28" t="s">
        <v>3572</v>
      </c>
    </row>
    <row r="1358" spans="1:18" hidden="1">
      <c r="A1358" s="28">
        <v>4</v>
      </c>
      <c r="B1358" s="29" t="s">
        <v>306</v>
      </c>
      <c r="C1358" s="29" t="s">
        <v>339</v>
      </c>
      <c r="D1358" s="29" t="s">
        <v>340</v>
      </c>
      <c r="E1358" s="29" t="s">
        <v>172</v>
      </c>
      <c r="F1358" s="28" t="s">
        <v>3373</v>
      </c>
      <c r="G1358" s="28" t="s">
        <v>3382</v>
      </c>
      <c r="H1358" s="28" t="s">
        <v>384</v>
      </c>
      <c r="I1358" s="28">
        <v>3</v>
      </c>
      <c r="J1358" s="30">
        <v>7.0999999999999994E-2</v>
      </c>
      <c r="K1358" s="28" t="s">
        <v>289</v>
      </c>
      <c r="L1358" s="31">
        <v>42795</v>
      </c>
      <c r="M1358" s="28">
        <v>3</v>
      </c>
      <c r="N1358" s="32" t="s">
        <v>191</v>
      </c>
      <c r="O1358" s="28" t="s">
        <v>204</v>
      </c>
      <c r="P1358" s="28" t="s">
        <v>3573</v>
      </c>
      <c r="Q1358" s="28" t="s">
        <v>3511</v>
      </c>
      <c r="R1358" s="28" t="s">
        <v>695</v>
      </c>
    </row>
    <row r="1359" spans="1:18" hidden="1">
      <c r="A1359" s="28">
        <v>4</v>
      </c>
      <c r="B1359" s="29" t="s">
        <v>306</v>
      </c>
      <c r="C1359" s="29" t="s">
        <v>339</v>
      </c>
      <c r="D1359" s="29" t="s">
        <v>340</v>
      </c>
      <c r="E1359" s="29" t="s">
        <v>172</v>
      </c>
      <c r="F1359" s="28" t="s">
        <v>3373</v>
      </c>
      <c r="G1359" s="28" t="s">
        <v>3382</v>
      </c>
      <c r="H1359" s="28" t="s">
        <v>384</v>
      </c>
      <c r="I1359" s="28">
        <v>3</v>
      </c>
      <c r="J1359" s="30">
        <v>7.0999999999999994E-2</v>
      </c>
      <c r="K1359" s="28" t="s">
        <v>289</v>
      </c>
      <c r="L1359" s="31">
        <v>42795</v>
      </c>
      <c r="M1359" s="28">
        <v>3</v>
      </c>
      <c r="N1359" s="32" t="s">
        <v>191</v>
      </c>
      <c r="O1359" s="28" t="s">
        <v>204</v>
      </c>
      <c r="P1359" s="28" t="s">
        <v>3574</v>
      </c>
      <c r="Q1359" s="28" t="s">
        <v>2527</v>
      </c>
      <c r="R1359" s="28" t="s">
        <v>695</v>
      </c>
    </row>
    <row r="1360" spans="1:18" hidden="1">
      <c r="A1360" s="28">
        <v>4</v>
      </c>
      <c r="B1360" s="29" t="s">
        <v>306</v>
      </c>
      <c r="C1360" s="29" t="s">
        <v>339</v>
      </c>
      <c r="D1360" s="29" t="s">
        <v>340</v>
      </c>
      <c r="E1360" s="29" t="s">
        <v>172</v>
      </c>
      <c r="F1360" s="28" t="s">
        <v>3373</v>
      </c>
      <c r="G1360" s="28" t="s">
        <v>3390</v>
      </c>
      <c r="H1360" s="28" t="s">
        <v>174</v>
      </c>
      <c r="I1360" s="28" t="s">
        <v>174</v>
      </c>
      <c r="J1360" s="30" t="s">
        <v>174</v>
      </c>
      <c r="K1360" s="28" t="s">
        <v>289</v>
      </c>
      <c r="L1360" s="31">
        <v>42795</v>
      </c>
      <c r="M1360" s="28">
        <v>3</v>
      </c>
      <c r="N1360" s="32" t="s">
        <v>191</v>
      </c>
      <c r="O1360" s="28" t="s">
        <v>204</v>
      </c>
      <c r="P1360" s="28" t="s">
        <v>3575</v>
      </c>
      <c r="Q1360" s="28" t="s">
        <v>2527</v>
      </c>
      <c r="R1360" s="28" t="s">
        <v>3576</v>
      </c>
    </row>
    <row r="1361" spans="1:18" hidden="1">
      <c r="A1361" s="28">
        <v>4</v>
      </c>
      <c r="B1361" s="29" t="s">
        <v>306</v>
      </c>
      <c r="C1361" s="29" t="s">
        <v>339</v>
      </c>
      <c r="D1361" s="29" t="s">
        <v>340</v>
      </c>
      <c r="E1361" s="29" t="s">
        <v>172</v>
      </c>
      <c r="F1361" s="28" t="s">
        <v>3373</v>
      </c>
      <c r="G1361" s="28" t="s">
        <v>3382</v>
      </c>
      <c r="H1361" s="28" t="s">
        <v>384</v>
      </c>
      <c r="I1361" s="28">
        <v>3</v>
      </c>
      <c r="J1361" s="30">
        <v>7.0999999999999994E-2</v>
      </c>
      <c r="K1361" s="28" t="s">
        <v>769</v>
      </c>
      <c r="L1361" s="31">
        <v>42826</v>
      </c>
      <c r="M1361" s="28">
        <v>4</v>
      </c>
      <c r="N1361" s="32" t="s">
        <v>191</v>
      </c>
      <c r="O1361" s="28" t="s">
        <v>204</v>
      </c>
      <c r="P1361" s="28" t="s">
        <v>3577</v>
      </c>
      <c r="Q1361" s="28" t="s">
        <v>3511</v>
      </c>
      <c r="R1361" s="28" t="s">
        <v>695</v>
      </c>
    </row>
    <row r="1362" spans="1:18" hidden="1">
      <c r="A1362" s="28">
        <v>4</v>
      </c>
      <c r="B1362" s="29" t="s">
        <v>306</v>
      </c>
      <c r="C1362" s="29" t="s">
        <v>339</v>
      </c>
      <c r="D1362" s="29" t="s">
        <v>340</v>
      </c>
      <c r="E1362" s="29" t="s">
        <v>172</v>
      </c>
      <c r="F1362" s="28" t="s">
        <v>3373</v>
      </c>
      <c r="G1362" s="28" t="s">
        <v>3382</v>
      </c>
      <c r="H1362" s="28" t="s">
        <v>384</v>
      </c>
      <c r="I1362" s="28">
        <v>3</v>
      </c>
      <c r="J1362" s="30">
        <v>7.0999999999999994E-2</v>
      </c>
      <c r="K1362" s="28" t="s">
        <v>769</v>
      </c>
      <c r="L1362" s="31">
        <v>42826</v>
      </c>
      <c r="M1362" s="28">
        <v>4</v>
      </c>
      <c r="N1362" s="32" t="s">
        <v>191</v>
      </c>
      <c r="O1362" s="28" t="s">
        <v>204</v>
      </c>
      <c r="P1362" s="28" t="s">
        <v>3578</v>
      </c>
      <c r="Q1362" s="28" t="s">
        <v>2527</v>
      </c>
      <c r="R1362" s="28" t="s">
        <v>695</v>
      </c>
    </row>
    <row r="1363" spans="1:18" hidden="1">
      <c r="A1363" s="28">
        <v>4</v>
      </c>
      <c r="B1363" s="29" t="s">
        <v>306</v>
      </c>
      <c r="C1363" s="29" t="s">
        <v>339</v>
      </c>
      <c r="D1363" s="29" t="s">
        <v>340</v>
      </c>
      <c r="E1363" s="29" t="s">
        <v>172</v>
      </c>
      <c r="F1363" s="28" t="s">
        <v>3373</v>
      </c>
      <c r="G1363" s="28" t="s">
        <v>3379</v>
      </c>
      <c r="H1363" s="28" t="s">
        <v>384</v>
      </c>
      <c r="I1363" s="28">
        <v>3</v>
      </c>
      <c r="J1363" s="30">
        <v>7.0999999999999994E-2</v>
      </c>
      <c r="K1363" s="28" t="s">
        <v>271</v>
      </c>
      <c r="L1363" s="31">
        <v>42856</v>
      </c>
      <c r="M1363" s="28">
        <v>5</v>
      </c>
      <c r="N1363" s="32" t="s">
        <v>191</v>
      </c>
      <c r="O1363" s="28" t="s">
        <v>204</v>
      </c>
      <c r="P1363" s="28" t="s">
        <v>3579</v>
      </c>
      <c r="Q1363" s="28" t="s">
        <v>3511</v>
      </c>
      <c r="R1363" s="28" t="s">
        <v>695</v>
      </c>
    </row>
    <row r="1364" spans="1:18" hidden="1">
      <c r="A1364" s="28">
        <v>4</v>
      </c>
      <c r="B1364" s="29" t="s">
        <v>306</v>
      </c>
      <c r="C1364" s="29" t="s">
        <v>339</v>
      </c>
      <c r="D1364" s="29" t="s">
        <v>340</v>
      </c>
      <c r="E1364" s="29" t="s">
        <v>172</v>
      </c>
      <c r="F1364" s="28" t="s">
        <v>3373</v>
      </c>
      <c r="G1364" s="28" t="s">
        <v>3379</v>
      </c>
      <c r="H1364" s="28" t="s">
        <v>384</v>
      </c>
      <c r="I1364" s="28">
        <v>3</v>
      </c>
      <c r="J1364" s="30">
        <v>7.0999999999999994E-2</v>
      </c>
      <c r="K1364" s="28" t="s">
        <v>464</v>
      </c>
      <c r="L1364" s="31">
        <v>42887</v>
      </c>
      <c r="M1364" s="28">
        <v>6</v>
      </c>
      <c r="N1364" s="32" t="s">
        <v>184</v>
      </c>
      <c r="O1364" s="28" t="s">
        <v>204</v>
      </c>
      <c r="P1364" s="28" t="s">
        <v>3580</v>
      </c>
      <c r="Q1364" s="28" t="s">
        <v>3511</v>
      </c>
      <c r="R1364" s="28" t="s">
        <v>695</v>
      </c>
    </row>
    <row r="1365" spans="1:18" hidden="1">
      <c r="A1365" s="28">
        <v>4</v>
      </c>
      <c r="B1365" s="29" t="s">
        <v>306</v>
      </c>
      <c r="C1365" s="29" t="s">
        <v>339</v>
      </c>
      <c r="D1365" s="29" t="s">
        <v>340</v>
      </c>
      <c r="E1365" s="29" t="s">
        <v>172</v>
      </c>
      <c r="F1365" s="28" t="s">
        <v>3373</v>
      </c>
      <c r="G1365" s="28" t="s">
        <v>3382</v>
      </c>
      <c r="H1365" s="28" t="s">
        <v>384</v>
      </c>
      <c r="I1365" s="28">
        <v>3</v>
      </c>
      <c r="J1365" s="30">
        <v>7.0999999999999994E-2</v>
      </c>
      <c r="K1365" s="28" t="s">
        <v>496</v>
      </c>
      <c r="L1365" s="31">
        <v>42917</v>
      </c>
      <c r="M1365" s="28">
        <v>7</v>
      </c>
      <c r="N1365" s="32" t="s">
        <v>184</v>
      </c>
      <c r="O1365" s="28" t="s">
        <v>204</v>
      </c>
      <c r="P1365" s="28" t="s">
        <v>3581</v>
      </c>
      <c r="Q1365" s="28" t="s">
        <v>2527</v>
      </c>
      <c r="R1365" s="28" t="s">
        <v>695</v>
      </c>
    </row>
    <row r="1366" spans="1:18" hidden="1">
      <c r="A1366" s="28">
        <v>4</v>
      </c>
      <c r="B1366" s="29" t="s">
        <v>306</v>
      </c>
      <c r="C1366" s="29" t="s">
        <v>339</v>
      </c>
      <c r="D1366" s="29" t="s">
        <v>340</v>
      </c>
      <c r="E1366" s="29" t="s">
        <v>172</v>
      </c>
      <c r="F1366" s="28" t="s">
        <v>3373</v>
      </c>
      <c r="G1366" s="28" t="s">
        <v>3379</v>
      </c>
      <c r="H1366" s="28" t="s">
        <v>384</v>
      </c>
      <c r="I1366" s="28">
        <v>3</v>
      </c>
      <c r="J1366" s="30">
        <v>7.0999999999999994E-2</v>
      </c>
      <c r="K1366" s="28" t="s">
        <v>742</v>
      </c>
      <c r="L1366" s="31">
        <v>42948</v>
      </c>
      <c r="M1366" s="28">
        <v>8</v>
      </c>
      <c r="N1366" s="32" t="s">
        <v>184</v>
      </c>
      <c r="O1366" s="28" t="s">
        <v>204</v>
      </c>
      <c r="P1366" s="28" t="s">
        <v>3582</v>
      </c>
      <c r="Q1366" s="28" t="s">
        <v>2527</v>
      </c>
      <c r="R1366" s="28" t="s">
        <v>695</v>
      </c>
    </row>
    <row r="1367" spans="1:18" hidden="1">
      <c r="A1367" s="28">
        <v>4</v>
      </c>
      <c r="B1367" s="29" t="s">
        <v>306</v>
      </c>
      <c r="C1367" s="29" t="s">
        <v>339</v>
      </c>
      <c r="D1367" s="29" t="s">
        <v>340</v>
      </c>
      <c r="E1367" s="29" t="s">
        <v>172</v>
      </c>
      <c r="F1367" s="28" t="s">
        <v>3373</v>
      </c>
      <c r="G1367" s="28" t="s">
        <v>3374</v>
      </c>
      <c r="H1367" s="28" t="s">
        <v>174</v>
      </c>
      <c r="I1367" s="28" t="s">
        <v>174</v>
      </c>
      <c r="J1367" s="30" t="s">
        <v>174</v>
      </c>
      <c r="K1367" s="28" t="s">
        <v>971</v>
      </c>
      <c r="L1367" s="31">
        <v>42979</v>
      </c>
      <c r="M1367" s="28">
        <v>9</v>
      </c>
      <c r="N1367" s="32" t="s">
        <v>191</v>
      </c>
      <c r="O1367" s="28" t="s">
        <v>204</v>
      </c>
      <c r="P1367" s="28" t="s">
        <v>3583</v>
      </c>
      <c r="Q1367" s="28" t="s">
        <v>3584</v>
      </c>
      <c r="R1367" s="28" t="s">
        <v>3548</v>
      </c>
    </row>
    <row r="1368" spans="1:18" hidden="1">
      <c r="A1368" s="28">
        <v>4</v>
      </c>
      <c r="B1368" s="29" t="s">
        <v>306</v>
      </c>
      <c r="C1368" s="29" t="s">
        <v>339</v>
      </c>
      <c r="D1368" s="29" t="s">
        <v>340</v>
      </c>
      <c r="E1368" s="29" t="s">
        <v>172</v>
      </c>
      <c r="F1368" s="28" t="s">
        <v>3373</v>
      </c>
      <c r="G1368" s="28" t="s">
        <v>3382</v>
      </c>
      <c r="H1368" s="28" t="s">
        <v>384</v>
      </c>
      <c r="I1368" s="28">
        <v>3</v>
      </c>
      <c r="J1368" s="30">
        <v>7.0999999999999994E-2</v>
      </c>
      <c r="K1368" s="28" t="s">
        <v>971</v>
      </c>
      <c r="L1368" s="31">
        <v>42979</v>
      </c>
      <c r="M1368" s="28">
        <v>9</v>
      </c>
      <c r="N1368" s="32" t="s">
        <v>191</v>
      </c>
      <c r="O1368" s="28" t="s">
        <v>204</v>
      </c>
      <c r="P1368" s="28" t="s">
        <v>3585</v>
      </c>
      <c r="Q1368" s="28" t="s">
        <v>3511</v>
      </c>
      <c r="R1368" s="28" t="s">
        <v>695</v>
      </c>
    </row>
    <row r="1369" spans="1:18" hidden="1">
      <c r="A1369" s="28">
        <v>4</v>
      </c>
      <c r="B1369" s="29" t="s">
        <v>306</v>
      </c>
      <c r="C1369" s="29" t="s">
        <v>339</v>
      </c>
      <c r="D1369" s="29" t="s">
        <v>340</v>
      </c>
      <c r="E1369" s="29" t="s">
        <v>172</v>
      </c>
      <c r="F1369" s="28" t="s">
        <v>3373</v>
      </c>
      <c r="G1369" s="28" t="s">
        <v>3379</v>
      </c>
      <c r="H1369" s="28" t="s">
        <v>384</v>
      </c>
      <c r="I1369" s="28">
        <v>3</v>
      </c>
      <c r="J1369" s="30">
        <v>7.0999999999999994E-2</v>
      </c>
      <c r="K1369" s="28" t="s">
        <v>971</v>
      </c>
      <c r="L1369" s="31">
        <v>42979</v>
      </c>
      <c r="M1369" s="28">
        <v>9</v>
      </c>
      <c r="N1369" s="32" t="s">
        <v>191</v>
      </c>
      <c r="O1369" s="28" t="s">
        <v>204</v>
      </c>
      <c r="P1369" s="28" t="s">
        <v>3586</v>
      </c>
      <c r="Q1369" s="28" t="s">
        <v>3546</v>
      </c>
      <c r="R1369" s="28" t="s">
        <v>3531</v>
      </c>
    </row>
    <row r="1370" spans="1:18" hidden="1">
      <c r="A1370" s="28">
        <v>4</v>
      </c>
      <c r="B1370" s="29" t="s">
        <v>306</v>
      </c>
      <c r="C1370" s="29" t="s">
        <v>339</v>
      </c>
      <c r="D1370" s="29" t="s">
        <v>340</v>
      </c>
      <c r="E1370" s="29" t="s">
        <v>172</v>
      </c>
      <c r="F1370" s="28" t="s">
        <v>3373</v>
      </c>
      <c r="G1370" s="28" t="s">
        <v>3379</v>
      </c>
      <c r="H1370" s="28" t="s">
        <v>384</v>
      </c>
      <c r="I1370" s="28">
        <v>3</v>
      </c>
      <c r="J1370" s="30">
        <v>7.0999999999999994E-2</v>
      </c>
      <c r="K1370" s="28" t="s">
        <v>813</v>
      </c>
      <c r="L1370" s="31">
        <v>43009</v>
      </c>
      <c r="M1370" s="28">
        <v>10</v>
      </c>
      <c r="N1370" s="32" t="s">
        <v>191</v>
      </c>
      <c r="O1370" s="28" t="s">
        <v>204</v>
      </c>
      <c r="P1370" s="28" t="s">
        <v>3587</v>
      </c>
      <c r="Q1370" s="28" t="s">
        <v>3588</v>
      </c>
      <c r="R1370" s="28" t="s">
        <v>3531</v>
      </c>
    </row>
    <row r="1371" spans="1:18" hidden="1">
      <c r="A1371" s="28">
        <v>4</v>
      </c>
      <c r="B1371" s="29" t="s">
        <v>306</v>
      </c>
      <c r="C1371" s="29" t="s">
        <v>339</v>
      </c>
      <c r="D1371" s="29" t="s">
        <v>340</v>
      </c>
      <c r="E1371" s="29" t="s">
        <v>172</v>
      </c>
      <c r="F1371" s="28" t="s">
        <v>3373</v>
      </c>
      <c r="G1371" s="28" t="s">
        <v>3382</v>
      </c>
      <c r="H1371" s="28" t="s">
        <v>384</v>
      </c>
      <c r="I1371" s="28">
        <v>3</v>
      </c>
      <c r="J1371" s="30">
        <v>7.0999999999999994E-2</v>
      </c>
      <c r="K1371" s="28" t="s">
        <v>435</v>
      </c>
      <c r="L1371" s="31">
        <v>43040</v>
      </c>
      <c r="M1371" s="28">
        <v>11</v>
      </c>
      <c r="N1371" s="32" t="s">
        <v>191</v>
      </c>
      <c r="O1371" s="28" t="s">
        <v>204</v>
      </c>
      <c r="P1371" s="28" t="s">
        <v>3589</v>
      </c>
      <c r="Q1371" s="28" t="s">
        <v>2527</v>
      </c>
      <c r="R1371" s="28" t="s">
        <v>695</v>
      </c>
    </row>
    <row r="1372" spans="1:18" hidden="1">
      <c r="A1372" s="28">
        <v>4</v>
      </c>
      <c r="B1372" s="29" t="s">
        <v>306</v>
      </c>
      <c r="C1372" s="29" t="s">
        <v>339</v>
      </c>
      <c r="D1372" s="29" t="s">
        <v>340</v>
      </c>
      <c r="E1372" s="29" t="s">
        <v>172</v>
      </c>
      <c r="F1372" s="28" t="s">
        <v>3373</v>
      </c>
      <c r="G1372" s="28" t="s">
        <v>3379</v>
      </c>
      <c r="H1372" s="28" t="s">
        <v>384</v>
      </c>
      <c r="I1372" s="28">
        <v>3</v>
      </c>
      <c r="J1372" s="30">
        <v>7.0999999999999994E-2</v>
      </c>
      <c r="K1372" s="28" t="s">
        <v>248</v>
      </c>
      <c r="L1372" s="31">
        <v>43070</v>
      </c>
      <c r="M1372" s="28">
        <v>12</v>
      </c>
      <c r="N1372" s="32" t="s">
        <v>176</v>
      </c>
      <c r="O1372" s="28" t="s">
        <v>204</v>
      </c>
      <c r="P1372" s="28" t="s">
        <v>3590</v>
      </c>
      <c r="Q1372" s="28" t="s">
        <v>3511</v>
      </c>
      <c r="R1372" s="28" t="s">
        <v>695</v>
      </c>
    </row>
    <row r="1373" spans="1:18" hidden="1">
      <c r="A1373" s="28">
        <v>4</v>
      </c>
      <c r="B1373" s="29" t="s">
        <v>306</v>
      </c>
      <c r="C1373" s="29" t="s">
        <v>339</v>
      </c>
      <c r="D1373" s="29" t="s">
        <v>340</v>
      </c>
      <c r="E1373" s="29" t="s">
        <v>172</v>
      </c>
      <c r="F1373" s="28" t="s">
        <v>3373</v>
      </c>
      <c r="G1373" s="28" t="s">
        <v>3379</v>
      </c>
      <c r="H1373" s="28" t="s">
        <v>384</v>
      </c>
      <c r="I1373" s="28">
        <v>3</v>
      </c>
      <c r="J1373" s="30">
        <v>7.0999999999999994E-2</v>
      </c>
      <c r="K1373" s="28" t="s">
        <v>208</v>
      </c>
      <c r="L1373" s="31">
        <v>43101</v>
      </c>
      <c r="M1373" s="28">
        <v>1</v>
      </c>
      <c r="N1373" s="32" t="s">
        <v>176</v>
      </c>
      <c r="O1373" s="28" t="s">
        <v>204</v>
      </c>
      <c r="P1373" s="28" t="s">
        <v>3591</v>
      </c>
      <c r="Q1373" s="28" t="s">
        <v>3511</v>
      </c>
      <c r="R1373" s="28" t="s">
        <v>695</v>
      </c>
    </row>
    <row r="1374" spans="1:18" hidden="1">
      <c r="A1374" s="28">
        <v>4</v>
      </c>
      <c r="B1374" s="29" t="s">
        <v>306</v>
      </c>
      <c r="C1374" s="29" t="s">
        <v>339</v>
      </c>
      <c r="D1374" s="29" t="s">
        <v>340</v>
      </c>
      <c r="E1374" s="29" t="s">
        <v>172</v>
      </c>
      <c r="F1374" s="28" t="s">
        <v>3373</v>
      </c>
      <c r="G1374" s="28" t="s">
        <v>3390</v>
      </c>
      <c r="H1374" s="28" t="s">
        <v>174</v>
      </c>
      <c r="I1374" s="28" t="s">
        <v>174</v>
      </c>
      <c r="J1374" s="30" t="s">
        <v>174</v>
      </c>
      <c r="K1374" s="28" t="s">
        <v>208</v>
      </c>
      <c r="L1374" s="31">
        <v>43101</v>
      </c>
      <c r="M1374" s="28">
        <v>1</v>
      </c>
      <c r="N1374" s="32" t="s">
        <v>176</v>
      </c>
      <c r="O1374" s="28" t="s">
        <v>204</v>
      </c>
      <c r="P1374" s="28" t="s">
        <v>3592</v>
      </c>
      <c r="Q1374" s="28" t="s">
        <v>2527</v>
      </c>
      <c r="R1374" s="28" t="s">
        <v>3576</v>
      </c>
    </row>
    <row r="1375" spans="1:18" hidden="1">
      <c r="A1375" s="28">
        <v>4</v>
      </c>
      <c r="B1375" s="29" t="s">
        <v>306</v>
      </c>
      <c r="C1375" s="29" t="s">
        <v>339</v>
      </c>
      <c r="D1375" s="29" t="s">
        <v>340</v>
      </c>
      <c r="E1375" s="29" t="s">
        <v>172</v>
      </c>
      <c r="F1375" s="28" t="s">
        <v>3373</v>
      </c>
      <c r="G1375" s="28" t="s">
        <v>3379</v>
      </c>
      <c r="H1375" s="28" t="s">
        <v>384</v>
      </c>
      <c r="I1375" s="28">
        <v>3</v>
      </c>
      <c r="J1375" s="30">
        <v>7.0999999999999994E-2</v>
      </c>
      <c r="K1375" s="28" t="s">
        <v>1896</v>
      </c>
      <c r="L1375" s="31">
        <v>43132</v>
      </c>
      <c r="M1375" s="28">
        <v>2</v>
      </c>
      <c r="N1375" s="32" t="s">
        <v>176</v>
      </c>
      <c r="O1375" s="28" t="s">
        <v>204</v>
      </c>
      <c r="P1375" s="28" t="s">
        <v>3593</v>
      </c>
      <c r="Q1375" s="28" t="s">
        <v>3546</v>
      </c>
      <c r="R1375" s="28" t="s">
        <v>3531</v>
      </c>
    </row>
    <row r="1376" spans="1:18" hidden="1">
      <c r="A1376" s="28">
        <v>4</v>
      </c>
      <c r="B1376" s="29" t="s">
        <v>306</v>
      </c>
      <c r="C1376" s="29" t="s">
        <v>339</v>
      </c>
      <c r="D1376" s="29" t="s">
        <v>340</v>
      </c>
      <c r="E1376" s="29" t="s">
        <v>172</v>
      </c>
      <c r="F1376" s="28" t="s">
        <v>3373</v>
      </c>
      <c r="G1376" s="28" t="s">
        <v>3382</v>
      </c>
      <c r="H1376" s="28" t="s">
        <v>384</v>
      </c>
      <c r="I1376" s="28">
        <v>3</v>
      </c>
      <c r="J1376" s="30">
        <v>7.0999999999999994E-2</v>
      </c>
      <c r="K1376" s="28" t="s">
        <v>1896</v>
      </c>
      <c r="L1376" s="31">
        <v>43132</v>
      </c>
      <c r="M1376" s="28">
        <v>2</v>
      </c>
      <c r="N1376" s="32" t="s">
        <v>176</v>
      </c>
      <c r="O1376" s="28" t="s">
        <v>204</v>
      </c>
      <c r="P1376" s="28" t="s">
        <v>3594</v>
      </c>
      <c r="Q1376" s="28" t="s">
        <v>2527</v>
      </c>
      <c r="R1376" s="28" t="s">
        <v>695</v>
      </c>
    </row>
    <row r="1377" spans="1:18" hidden="1">
      <c r="A1377" s="28">
        <v>4</v>
      </c>
      <c r="B1377" s="29" t="s">
        <v>306</v>
      </c>
      <c r="C1377" s="29" t="s">
        <v>339</v>
      </c>
      <c r="D1377" s="29" t="s">
        <v>340</v>
      </c>
      <c r="E1377" s="29" t="s">
        <v>172</v>
      </c>
      <c r="F1377" s="28" t="s">
        <v>3373</v>
      </c>
      <c r="G1377" s="28" t="s">
        <v>3382</v>
      </c>
      <c r="H1377" s="28" t="s">
        <v>384</v>
      </c>
      <c r="I1377" s="28">
        <v>3</v>
      </c>
      <c r="J1377" s="30">
        <v>7.0999999999999994E-2</v>
      </c>
      <c r="K1377" s="28" t="s">
        <v>473</v>
      </c>
      <c r="L1377" s="31">
        <v>43160</v>
      </c>
      <c r="M1377" s="28">
        <v>3</v>
      </c>
      <c r="N1377" s="32" t="s">
        <v>191</v>
      </c>
      <c r="O1377" s="28" t="s">
        <v>204</v>
      </c>
      <c r="P1377" s="28" t="s">
        <v>3595</v>
      </c>
      <c r="Q1377" s="28" t="s">
        <v>2527</v>
      </c>
      <c r="R1377" s="28" t="s">
        <v>695</v>
      </c>
    </row>
    <row r="1378" spans="1:18" hidden="1">
      <c r="A1378" s="28">
        <v>4</v>
      </c>
      <c r="B1378" s="29" t="s">
        <v>306</v>
      </c>
      <c r="C1378" s="29" t="s">
        <v>339</v>
      </c>
      <c r="D1378" s="29" t="s">
        <v>340</v>
      </c>
      <c r="E1378" s="29" t="s">
        <v>172</v>
      </c>
      <c r="F1378" s="28" t="s">
        <v>3373</v>
      </c>
      <c r="G1378" s="28" t="s">
        <v>3382</v>
      </c>
      <c r="H1378" s="28" t="s">
        <v>384</v>
      </c>
      <c r="I1378" s="28">
        <v>3</v>
      </c>
      <c r="J1378" s="30">
        <v>7.0999999999999994E-2</v>
      </c>
      <c r="K1378" s="28" t="s">
        <v>473</v>
      </c>
      <c r="L1378" s="31">
        <v>43160</v>
      </c>
      <c r="M1378" s="28">
        <v>3</v>
      </c>
      <c r="N1378" s="32" t="s">
        <v>191</v>
      </c>
      <c r="O1378" s="28" t="s">
        <v>204</v>
      </c>
      <c r="P1378" s="28" t="s">
        <v>3596</v>
      </c>
      <c r="Q1378" s="28" t="s">
        <v>2527</v>
      </c>
      <c r="R1378" s="28" t="s">
        <v>695</v>
      </c>
    </row>
    <row r="1379" spans="1:18" hidden="1">
      <c r="A1379" s="28">
        <v>4</v>
      </c>
      <c r="B1379" s="29" t="s">
        <v>306</v>
      </c>
      <c r="C1379" s="29" t="s">
        <v>339</v>
      </c>
      <c r="D1379" s="29" t="s">
        <v>340</v>
      </c>
      <c r="E1379" s="29" t="s">
        <v>172</v>
      </c>
      <c r="F1379" s="28" t="s">
        <v>3373</v>
      </c>
      <c r="G1379" s="28" t="s">
        <v>3379</v>
      </c>
      <c r="H1379" s="28" t="s">
        <v>384</v>
      </c>
      <c r="I1379" s="28">
        <v>3</v>
      </c>
      <c r="J1379" s="30">
        <v>7.0999999999999994E-2</v>
      </c>
      <c r="K1379" s="28" t="s">
        <v>473</v>
      </c>
      <c r="L1379" s="31">
        <v>43160</v>
      </c>
      <c r="M1379" s="28">
        <v>3</v>
      </c>
      <c r="N1379" s="32" t="s">
        <v>191</v>
      </c>
      <c r="O1379" s="28" t="s">
        <v>204</v>
      </c>
      <c r="P1379" s="28" t="s">
        <v>3597</v>
      </c>
      <c r="Q1379" s="28" t="s">
        <v>2527</v>
      </c>
      <c r="R1379" s="28" t="s">
        <v>695</v>
      </c>
    </row>
    <row r="1380" spans="1:18" hidden="1">
      <c r="A1380" s="28">
        <v>4</v>
      </c>
      <c r="B1380" s="29" t="s">
        <v>306</v>
      </c>
      <c r="C1380" s="29" t="s">
        <v>339</v>
      </c>
      <c r="D1380" s="29" t="s">
        <v>340</v>
      </c>
      <c r="E1380" s="29" t="s">
        <v>172</v>
      </c>
      <c r="F1380" s="28" t="s">
        <v>3373</v>
      </c>
      <c r="G1380" s="28" t="s">
        <v>3382</v>
      </c>
      <c r="H1380" s="28" t="s">
        <v>384</v>
      </c>
      <c r="I1380" s="28">
        <v>3</v>
      </c>
      <c r="J1380" s="30">
        <v>7.0999999999999994E-2</v>
      </c>
      <c r="K1380" s="28" t="s">
        <v>475</v>
      </c>
      <c r="L1380" s="31">
        <v>43191</v>
      </c>
      <c r="M1380" s="28">
        <v>4</v>
      </c>
      <c r="N1380" s="32" t="s">
        <v>191</v>
      </c>
      <c r="O1380" s="28" t="s">
        <v>204</v>
      </c>
      <c r="P1380" s="28" t="s">
        <v>3598</v>
      </c>
      <c r="Q1380" s="28" t="s">
        <v>3511</v>
      </c>
      <c r="R1380" s="28" t="s">
        <v>695</v>
      </c>
    </row>
    <row r="1381" spans="1:18" hidden="1">
      <c r="A1381" s="28">
        <v>4</v>
      </c>
      <c r="B1381" s="29" t="s">
        <v>306</v>
      </c>
      <c r="C1381" s="29" t="s">
        <v>339</v>
      </c>
      <c r="D1381" s="29" t="s">
        <v>340</v>
      </c>
      <c r="E1381" s="29" t="s">
        <v>172</v>
      </c>
      <c r="F1381" s="28" t="s">
        <v>3373</v>
      </c>
      <c r="G1381" s="28" t="s">
        <v>3379</v>
      </c>
      <c r="H1381" s="28" t="s">
        <v>384</v>
      </c>
      <c r="I1381" s="28">
        <v>3</v>
      </c>
      <c r="J1381" s="30">
        <v>7.0999999999999994E-2</v>
      </c>
      <c r="K1381" s="28" t="s">
        <v>405</v>
      </c>
      <c r="L1381" s="31">
        <v>43221</v>
      </c>
      <c r="M1381" s="28">
        <v>5</v>
      </c>
      <c r="N1381" s="32" t="s">
        <v>191</v>
      </c>
      <c r="O1381" s="28" t="s">
        <v>204</v>
      </c>
      <c r="P1381" s="28" t="s">
        <v>3599</v>
      </c>
      <c r="Q1381" s="28" t="s">
        <v>3511</v>
      </c>
      <c r="R1381" s="28" t="s">
        <v>695</v>
      </c>
    </row>
    <row r="1382" spans="1:18" hidden="1">
      <c r="A1382" s="28">
        <v>4</v>
      </c>
      <c r="B1382" s="29" t="s">
        <v>306</v>
      </c>
      <c r="C1382" s="29" t="s">
        <v>339</v>
      </c>
      <c r="D1382" s="29" t="s">
        <v>340</v>
      </c>
      <c r="E1382" s="29" t="s">
        <v>172</v>
      </c>
      <c r="F1382" s="28" t="s">
        <v>3373</v>
      </c>
      <c r="G1382" s="28" t="s">
        <v>3382</v>
      </c>
      <c r="H1382" s="28" t="s">
        <v>384</v>
      </c>
      <c r="I1382" s="28">
        <v>3</v>
      </c>
      <c r="J1382" s="30">
        <v>7.0999999999999994E-2</v>
      </c>
      <c r="K1382" s="28" t="s">
        <v>405</v>
      </c>
      <c r="L1382" s="31">
        <v>43221</v>
      </c>
      <c r="M1382" s="28">
        <v>5</v>
      </c>
      <c r="N1382" s="32" t="s">
        <v>191</v>
      </c>
      <c r="O1382" s="28" t="s">
        <v>204</v>
      </c>
      <c r="P1382" s="28" t="s">
        <v>3600</v>
      </c>
      <c r="Q1382" s="28" t="s">
        <v>2527</v>
      </c>
      <c r="R1382" s="28" t="s">
        <v>695</v>
      </c>
    </row>
    <row r="1383" spans="1:18" hidden="1">
      <c r="A1383" s="28">
        <v>4</v>
      </c>
      <c r="B1383" s="29" t="s">
        <v>306</v>
      </c>
      <c r="C1383" s="29" t="s">
        <v>339</v>
      </c>
      <c r="D1383" s="29" t="s">
        <v>340</v>
      </c>
      <c r="E1383" s="29" t="s">
        <v>172</v>
      </c>
      <c r="F1383" s="28" t="s">
        <v>3373</v>
      </c>
      <c r="G1383" s="28" t="s">
        <v>3382</v>
      </c>
      <c r="H1383" s="28" t="s">
        <v>384</v>
      </c>
      <c r="I1383" s="28">
        <v>3</v>
      </c>
      <c r="J1383" s="30">
        <v>7.0999999999999994E-2</v>
      </c>
      <c r="K1383" s="28" t="s">
        <v>559</v>
      </c>
      <c r="L1383" s="31">
        <v>43252</v>
      </c>
      <c r="M1383" s="28">
        <v>6</v>
      </c>
      <c r="N1383" s="32" t="s">
        <v>184</v>
      </c>
      <c r="O1383" s="28" t="s">
        <v>204</v>
      </c>
      <c r="P1383" s="28" t="s">
        <v>3601</v>
      </c>
      <c r="Q1383" s="28" t="s">
        <v>3511</v>
      </c>
      <c r="R1383" s="28" t="s">
        <v>695</v>
      </c>
    </row>
    <row r="1384" spans="1:18" hidden="1">
      <c r="A1384" s="28">
        <v>4</v>
      </c>
      <c r="B1384" s="29" t="s">
        <v>306</v>
      </c>
      <c r="C1384" s="29" t="s">
        <v>339</v>
      </c>
      <c r="D1384" s="29" t="s">
        <v>340</v>
      </c>
      <c r="E1384" s="29" t="s">
        <v>172</v>
      </c>
      <c r="F1384" s="28" t="s">
        <v>3373</v>
      </c>
      <c r="G1384" s="28" t="s">
        <v>3382</v>
      </c>
      <c r="H1384" s="28" t="s">
        <v>384</v>
      </c>
      <c r="I1384" s="28">
        <v>3</v>
      </c>
      <c r="J1384" s="30">
        <v>7.0999999999999994E-2</v>
      </c>
      <c r="K1384" s="28" t="s">
        <v>302</v>
      </c>
      <c r="L1384" s="31">
        <v>43282</v>
      </c>
      <c r="M1384" s="28">
        <v>7</v>
      </c>
      <c r="N1384" s="32" t="s">
        <v>184</v>
      </c>
      <c r="O1384" s="28" t="s">
        <v>204</v>
      </c>
      <c r="P1384" s="28" t="s">
        <v>3602</v>
      </c>
      <c r="Q1384" s="28" t="s">
        <v>2527</v>
      </c>
      <c r="R1384" s="28" t="s">
        <v>695</v>
      </c>
    </row>
    <row r="1385" spans="1:18" hidden="1">
      <c r="A1385" s="28">
        <v>4</v>
      </c>
      <c r="B1385" s="29" t="s">
        <v>306</v>
      </c>
      <c r="C1385" s="29" t="s">
        <v>339</v>
      </c>
      <c r="D1385" s="29" t="s">
        <v>340</v>
      </c>
      <c r="E1385" s="29" t="s">
        <v>172</v>
      </c>
      <c r="F1385" s="28" t="s">
        <v>3373</v>
      </c>
      <c r="G1385" s="28" t="s">
        <v>3390</v>
      </c>
      <c r="H1385" s="28" t="s">
        <v>174</v>
      </c>
      <c r="I1385" s="28" t="s">
        <v>174</v>
      </c>
      <c r="J1385" s="30" t="s">
        <v>174</v>
      </c>
      <c r="K1385" s="28" t="s">
        <v>212</v>
      </c>
      <c r="L1385" s="31">
        <v>43313</v>
      </c>
      <c r="M1385" s="28">
        <v>8</v>
      </c>
      <c r="N1385" s="32" t="s">
        <v>184</v>
      </c>
      <c r="O1385" s="28" t="s">
        <v>204</v>
      </c>
      <c r="P1385" s="28" t="s">
        <v>3603</v>
      </c>
      <c r="Q1385" s="28" t="s">
        <v>3511</v>
      </c>
      <c r="R1385" s="28" t="s">
        <v>3576</v>
      </c>
    </row>
    <row r="1386" spans="1:18" hidden="1">
      <c r="A1386" s="28">
        <v>4</v>
      </c>
      <c r="B1386" s="29" t="s">
        <v>306</v>
      </c>
      <c r="C1386" s="29" t="s">
        <v>339</v>
      </c>
      <c r="D1386" s="29" t="s">
        <v>340</v>
      </c>
      <c r="E1386" s="29" t="s">
        <v>172</v>
      </c>
      <c r="F1386" s="28" t="s">
        <v>3373</v>
      </c>
      <c r="G1386" s="28" t="s">
        <v>3390</v>
      </c>
      <c r="H1386" s="28" t="s">
        <v>174</v>
      </c>
      <c r="I1386" s="28" t="s">
        <v>174</v>
      </c>
      <c r="J1386" s="30" t="s">
        <v>174</v>
      </c>
      <c r="K1386" s="28" t="s">
        <v>678</v>
      </c>
      <c r="L1386" s="31">
        <v>43344</v>
      </c>
      <c r="M1386" s="28">
        <v>9</v>
      </c>
      <c r="N1386" s="32" t="s">
        <v>191</v>
      </c>
      <c r="O1386" s="28" t="s">
        <v>204</v>
      </c>
      <c r="P1386" s="28" t="s">
        <v>3604</v>
      </c>
      <c r="Q1386" s="28" t="s">
        <v>3605</v>
      </c>
      <c r="R1386" s="28" t="s">
        <v>3606</v>
      </c>
    </row>
    <row r="1387" spans="1:18" hidden="1">
      <c r="A1387" s="28">
        <v>4</v>
      </c>
      <c r="B1387" s="29" t="s">
        <v>306</v>
      </c>
      <c r="C1387" s="29" t="s">
        <v>339</v>
      </c>
      <c r="D1387" s="29" t="s">
        <v>340</v>
      </c>
      <c r="E1387" s="29" t="s">
        <v>172</v>
      </c>
      <c r="F1387" s="28" t="s">
        <v>3373</v>
      </c>
      <c r="G1387" s="28" t="s">
        <v>3382</v>
      </c>
      <c r="H1387" s="28" t="s">
        <v>384</v>
      </c>
      <c r="I1387" s="28">
        <v>3</v>
      </c>
      <c r="J1387" s="30">
        <v>7.0999999999999994E-2</v>
      </c>
      <c r="K1387" s="28" t="s">
        <v>678</v>
      </c>
      <c r="L1387" s="31">
        <v>43344</v>
      </c>
      <c r="M1387" s="28">
        <v>9</v>
      </c>
      <c r="N1387" s="32" t="s">
        <v>191</v>
      </c>
      <c r="O1387" s="28" t="s">
        <v>204</v>
      </c>
      <c r="P1387" s="28" t="s">
        <v>3607</v>
      </c>
      <c r="Q1387" s="28" t="s">
        <v>3511</v>
      </c>
      <c r="R1387" s="28" t="s">
        <v>695</v>
      </c>
    </row>
    <row r="1388" spans="1:18" hidden="1">
      <c r="A1388" s="28">
        <v>4</v>
      </c>
      <c r="B1388" s="29" t="s">
        <v>306</v>
      </c>
      <c r="C1388" s="29" t="s">
        <v>339</v>
      </c>
      <c r="D1388" s="29" t="s">
        <v>340</v>
      </c>
      <c r="E1388" s="29" t="s">
        <v>172</v>
      </c>
      <c r="F1388" s="28" t="s">
        <v>3373</v>
      </c>
      <c r="G1388" s="28" t="s">
        <v>3382</v>
      </c>
      <c r="H1388" s="28" t="s">
        <v>384</v>
      </c>
      <c r="I1388" s="28">
        <v>3</v>
      </c>
      <c r="J1388" s="30">
        <v>7.0999999999999994E-2</v>
      </c>
      <c r="K1388" s="28" t="s">
        <v>293</v>
      </c>
      <c r="L1388" s="31">
        <v>43374</v>
      </c>
      <c r="M1388" s="28">
        <v>10</v>
      </c>
      <c r="N1388" s="32" t="s">
        <v>191</v>
      </c>
      <c r="O1388" s="28" t="s">
        <v>204</v>
      </c>
      <c r="P1388" s="28" t="s">
        <v>3608</v>
      </c>
      <c r="Q1388" s="28" t="s">
        <v>3511</v>
      </c>
      <c r="R1388" s="28" t="s">
        <v>695</v>
      </c>
    </row>
    <row r="1389" spans="1:18" hidden="1">
      <c r="A1389" s="28">
        <v>4</v>
      </c>
      <c r="B1389" s="29" t="s">
        <v>306</v>
      </c>
      <c r="C1389" s="29" t="s">
        <v>339</v>
      </c>
      <c r="D1389" s="29" t="s">
        <v>340</v>
      </c>
      <c r="E1389" s="29" t="s">
        <v>172</v>
      </c>
      <c r="F1389" s="28" t="s">
        <v>3373</v>
      </c>
      <c r="G1389" s="28" t="s">
        <v>3374</v>
      </c>
      <c r="H1389" s="28" t="s">
        <v>174</v>
      </c>
      <c r="I1389" s="28" t="s">
        <v>174</v>
      </c>
      <c r="J1389" s="30" t="s">
        <v>174</v>
      </c>
      <c r="K1389" s="28" t="s">
        <v>293</v>
      </c>
      <c r="L1389" s="31">
        <v>43374</v>
      </c>
      <c r="M1389" s="28">
        <v>10</v>
      </c>
      <c r="N1389" s="32" t="s">
        <v>191</v>
      </c>
      <c r="O1389" s="28" t="s">
        <v>204</v>
      </c>
      <c r="P1389" s="28" t="s">
        <v>3609</v>
      </c>
      <c r="Q1389" s="28" t="s">
        <v>2527</v>
      </c>
      <c r="R1389" s="28" t="s">
        <v>3610</v>
      </c>
    </row>
    <row r="1390" spans="1:18" hidden="1">
      <c r="A1390" s="28">
        <v>4</v>
      </c>
      <c r="B1390" s="29" t="s">
        <v>306</v>
      </c>
      <c r="C1390" s="29" t="s">
        <v>339</v>
      </c>
      <c r="D1390" s="29" t="s">
        <v>340</v>
      </c>
      <c r="E1390" s="29" t="s">
        <v>172</v>
      </c>
      <c r="F1390" s="28" t="s">
        <v>3373</v>
      </c>
      <c r="G1390" s="28" t="s">
        <v>3390</v>
      </c>
      <c r="H1390" s="28" t="s">
        <v>174</v>
      </c>
      <c r="I1390" s="28" t="s">
        <v>174</v>
      </c>
      <c r="J1390" s="30" t="s">
        <v>174</v>
      </c>
      <c r="K1390" s="28" t="s">
        <v>293</v>
      </c>
      <c r="L1390" s="31">
        <v>43374</v>
      </c>
      <c r="M1390" s="28">
        <v>10</v>
      </c>
      <c r="N1390" s="32" t="s">
        <v>191</v>
      </c>
      <c r="O1390" s="28" t="s">
        <v>204</v>
      </c>
      <c r="P1390" s="28" t="s">
        <v>3611</v>
      </c>
      <c r="Q1390" s="28" t="s">
        <v>3612</v>
      </c>
      <c r="R1390" s="28" t="s">
        <v>3613</v>
      </c>
    </row>
    <row r="1391" spans="1:18" hidden="1">
      <c r="A1391" s="28">
        <v>4</v>
      </c>
      <c r="B1391" s="29" t="s">
        <v>306</v>
      </c>
      <c r="C1391" s="29" t="s">
        <v>339</v>
      </c>
      <c r="D1391" s="29" t="s">
        <v>340</v>
      </c>
      <c r="E1391" s="29" t="s">
        <v>172</v>
      </c>
      <c r="F1391" s="28" t="s">
        <v>3373</v>
      </c>
      <c r="G1391" s="28" t="s">
        <v>3379</v>
      </c>
      <c r="H1391" s="28" t="s">
        <v>384</v>
      </c>
      <c r="I1391" s="28">
        <v>3</v>
      </c>
      <c r="J1391" s="30">
        <v>7.0999999999999994E-2</v>
      </c>
      <c r="K1391" s="28" t="s">
        <v>361</v>
      </c>
      <c r="L1391" s="31">
        <v>43435</v>
      </c>
      <c r="M1391" s="28">
        <v>12</v>
      </c>
      <c r="N1391" s="32" t="s">
        <v>176</v>
      </c>
      <c r="O1391" s="28" t="s">
        <v>204</v>
      </c>
      <c r="P1391" s="28" t="s">
        <v>3614</v>
      </c>
      <c r="Q1391" s="28" t="s">
        <v>3511</v>
      </c>
      <c r="R1391" s="28" t="s">
        <v>695</v>
      </c>
    </row>
    <row r="1392" spans="1:18" hidden="1">
      <c r="A1392" s="28">
        <v>4</v>
      </c>
      <c r="B1392" s="29" t="s">
        <v>306</v>
      </c>
      <c r="C1392" s="29" t="s">
        <v>339</v>
      </c>
      <c r="D1392" s="29" t="s">
        <v>340</v>
      </c>
      <c r="E1392" s="29" t="s">
        <v>172</v>
      </c>
      <c r="F1392" s="28" t="s">
        <v>3373</v>
      </c>
      <c r="G1392" s="28" t="s">
        <v>3379</v>
      </c>
      <c r="H1392" s="28" t="s">
        <v>384</v>
      </c>
      <c r="I1392" s="28">
        <v>3</v>
      </c>
      <c r="J1392" s="30">
        <v>7.0999999999999994E-2</v>
      </c>
      <c r="K1392" s="28" t="s">
        <v>361</v>
      </c>
      <c r="L1392" s="31">
        <v>43435</v>
      </c>
      <c r="M1392" s="28">
        <v>12</v>
      </c>
      <c r="N1392" s="32" t="s">
        <v>176</v>
      </c>
      <c r="O1392" s="28" t="s">
        <v>204</v>
      </c>
      <c r="P1392" s="28" t="s">
        <v>3615</v>
      </c>
      <c r="Q1392" s="28" t="s">
        <v>3546</v>
      </c>
      <c r="R1392" s="28" t="s">
        <v>3531</v>
      </c>
    </row>
    <row r="1393" spans="1:18" hidden="1">
      <c r="A1393" s="28">
        <v>4</v>
      </c>
      <c r="B1393" s="29" t="s">
        <v>306</v>
      </c>
      <c r="C1393" s="29" t="s">
        <v>339</v>
      </c>
      <c r="D1393" s="29" t="s">
        <v>340</v>
      </c>
      <c r="E1393" s="29" t="s">
        <v>172</v>
      </c>
      <c r="F1393" s="28" t="s">
        <v>3373</v>
      </c>
      <c r="G1393" s="28" t="s">
        <v>3382</v>
      </c>
      <c r="H1393" s="28" t="s">
        <v>384</v>
      </c>
      <c r="I1393" s="28">
        <v>3</v>
      </c>
      <c r="J1393" s="30">
        <v>7.0999999999999994E-2</v>
      </c>
      <c r="K1393" s="28" t="s">
        <v>361</v>
      </c>
      <c r="L1393" s="31">
        <v>43435</v>
      </c>
      <c r="M1393" s="28">
        <v>12</v>
      </c>
      <c r="N1393" s="32" t="s">
        <v>176</v>
      </c>
      <c r="O1393" s="28" t="s">
        <v>204</v>
      </c>
      <c r="P1393" s="28" t="s">
        <v>3616</v>
      </c>
      <c r="Q1393" s="28" t="s">
        <v>2527</v>
      </c>
      <c r="R1393" s="28" t="s">
        <v>695</v>
      </c>
    </row>
    <row r="1394" spans="1:18" hidden="1">
      <c r="A1394" s="28">
        <v>4</v>
      </c>
      <c r="B1394" s="29" t="s">
        <v>306</v>
      </c>
      <c r="C1394" s="29" t="s">
        <v>339</v>
      </c>
      <c r="D1394" s="29" t="s">
        <v>340</v>
      </c>
      <c r="E1394" s="29" t="s">
        <v>172</v>
      </c>
      <c r="F1394" s="28" t="s">
        <v>3373</v>
      </c>
      <c r="G1394" s="28" t="s">
        <v>3379</v>
      </c>
      <c r="H1394" s="28" t="s">
        <v>384</v>
      </c>
      <c r="I1394" s="28">
        <v>3</v>
      </c>
      <c r="J1394" s="30">
        <v>7.0999999999999994E-2</v>
      </c>
      <c r="K1394" s="28" t="s">
        <v>1136</v>
      </c>
      <c r="L1394" s="31">
        <v>43497</v>
      </c>
      <c r="M1394" s="28">
        <v>2</v>
      </c>
      <c r="N1394" s="32" t="s">
        <v>176</v>
      </c>
      <c r="O1394" s="28" t="s">
        <v>204</v>
      </c>
      <c r="P1394" s="28" t="s">
        <v>3617</v>
      </c>
      <c r="Q1394" s="28" t="s">
        <v>3584</v>
      </c>
      <c r="R1394" s="28" t="s">
        <v>3531</v>
      </c>
    </row>
    <row r="1395" spans="1:18" hidden="1">
      <c r="A1395" s="28">
        <v>4</v>
      </c>
      <c r="B1395" s="29" t="s">
        <v>306</v>
      </c>
      <c r="C1395" s="29" t="s">
        <v>339</v>
      </c>
      <c r="D1395" s="29" t="s">
        <v>340</v>
      </c>
      <c r="E1395" s="29" t="s">
        <v>172</v>
      </c>
      <c r="F1395" s="28" t="s">
        <v>3373</v>
      </c>
      <c r="G1395" s="28" t="s">
        <v>3379</v>
      </c>
      <c r="H1395" s="28" t="s">
        <v>384</v>
      </c>
      <c r="I1395" s="28">
        <v>3</v>
      </c>
      <c r="J1395" s="30">
        <v>7.0999999999999994E-2</v>
      </c>
      <c r="K1395" s="28" t="s">
        <v>1136</v>
      </c>
      <c r="L1395" s="31">
        <v>43497</v>
      </c>
      <c r="M1395" s="28">
        <v>2</v>
      </c>
      <c r="N1395" s="32" t="s">
        <v>176</v>
      </c>
      <c r="O1395" s="28" t="s">
        <v>204</v>
      </c>
      <c r="P1395" s="28" t="s">
        <v>3618</v>
      </c>
      <c r="Q1395" s="28" t="s">
        <v>3588</v>
      </c>
      <c r="R1395" s="28" t="s">
        <v>3531</v>
      </c>
    </row>
    <row r="1396" spans="1:18" hidden="1">
      <c r="A1396" s="28">
        <v>4</v>
      </c>
      <c r="B1396" s="29" t="s">
        <v>306</v>
      </c>
      <c r="C1396" s="29" t="s">
        <v>339</v>
      </c>
      <c r="D1396" s="29" t="s">
        <v>340</v>
      </c>
      <c r="E1396" s="29" t="s">
        <v>172</v>
      </c>
      <c r="F1396" s="28" t="s">
        <v>3373</v>
      </c>
      <c r="G1396" s="28" t="s">
        <v>3382</v>
      </c>
      <c r="H1396" s="28" t="s">
        <v>384</v>
      </c>
      <c r="I1396" s="28">
        <v>3</v>
      </c>
      <c r="J1396" s="30">
        <v>7.0999999999999994E-2</v>
      </c>
      <c r="K1396" s="28" t="s">
        <v>1136</v>
      </c>
      <c r="L1396" s="31">
        <v>43497</v>
      </c>
      <c r="M1396" s="28">
        <v>2</v>
      </c>
      <c r="N1396" s="32" t="s">
        <v>176</v>
      </c>
      <c r="O1396" s="28" t="s">
        <v>204</v>
      </c>
      <c r="P1396" s="28" t="s">
        <v>3619</v>
      </c>
      <c r="Q1396" s="28" t="s">
        <v>2527</v>
      </c>
      <c r="R1396" s="28" t="s">
        <v>695</v>
      </c>
    </row>
    <row r="1397" spans="1:18" hidden="1">
      <c r="A1397" s="28">
        <v>4</v>
      </c>
      <c r="B1397" s="29" t="s">
        <v>306</v>
      </c>
      <c r="C1397" s="29" t="s">
        <v>339</v>
      </c>
      <c r="D1397" s="29" t="s">
        <v>340</v>
      </c>
      <c r="E1397" s="29" t="s">
        <v>172</v>
      </c>
      <c r="F1397" s="28" t="s">
        <v>3373</v>
      </c>
      <c r="G1397" s="28" t="s">
        <v>3382</v>
      </c>
      <c r="H1397" s="28" t="s">
        <v>384</v>
      </c>
      <c r="I1397" s="28">
        <v>3</v>
      </c>
      <c r="J1397" s="30">
        <v>7.0999999999999994E-2</v>
      </c>
      <c r="K1397" s="28" t="s">
        <v>278</v>
      </c>
      <c r="L1397" s="31">
        <v>43525</v>
      </c>
      <c r="M1397" s="28">
        <v>3</v>
      </c>
      <c r="N1397" s="32" t="s">
        <v>191</v>
      </c>
      <c r="O1397" s="28" t="s">
        <v>204</v>
      </c>
      <c r="P1397" s="28" t="s">
        <v>3620</v>
      </c>
      <c r="Q1397" s="28" t="s">
        <v>3584</v>
      </c>
      <c r="R1397" s="28" t="s">
        <v>3621</v>
      </c>
    </row>
    <row r="1398" spans="1:18" hidden="1">
      <c r="A1398" s="28">
        <v>4</v>
      </c>
      <c r="B1398" s="29" t="s">
        <v>306</v>
      </c>
      <c r="C1398" s="29" t="s">
        <v>339</v>
      </c>
      <c r="D1398" s="29" t="s">
        <v>340</v>
      </c>
      <c r="E1398" s="29" t="s">
        <v>172</v>
      </c>
      <c r="F1398" s="28" t="s">
        <v>3373</v>
      </c>
      <c r="G1398" s="28" t="s">
        <v>3379</v>
      </c>
      <c r="H1398" s="28" t="s">
        <v>384</v>
      </c>
      <c r="I1398" s="28">
        <v>3</v>
      </c>
      <c r="J1398" s="30">
        <v>7.0999999999999994E-2</v>
      </c>
      <c r="K1398" s="28" t="s">
        <v>278</v>
      </c>
      <c r="L1398" s="31">
        <v>43525</v>
      </c>
      <c r="M1398" s="28">
        <v>3</v>
      </c>
      <c r="N1398" s="32" t="s">
        <v>191</v>
      </c>
      <c r="O1398" s="28" t="s">
        <v>204</v>
      </c>
      <c r="P1398" s="28" t="s">
        <v>3622</v>
      </c>
      <c r="Q1398" s="28" t="s">
        <v>3546</v>
      </c>
      <c r="R1398" s="28" t="s">
        <v>3531</v>
      </c>
    </row>
    <row r="1399" spans="1:18" hidden="1">
      <c r="A1399" s="28">
        <v>4</v>
      </c>
      <c r="B1399" s="29" t="s">
        <v>306</v>
      </c>
      <c r="C1399" s="29" t="s">
        <v>339</v>
      </c>
      <c r="D1399" s="29" t="s">
        <v>340</v>
      </c>
      <c r="E1399" s="29" t="s">
        <v>172</v>
      </c>
      <c r="F1399" s="28" t="s">
        <v>3373</v>
      </c>
      <c r="G1399" s="28" t="s">
        <v>3382</v>
      </c>
      <c r="H1399" s="28" t="s">
        <v>384</v>
      </c>
      <c r="I1399" s="28">
        <v>3</v>
      </c>
      <c r="J1399" s="30">
        <v>7.0999999999999994E-2</v>
      </c>
      <c r="K1399" s="28" t="s">
        <v>278</v>
      </c>
      <c r="L1399" s="31">
        <v>43525</v>
      </c>
      <c r="M1399" s="28">
        <v>3</v>
      </c>
      <c r="N1399" s="32" t="s">
        <v>191</v>
      </c>
      <c r="O1399" s="28" t="s">
        <v>204</v>
      </c>
      <c r="P1399" s="28" t="s">
        <v>3623</v>
      </c>
      <c r="Q1399" s="28" t="s">
        <v>2527</v>
      </c>
      <c r="R1399" s="28" t="s">
        <v>695</v>
      </c>
    </row>
    <row r="1400" spans="1:18" hidden="1">
      <c r="A1400" s="28">
        <v>4</v>
      </c>
      <c r="B1400" s="29" t="s">
        <v>306</v>
      </c>
      <c r="C1400" s="29" t="s">
        <v>339</v>
      </c>
      <c r="D1400" s="29" t="s">
        <v>340</v>
      </c>
      <c r="E1400" s="29" t="s">
        <v>172</v>
      </c>
      <c r="F1400" s="28" t="s">
        <v>3373</v>
      </c>
      <c r="G1400" s="28" t="s">
        <v>3390</v>
      </c>
      <c r="H1400" s="28" t="s">
        <v>174</v>
      </c>
      <c r="I1400" s="28" t="s">
        <v>174</v>
      </c>
      <c r="J1400" s="30" t="s">
        <v>174</v>
      </c>
      <c r="K1400" s="28" t="s">
        <v>411</v>
      </c>
      <c r="L1400" s="31">
        <v>43556</v>
      </c>
      <c r="M1400" s="28">
        <v>4</v>
      </c>
      <c r="N1400" s="32" t="s">
        <v>191</v>
      </c>
      <c r="O1400" s="28" t="s">
        <v>1060</v>
      </c>
      <c r="P1400" s="28" t="s">
        <v>3624</v>
      </c>
      <c r="Q1400" s="28" t="s">
        <v>3625</v>
      </c>
      <c r="R1400" s="28" t="s">
        <v>3626</v>
      </c>
    </row>
    <row r="1401" spans="1:18" hidden="1">
      <c r="A1401" s="28">
        <v>4</v>
      </c>
      <c r="B1401" s="29" t="s">
        <v>306</v>
      </c>
      <c r="C1401" s="29" t="s">
        <v>339</v>
      </c>
      <c r="D1401" s="29" t="s">
        <v>340</v>
      </c>
      <c r="E1401" s="29" t="s">
        <v>172</v>
      </c>
      <c r="F1401" s="28" t="s">
        <v>3373</v>
      </c>
      <c r="G1401" s="28" t="s">
        <v>3379</v>
      </c>
      <c r="H1401" s="28" t="s">
        <v>384</v>
      </c>
      <c r="I1401" s="28">
        <v>3</v>
      </c>
      <c r="J1401" s="30">
        <v>7.0999999999999994E-2</v>
      </c>
      <c r="K1401" s="28" t="s">
        <v>411</v>
      </c>
      <c r="L1401" s="31">
        <v>43556</v>
      </c>
      <c r="M1401" s="28">
        <v>4</v>
      </c>
      <c r="N1401" s="32" t="s">
        <v>191</v>
      </c>
      <c r="O1401" s="28" t="s">
        <v>204</v>
      </c>
      <c r="P1401" s="28" t="s">
        <v>3627</v>
      </c>
      <c r="Q1401" s="28" t="s">
        <v>3584</v>
      </c>
      <c r="R1401" s="28" t="s">
        <v>3531</v>
      </c>
    </row>
    <row r="1402" spans="1:18" hidden="1">
      <c r="A1402" s="28">
        <v>4</v>
      </c>
      <c r="B1402" s="29" t="s">
        <v>306</v>
      </c>
      <c r="C1402" s="29" t="s">
        <v>339</v>
      </c>
      <c r="D1402" s="29" t="s">
        <v>340</v>
      </c>
      <c r="E1402" s="29" t="s">
        <v>172</v>
      </c>
      <c r="F1402" s="28" t="s">
        <v>3373</v>
      </c>
      <c r="G1402" s="28" t="s">
        <v>3379</v>
      </c>
      <c r="H1402" s="28" t="s">
        <v>384</v>
      </c>
      <c r="I1402" s="28">
        <v>3</v>
      </c>
      <c r="J1402" s="30">
        <v>7.0999999999999994E-2</v>
      </c>
      <c r="K1402" s="28" t="s">
        <v>411</v>
      </c>
      <c r="L1402" s="31">
        <v>43556</v>
      </c>
      <c r="M1402" s="28">
        <v>4</v>
      </c>
      <c r="N1402" s="32" t="s">
        <v>191</v>
      </c>
      <c r="O1402" s="28" t="s">
        <v>204</v>
      </c>
      <c r="P1402" s="28" t="s">
        <v>3628</v>
      </c>
      <c r="Q1402" s="28" t="s">
        <v>3546</v>
      </c>
      <c r="R1402" s="28" t="s">
        <v>3531</v>
      </c>
    </row>
    <row r="1403" spans="1:18" hidden="1">
      <c r="A1403" s="28">
        <v>4</v>
      </c>
      <c r="B1403" s="29" t="s">
        <v>306</v>
      </c>
      <c r="C1403" s="29" t="s">
        <v>339</v>
      </c>
      <c r="D1403" s="29" t="s">
        <v>340</v>
      </c>
      <c r="E1403" s="29" t="s">
        <v>172</v>
      </c>
      <c r="F1403" s="28" t="s">
        <v>3373</v>
      </c>
      <c r="G1403" s="28" t="s">
        <v>3382</v>
      </c>
      <c r="H1403" s="28" t="s">
        <v>384</v>
      </c>
      <c r="I1403" s="28">
        <v>3</v>
      </c>
      <c r="J1403" s="30">
        <v>7.0999999999999994E-2</v>
      </c>
      <c r="K1403" s="28" t="s">
        <v>3629</v>
      </c>
      <c r="L1403" s="31">
        <v>43556</v>
      </c>
      <c r="M1403" s="28">
        <v>4</v>
      </c>
      <c r="N1403" s="32" t="s">
        <v>191</v>
      </c>
      <c r="O1403" s="28" t="s">
        <v>204</v>
      </c>
      <c r="P1403" s="28" t="s">
        <v>3630</v>
      </c>
      <c r="Q1403" s="28" t="s">
        <v>2527</v>
      </c>
      <c r="R1403" s="28" t="s">
        <v>695</v>
      </c>
    </row>
    <row r="1404" spans="1:18" hidden="1">
      <c r="A1404" s="28">
        <v>4</v>
      </c>
      <c r="B1404" s="29" t="s">
        <v>306</v>
      </c>
      <c r="C1404" s="29" t="s">
        <v>339</v>
      </c>
      <c r="D1404" s="29" t="s">
        <v>340</v>
      </c>
      <c r="E1404" s="29" t="s">
        <v>172</v>
      </c>
      <c r="F1404" s="28" t="s">
        <v>3373</v>
      </c>
      <c r="G1404" s="28" t="s">
        <v>3382</v>
      </c>
      <c r="H1404" s="28" t="s">
        <v>384</v>
      </c>
      <c r="I1404" s="28">
        <v>3</v>
      </c>
      <c r="J1404" s="30">
        <v>7.0999999999999994E-2</v>
      </c>
      <c r="K1404" s="28" t="s">
        <v>411</v>
      </c>
      <c r="L1404" s="31">
        <v>43556</v>
      </c>
      <c r="M1404" s="28">
        <v>4</v>
      </c>
      <c r="N1404" s="32" t="s">
        <v>191</v>
      </c>
      <c r="O1404" s="28" t="s">
        <v>204</v>
      </c>
      <c r="P1404" s="28" t="s">
        <v>3631</v>
      </c>
      <c r="Q1404" s="28" t="s">
        <v>2527</v>
      </c>
      <c r="R1404" s="28" t="s">
        <v>695</v>
      </c>
    </row>
    <row r="1405" spans="1:18" hidden="1">
      <c r="A1405" s="28">
        <v>4</v>
      </c>
      <c r="B1405" s="29" t="s">
        <v>306</v>
      </c>
      <c r="C1405" s="29" t="s">
        <v>339</v>
      </c>
      <c r="D1405" s="29" t="s">
        <v>340</v>
      </c>
      <c r="E1405" s="29" t="s">
        <v>172</v>
      </c>
      <c r="F1405" s="28" t="s">
        <v>3373</v>
      </c>
      <c r="G1405" s="28" t="s">
        <v>3382</v>
      </c>
      <c r="H1405" s="28" t="s">
        <v>384</v>
      </c>
      <c r="I1405" s="28">
        <v>3</v>
      </c>
      <c r="J1405" s="30">
        <v>7.0999999999999994E-2</v>
      </c>
      <c r="K1405" s="28" t="s">
        <v>411</v>
      </c>
      <c r="L1405" s="31">
        <v>43556</v>
      </c>
      <c r="M1405" s="28">
        <v>4</v>
      </c>
      <c r="N1405" s="32" t="s">
        <v>191</v>
      </c>
      <c r="O1405" s="28" t="s">
        <v>204</v>
      </c>
      <c r="P1405" s="28" t="s">
        <v>3632</v>
      </c>
      <c r="Q1405" s="28" t="s">
        <v>2527</v>
      </c>
      <c r="R1405" s="28" t="s">
        <v>695</v>
      </c>
    </row>
    <row r="1406" spans="1:18" hidden="1">
      <c r="A1406" s="28">
        <v>4</v>
      </c>
      <c r="B1406" s="29" t="s">
        <v>306</v>
      </c>
      <c r="C1406" s="29" t="s">
        <v>339</v>
      </c>
      <c r="D1406" s="29" t="s">
        <v>340</v>
      </c>
      <c r="E1406" s="29" t="s">
        <v>172</v>
      </c>
      <c r="F1406" s="28" t="s">
        <v>3373</v>
      </c>
      <c r="G1406" s="28" t="s">
        <v>3382</v>
      </c>
      <c r="H1406" s="28" t="s">
        <v>384</v>
      </c>
      <c r="I1406" s="28">
        <v>3</v>
      </c>
      <c r="J1406" s="30">
        <v>7.0999999999999994E-2</v>
      </c>
      <c r="K1406" s="28" t="s">
        <v>411</v>
      </c>
      <c r="L1406" s="31">
        <v>43556</v>
      </c>
      <c r="M1406" s="28">
        <v>4</v>
      </c>
      <c r="N1406" s="32" t="s">
        <v>191</v>
      </c>
      <c r="O1406" s="28" t="s">
        <v>204</v>
      </c>
      <c r="P1406" s="28" t="s">
        <v>3633</v>
      </c>
      <c r="Q1406" s="28" t="s">
        <v>2527</v>
      </c>
      <c r="R1406" s="28" t="s">
        <v>695</v>
      </c>
    </row>
    <row r="1407" spans="1:18" hidden="1">
      <c r="A1407" s="28">
        <v>4</v>
      </c>
      <c r="B1407" s="29" t="s">
        <v>306</v>
      </c>
      <c r="C1407" s="29" t="s">
        <v>339</v>
      </c>
      <c r="D1407" s="29" t="s">
        <v>340</v>
      </c>
      <c r="E1407" s="29" t="s">
        <v>172</v>
      </c>
      <c r="F1407" s="28" t="s">
        <v>3373</v>
      </c>
      <c r="G1407" s="28" t="s">
        <v>3382</v>
      </c>
      <c r="H1407" s="28" t="s">
        <v>384</v>
      </c>
      <c r="I1407" s="28">
        <v>3</v>
      </c>
      <c r="J1407" s="30">
        <v>7.0999999999999994E-2</v>
      </c>
      <c r="K1407" s="28" t="s">
        <v>844</v>
      </c>
      <c r="L1407" s="31">
        <v>43586</v>
      </c>
      <c r="M1407" s="28">
        <v>5</v>
      </c>
      <c r="N1407" s="32" t="s">
        <v>191</v>
      </c>
      <c r="O1407" s="28" t="s">
        <v>204</v>
      </c>
      <c r="P1407" s="28" t="s">
        <v>3634</v>
      </c>
      <c r="Q1407" s="28" t="s">
        <v>3511</v>
      </c>
      <c r="R1407" s="28" t="s">
        <v>695</v>
      </c>
    </row>
    <row r="1408" spans="1:18" hidden="1">
      <c r="A1408" s="28">
        <v>4</v>
      </c>
      <c r="B1408" s="29" t="s">
        <v>306</v>
      </c>
      <c r="C1408" s="29" t="s">
        <v>339</v>
      </c>
      <c r="D1408" s="29" t="s">
        <v>340</v>
      </c>
      <c r="E1408" s="29" t="s">
        <v>172</v>
      </c>
      <c r="F1408" s="28" t="s">
        <v>3373</v>
      </c>
      <c r="G1408" s="28" t="s">
        <v>3379</v>
      </c>
      <c r="H1408" s="28" t="s">
        <v>384</v>
      </c>
      <c r="I1408" s="28">
        <v>3</v>
      </c>
      <c r="J1408" s="30">
        <v>7.0999999999999994E-2</v>
      </c>
      <c r="K1408" s="28" t="s">
        <v>844</v>
      </c>
      <c r="L1408" s="31">
        <v>43586</v>
      </c>
      <c r="M1408" s="28">
        <v>5</v>
      </c>
      <c r="N1408" s="32" t="s">
        <v>191</v>
      </c>
      <c r="O1408" s="28" t="s">
        <v>204</v>
      </c>
      <c r="P1408" s="28" t="s">
        <v>3635</v>
      </c>
      <c r="Q1408" s="28" t="s">
        <v>3511</v>
      </c>
      <c r="R1408" s="28" t="s">
        <v>695</v>
      </c>
    </row>
    <row r="1409" spans="1:18" hidden="1">
      <c r="A1409" s="28">
        <v>4</v>
      </c>
      <c r="B1409" s="29" t="s">
        <v>306</v>
      </c>
      <c r="C1409" s="29" t="s">
        <v>339</v>
      </c>
      <c r="D1409" s="29" t="s">
        <v>340</v>
      </c>
      <c r="E1409" s="29" t="s">
        <v>172</v>
      </c>
      <c r="F1409" s="28" t="s">
        <v>3373</v>
      </c>
      <c r="G1409" s="28" t="s">
        <v>3379</v>
      </c>
      <c r="H1409" s="28" t="s">
        <v>384</v>
      </c>
      <c r="I1409" s="28">
        <v>3</v>
      </c>
      <c r="J1409" s="30">
        <v>7.0999999999999994E-2</v>
      </c>
      <c r="K1409" s="28" t="s">
        <v>844</v>
      </c>
      <c r="L1409" s="31">
        <v>43586</v>
      </c>
      <c r="M1409" s="28">
        <v>5</v>
      </c>
      <c r="N1409" s="32" t="s">
        <v>191</v>
      </c>
      <c r="O1409" s="28" t="s">
        <v>204</v>
      </c>
      <c r="P1409" s="28" t="s">
        <v>3636</v>
      </c>
      <c r="Q1409" s="28" t="s">
        <v>3546</v>
      </c>
      <c r="R1409" s="28" t="s">
        <v>3531</v>
      </c>
    </row>
    <row r="1410" spans="1:18" hidden="1">
      <c r="A1410" s="28">
        <v>4</v>
      </c>
      <c r="B1410" s="29" t="s">
        <v>306</v>
      </c>
      <c r="C1410" s="29" t="s">
        <v>339</v>
      </c>
      <c r="D1410" s="29" t="s">
        <v>340</v>
      </c>
      <c r="E1410" s="29" t="s">
        <v>172</v>
      </c>
      <c r="F1410" s="28" t="s">
        <v>3373</v>
      </c>
      <c r="G1410" s="28" t="s">
        <v>3382</v>
      </c>
      <c r="H1410" s="28" t="s">
        <v>384</v>
      </c>
      <c r="I1410" s="28">
        <v>3</v>
      </c>
      <c r="J1410" s="30">
        <v>7.0999999999999994E-2</v>
      </c>
      <c r="K1410" s="28" t="s">
        <v>844</v>
      </c>
      <c r="L1410" s="31">
        <v>43586</v>
      </c>
      <c r="M1410" s="28">
        <v>5</v>
      </c>
      <c r="N1410" s="32" t="s">
        <v>191</v>
      </c>
      <c r="O1410" s="28" t="s">
        <v>204</v>
      </c>
      <c r="P1410" s="28" t="s">
        <v>3637</v>
      </c>
      <c r="Q1410" s="28" t="s">
        <v>2527</v>
      </c>
      <c r="R1410" s="28" t="s">
        <v>2528</v>
      </c>
    </row>
    <row r="1411" spans="1:18" hidden="1">
      <c r="A1411" s="28">
        <v>4</v>
      </c>
      <c r="B1411" s="29" t="s">
        <v>306</v>
      </c>
      <c r="C1411" s="29" t="s">
        <v>339</v>
      </c>
      <c r="D1411" s="29" t="s">
        <v>340</v>
      </c>
      <c r="E1411" s="29" t="s">
        <v>172</v>
      </c>
      <c r="F1411" s="28" t="s">
        <v>3373</v>
      </c>
      <c r="G1411" s="28" t="s">
        <v>3382</v>
      </c>
      <c r="H1411" s="28" t="s">
        <v>384</v>
      </c>
      <c r="I1411" s="28">
        <v>3</v>
      </c>
      <c r="J1411" s="30">
        <v>7.0999999999999994E-2</v>
      </c>
      <c r="K1411" s="28" t="s">
        <v>236</v>
      </c>
      <c r="L1411" s="31">
        <v>43617</v>
      </c>
      <c r="M1411" s="28">
        <v>6</v>
      </c>
      <c r="N1411" s="32" t="s">
        <v>184</v>
      </c>
      <c r="O1411" s="28" t="s">
        <v>204</v>
      </c>
      <c r="P1411" s="28" t="s">
        <v>3638</v>
      </c>
      <c r="Q1411" s="28" t="s">
        <v>3511</v>
      </c>
      <c r="R1411" s="28" t="s">
        <v>695</v>
      </c>
    </row>
    <row r="1412" spans="1:18" hidden="1">
      <c r="A1412" s="28">
        <v>4</v>
      </c>
      <c r="B1412" s="29" t="s">
        <v>306</v>
      </c>
      <c r="C1412" s="29" t="s">
        <v>339</v>
      </c>
      <c r="D1412" s="29" t="s">
        <v>340</v>
      </c>
      <c r="E1412" s="29" t="s">
        <v>172</v>
      </c>
      <c r="F1412" s="28" t="s">
        <v>3373</v>
      </c>
      <c r="G1412" s="28" t="s">
        <v>3379</v>
      </c>
      <c r="H1412" s="28" t="s">
        <v>384</v>
      </c>
      <c r="I1412" s="28">
        <v>3</v>
      </c>
      <c r="J1412" s="30">
        <v>7.0999999999999994E-2</v>
      </c>
      <c r="K1412" s="28" t="s">
        <v>236</v>
      </c>
      <c r="L1412" s="31">
        <v>43617</v>
      </c>
      <c r="M1412" s="28">
        <v>6</v>
      </c>
      <c r="N1412" s="32" t="s">
        <v>184</v>
      </c>
      <c r="O1412" s="28" t="s">
        <v>204</v>
      </c>
      <c r="P1412" s="28" t="s">
        <v>3639</v>
      </c>
      <c r="Q1412" s="28" t="s">
        <v>3511</v>
      </c>
      <c r="R1412" s="28" t="s">
        <v>695</v>
      </c>
    </row>
    <row r="1413" spans="1:18" hidden="1">
      <c r="A1413" s="28">
        <v>4</v>
      </c>
      <c r="B1413" s="29" t="s">
        <v>306</v>
      </c>
      <c r="C1413" s="29" t="s">
        <v>339</v>
      </c>
      <c r="D1413" s="29" t="s">
        <v>340</v>
      </c>
      <c r="E1413" s="29" t="s">
        <v>172</v>
      </c>
      <c r="F1413" s="28" t="s">
        <v>3373</v>
      </c>
      <c r="G1413" s="28" t="s">
        <v>3382</v>
      </c>
      <c r="H1413" s="28" t="s">
        <v>384</v>
      </c>
      <c r="I1413" s="28">
        <v>3</v>
      </c>
      <c r="J1413" s="30">
        <v>7.0999999999999994E-2</v>
      </c>
      <c r="K1413" s="28" t="s">
        <v>236</v>
      </c>
      <c r="L1413" s="31">
        <v>43617</v>
      </c>
      <c r="M1413" s="28">
        <v>6</v>
      </c>
      <c r="N1413" s="32" t="s">
        <v>184</v>
      </c>
      <c r="O1413" s="28" t="s">
        <v>204</v>
      </c>
      <c r="P1413" s="28" t="s">
        <v>3640</v>
      </c>
      <c r="Q1413" s="28" t="s">
        <v>2527</v>
      </c>
      <c r="R1413" s="28" t="s">
        <v>695</v>
      </c>
    </row>
    <row r="1414" spans="1:18" hidden="1">
      <c r="A1414" s="28">
        <v>4</v>
      </c>
      <c r="B1414" s="29" t="s">
        <v>306</v>
      </c>
      <c r="C1414" s="29" t="s">
        <v>339</v>
      </c>
      <c r="D1414" s="29" t="s">
        <v>340</v>
      </c>
      <c r="E1414" s="29" t="s">
        <v>172</v>
      </c>
      <c r="F1414" s="28" t="s">
        <v>3373</v>
      </c>
      <c r="G1414" s="28" t="s">
        <v>3382</v>
      </c>
      <c r="H1414" s="28" t="s">
        <v>384</v>
      </c>
      <c r="I1414" s="28">
        <v>3</v>
      </c>
      <c r="J1414" s="30">
        <v>7.0999999999999994E-2</v>
      </c>
      <c r="K1414" s="28" t="s">
        <v>442</v>
      </c>
      <c r="L1414" s="31">
        <v>43647</v>
      </c>
      <c r="M1414" s="28">
        <v>7</v>
      </c>
      <c r="N1414" s="32" t="s">
        <v>184</v>
      </c>
      <c r="O1414" s="28" t="s">
        <v>204</v>
      </c>
      <c r="P1414" s="28" t="s">
        <v>3641</v>
      </c>
      <c r="Q1414" s="28" t="s">
        <v>2527</v>
      </c>
      <c r="R1414" s="28" t="s">
        <v>695</v>
      </c>
    </row>
    <row r="1415" spans="1:18" hidden="1">
      <c r="A1415" s="28">
        <v>4</v>
      </c>
      <c r="B1415" s="29" t="s">
        <v>306</v>
      </c>
      <c r="C1415" s="29" t="s">
        <v>339</v>
      </c>
      <c r="D1415" s="29" t="s">
        <v>340</v>
      </c>
      <c r="E1415" s="29" t="s">
        <v>172</v>
      </c>
      <c r="F1415" s="28" t="s">
        <v>3373</v>
      </c>
      <c r="G1415" s="28" t="s">
        <v>3382</v>
      </c>
      <c r="H1415" s="28" t="s">
        <v>384</v>
      </c>
      <c r="I1415" s="28">
        <v>3</v>
      </c>
      <c r="J1415" s="30">
        <v>7.0999999999999994E-2</v>
      </c>
      <c r="K1415" s="28" t="s">
        <v>442</v>
      </c>
      <c r="L1415" s="31">
        <v>43647</v>
      </c>
      <c r="M1415" s="28">
        <v>7</v>
      </c>
      <c r="N1415" s="32" t="s">
        <v>184</v>
      </c>
      <c r="O1415" s="28" t="s">
        <v>204</v>
      </c>
      <c r="P1415" s="28" t="s">
        <v>3642</v>
      </c>
      <c r="Q1415" s="28" t="s">
        <v>2527</v>
      </c>
      <c r="R1415" s="28" t="s">
        <v>695</v>
      </c>
    </row>
    <row r="1416" spans="1:18" hidden="1">
      <c r="A1416" s="28">
        <v>4</v>
      </c>
      <c r="B1416" s="29" t="s">
        <v>306</v>
      </c>
      <c r="C1416" s="29" t="s">
        <v>339</v>
      </c>
      <c r="D1416" s="29" t="s">
        <v>340</v>
      </c>
      <c r="E1416" s="29" t="s">
        <v>172</v>
      </c>
      <c r="F1416" s="28" t="s">
        <v>3373</v>
      </c>
      <c r="G1416" s="28" t="s">
        <v>3379</v>
      </c>
      <c r="H1416" s="28" t="s">
        <v>384</v>
      </c>
      <c r="I1416" s="28">
        <v>3</v>
      </c>
      <c r="J1416" s="30">
        <v>7.0999999999999994E-2</v>
      </c>
      <c r="K1416" s="28" t="s">
        <v>442</v>
      </c>
      <c r="L1416" s="31">
        <v>43647</v>
      </c>
      <c r="M1416" s="28">
        <v>7</v>
      </c>
      <c r="N1416" s="32" t="s">
        <v>184</v>
      </c>
      <c r="O1416" s="28" t="s">
        <v>204</v>
      </c>
      <c r="P1416" s="28" t="s">
        <v>3643</v>
      </c>
      <c r="Q1416" s="28" t="s">
        <v>2527</v>
      </c>
      <c r="R1416" s="28" t="s">
        <v>695</v>
      </c>
    </row>
    <row r="1417" spans="1:18" hidden="1">
      <c r="A1417" s="28">
        <v>4</v>
      </c>
      <c r="B1417" s="29" t="s">
        <v>306</v>
      </c>
      <c r="C1417" s="29" t="s">
        <v>339</v>
      </c>
      <c r="D1417" s="29" t="s">
        <v>340</v>
      </c>
      <c r="E1417" s="29" t="s">
        <v>172</v>
      </c>
      <c r="F1417" s="28" t="s">
        <v>3373</v>
      </c>
      <c r="G1417" s="28" t="s">
        <v>3379</v>
      </c>
      <c r="H1417" s="28" t="s">
        <v>384</v>
      </c>
      <c r="I1417" s="28">
        <v>3</v>
      </c>
      <c r="J1417" s="30">
        <v>7.0999999999999994E-2</v>
      </c>
      <c r="K1417" s="28" t="s">
        <v>424</v>
      </c>
      <c r="L1417" s="31">
        <v>43678</v>
      </c>
      <c r="M1417" s="28">
        <v>8</v>
      </c>
      <c r="N1417" s="32" t="s">
        <v>184</v>
      </c>
      <c r="O1417" s="28" t="s">
        <v>204</v>
      </c>
      <c r="P1417" s="28" t="s">
        <v>3644</v>
      </c>
      <c r="Q1417" s="28" t="s">
        <v>700</v>
      </c>
      <c r="R1417" s="28" t="s">
        <v>698</v>
      </c>
    </row>
    <row r="1418" spans="1:18" hidden="1">
      <c r="A1418" s="28">
        <v>4</v>
      </c>
      <c r="B1418" s="29" t="s">
        <v>306</v>
      </c>
      <c r="C1418" s="29" t="s">
        <v>339</v>
      </c>
      <c r="D1418" s="29" t="s">
        <v>340</v>
      </c>
      <c r="E1418" s="29" t="s">
        <v>172</v>
      </c>
      <c r="F1418" s="28" t="s">
        <v>3373</v>
      </c>
      <c r="G1418" s="28" t="s">
        <v>3382</v>
      </c>
      <c r="H1418" s="28" t="s">
        <v>384</v>
      </c>
      <c r="I1418" s="28">
        <v>3</v>
      </c>
      <c r="J1418" s="30">
        <v>7.0999999999999994E-2</v>
      </c>
      <c r="K1418" s="28" t="s">
        <v>424</v>
      </c>
      <c r="L1418" s="31">
        <v>43678</v>
      </c>
      <c r="M1418" s="28">
        <v>8</v>
      </c>
      <c r="N1418" s="32" t="s">
        <v>184</v>
      </c>
      <c r="O1418" s="28" t="s">
        <v>204</v>
      </c>
      <c r="P1418" s="28" t="s">
        <v>3645</v>
      </c>
      <c r="Q1418" s="28" t="s">
        <v>2527</v>
      </c>
      <c r="R1418" s="28" t="s">
        <v>695</v>
      </c>
    </row>
    <row r="1419" spans="1:18" hidden="1">
      <c r="A1419" s="28">
        <v>4</v>
      </c>
      <c r="B1419" s="29" t="s">
        <v>306</v>
      </c>
      <c r="C1419" s="29" t="s">
        <v>339</v>
      </c>
      <c r="D1419" s="29" t="s">
        <v>340</v>
      </c>
      <c r="E1419" s="29" t="s">
        <v>172</v>
      </c>
      <c r="F1419" s="28" t="s">
        <v>3373</v>
      </c>
      <c r="G1419" s="28" t="s">
        <v>3379</v>
      </c>
      <c r="H1419" s="28" t="s">
        <v>384</v>
      </c>
      <c r="I1419" s="28">
        <v>3</v>
      </c>
      <c r="J1419" s="30">
        <v>7.0999999999999994E-2</v>
      </c>
      <c r="K1419" s="28" t="s">
        <v>424</v>
      </c>
      <c r="L1419" s="31">
        <v>43678</v>
      </c>
      <c r="M1419" s="28">
        <v>8</v>
      </c>
      <c r="N1419" s="32" t="s">
        <v>184</v>
      </c>
      <c r="O1419" s="28" t="s">
        <v>204</v>
      </c>
      <c r="P1419" s="28" t="s">
        <v>3646</v>
      </c>
      <c r="Q1419" s="28" t="s">
        <v>2527</v>
      </c>
      <c r="R1419" s="28" t="s">
        <v>695</v>
      </c>
    </row>
    <row r="1420" spans="1:18" hidden="1">
      <c r="A1420" s="28">
        <v>4</v>
      </c>
      <c r="B1420" s="29" t="s">
        <v>306</v>
      </c>
      <c r="C1420" s="29" t="s">
        <v>339</v>
      </c>
      <c r="D1420" s="29" t="s">
        <v>340</v>
      </c>
      <c r="E1420" s="29" t="s">
        <v>172</v>
      </c>
      <c r="F1420" s="28" t="s">
        <v>3373</v>
      </c>
      <c r="G1420" s="28" t="s">
        <v>3379</v>
      </c>
      <c r="H1420" s="28" t="s">
        <v>384</v>
      </c>
      <c r="I1420" s="28">
        <v>3</v>
      </c>
      <c r="J1420" s="30">
        <v>7.0999999999999994E-2</v>
      </c>
      <c r="K1420" s="28" t="s">
        <v>752</v>
      </c>
      <c r="L1420" s="31">
        <v>43709</v>
      </c>
      <c r="M1420" s="28">
        <v>9</v>
      </c>
      <c r="N1420" s="32" t="s">
        <v>191</v>
      </c>
      <c r="O1420" s="28" t="s">
        <v>204</v>
      </c>
      <c r="P1420" s="28" t="s">
        <v>3647</v>
      </c>
      <c r="Q1420" s="28" t="s">
        <v>700</v>
      </c>
      <c r="R1420" s="28" t="s">
        <v>698</v>
      </c>
    </row>
    <row r="1421" spans="1:18" hidden="1">
      <c r="A1421" s="28">
        <v>4</v>
      </c>
      <c r="B1421" s="29" t="s">
        <v>306</v>
      </c>
      <c r="C1421" s="29" t="s">
        <v>339</v>
      </c>
      <c r="D1421" s="29" t="s">
        <v>340</v>
      </c>
      <c r="E1421" s="29" t="s">
        <v>172</v>
      </c>
      <c r="F1421" s="28" t="s">
        <v>3373</v>
      </c>
      <c r="G1421" s="28" t="s">
        <v>3379</v>
      </c>
      <c r="H1421" s="28" t="s">
        <v>384</v>
      </c>
      <c r="I1421" s="28">
        <v>3</v>
      </c>
      <c r="J1421" s="30">
        <v>7.0999999999999994E-2</v>
      </c>
      <c r="K1421" s="28" t="s">
        <v>752</v>
      </c>
      <c r="L1421" s="31">
        <v>43709</v>
      </c>
      <c r="M1421" s="28">
        <v>9</v>
      </c>
      <c r="N1421" s="32" t="s">
        <v>191</v>
      </c>
      <c r="O1421" s="28" t="s">
        <v>204</v>
      </c>
      <c r="P1421" s="28" t="s">
        <v>3648</v>
      </c>
      <c r="Q1421" s="28" t="s">
        <v>3546</v>
      </c>
      <c r="R1421" s="28" t="s">
        <v>3531</v>
      </c>
    </row>
    <row r="1422" spans="1:18" hidden="1">
      <c r="A1422" s="28">
        <v>4</v>
      </c>
      <c r="B1422" s="29" t="s">
        <v>306</v>
      </c>
      <c r="C1422" s="29" t="s">
        <v>339</v>
      </c>
      <c r="D1422" s="29" t="s">
        <v>340</v>
      </c>
      <c r="E1422" s="29" t="s">
        <v>172</v>
      </c>
      <c r="F1422" s="28" t="s">
        <v>3373</v>
      </c>
      <c r="G1422" s="28" t="s">
        <v>3382</v>
      </c>
      <c r="H1422" s="28" t="s">
        <v>384</v>
      </c>
      <c r="I1422" s="28">
        <v>3</v>
      </c>
      <c r="J1422" s="30">
        <v>7.0999999999999994E-2</v>
      </c>
      <c r="K1422" s="28" t="s">
        <v>752</v>
      </c>
      <c r="L1422" s="31">
        <v>43709</v>
      </c>
      <c r="M1422" s="28">
        <v>9</v>
      </c>
      <c r="N1422" s="32" t="s">
        <v>191</v>
      </c>
      <c r="O1422" s="28" t="s">
        <v>204</v>
      </c>
      <c r="P1422" s="28" t="s">
        <v>3649</v>
      </c>
      <c r="Q1422" s="28" t="s">
        <v>2527</v>
      </c>
      <c r="R1422" s="28" t="s">
        <v>695</v>
      </c>
    </row>
    <row r="1423" spans="1:18" hidden="1">
      <c r="A1423" s="28">
        <v>4</v>
      </c>
      <c r="B1423" s="29" t="s">
        <v>306</v>
      </c>
      <c r="C1423" s="29" t="s">
        <v>339</v>
      </c>
      <c r="D1423" s="29" t="s">
        <v>340</v>
      </c>
      <c r="E1423" s="29" t="s">
        <v>172</v>
      </c>
      <c r="F1423" s="28" t="s">
        <v>3373</v>
      </c>
      <c r="G1423" s="28" t="s">
        <v>3374</v>
      </c>
      <c r="H1423" s="28" t="s">
        <v>174</v>
      </c>
      <c r="I1423" s="28" t="s">
        <v>174</v>
      </c>
      <c r="J1423" s="30" t="s">
        <v>174</v>
      </c>
      <c r="K1423" s="28" t="s">
        <v>752</v>
      </c>
      <c r="L1423" s="31">
        <v>43709</v>
      </c>
      <c r="M1423" s="28">
        <v>9</v>
      </c>
      <c r="N1423" s="32" t="s">
        <v>191</v>
      </c>
      <c r="O1423" s="28" t="s">
        <v>204</v>
      </c>
      <c r="P1423" s="28" t="s">
        <v>3650</v>
      </c>
      <c r="Q1423" s="28" t="s">
        <v>2527</v>
      </c>
      <c r="R1423" s="28" t="s">
        <v>3610</v>
      </c>
    </row>
    <row r="1424" spans="1:18" hidden="1">
      <c r="A1424" s="28">
        <v>4</v>
      </c>
      <c r="B1424" s="29" t="s">
        <v>306</v>
      </c>
      <c r="C1424" s="29" t="s">
        <v>339</v>
      </c>
      <c r="D1424" s="29" t="s">
        <v>340</v>
      </c>
      <c r="E1424" s="29" t="s">
        <v>172</v>
      </c>
      <c r="F1424" s="28" t="s">
        <v>3373</v>
      </c>
      <c r="G1424" s="28" t="s">
        <v>3382</v>
      </c>
      <c r="H1424" s="28" t="s">
        <v>384</v>
      </c>
      <c r="I1424" s="28">
        <v>3</v>
      </c>
      <c r="J1424" s="30">
        <v>7.0999999999999994E-2</v>
      </c>
      <c r="K1424" s="28" t="s">
        <v>3651</v>
      </c>
      <c r="L1424" s="31">
        <v>43739</v>
      </c>
      <c r="M1424" s="28">
        <v>10</v>
      </c>
      <c r="N1424" s="32" t="s">
        <v>191</v>
      </c>
      <c r="O1424" s="28" t="s">
        <v>204</v>
      </c>
      <c r="P1424" s="28" t="s">
        <v>3652</v>
      </c>
      <c r="Q1424" s="28" t="s">
        <v>3511</v>
      </c>
      <c r="R1424" s="28" t="s">
        <v>695</v>
      </c>
    </row>
    <row r="1425" spans="1:18" hidden="1">
      <c r="A1425" s="28">
        <v>4</v>
      </c>
      <c r="B1425" s="29" t="s">
        <v>306</v>
      </c>
      <c r="C1425" s="29" t="s">
        <v>339</v>
      </c>
      <c r="D1425" s="29" t="s">
        <v>340</v>
      </c>
      <c r="E1425" s="29" t="s">
        <v>172</v>
      </c>
      <c r="F1425" s="28" t="s">
        <v>3373</v>
      </c>
      <c r="G1425" s="28" t="s">
        <v>3382</v>
      </c>
      <c r="H1425" s="28" t="s">
        <v>384</v>
      </c>
      <c r="I1425" s="28">
        <v>3</v>
      </c>
      <c r="J1425" s="30">
        <v>7.0999999999999994E-2</v>
      </c>
      <c r="K1425" s="28" t="s">
        <v>397</v>
      </c>
      <c r="L1425" s="31">
        <v>43739</v>
      </c>
      <c r="M1425" s="28">
        <v>10</v>
      </c>
      <c r="N1425" s="32" t="s">
        <v>191</v>
      </c>
      <c r="O1425" s="28" t="s">
        <v>204</v>
      </c>
      <c r="P1425" s="28" t="s">
        <v>3653</v>
      </c>
      <c r="Q1425" s="28" t="s">
        <v>3511</v>
      </c>
      <c r="R1425" s="28" t="s">
        <v>695</v>
      </c>
    </row>
    <row r="1426" spans="1:18" hidden="1">
      <c r="A1426" s="28">
        <v>4</v>
      </c>
      <c r="B1426" s="29" t="s">
        <v>306</v>
      </c>
      <c r="C1426" s="29" t="s">
        <v>339</v>
      </c>
      <c r="D1426" s="29" t="s">
        <v>340</v>
      </c>
      <c r="E1426" s="29" t="s">
        <v>172</v>
      </c>
      <c r="F1426" s="28" t="s">
        <v>3373</v>
      </c>
      <c r="G1426" s="28" t="s">
        <v>3379</v>
      </c>
      <c r="H1426" s="28" t="s">
        <v>384</v>
      </c>
      <c r="I1426" s="28">
        <v>3</v>
      </c>
      <c r="J1426" s="30">
        <v>7.0999999999999994E-2</v>
      </c>
      <c r="K1426" s="28" t="s">
        <v>397</v>
      </c>
      <c r="L1426" s="31">
        <v>43739</v>
      </c>
      <c r="M1426" s="28">
        <v>10</v>
      </c>
      <c r="N1426" s="32" t="s">
        <v>191</v>
      </c>
      <c r="O1426" s="28" t="s">
        <v>204</v>
      </c>
      <c r="P1426" s="28" t="s">
        <v>3654</v>
      </c>
      <c r="Q1426" s="28" t="s">
        <v>3511</v>
      </c>
      <c r="R1426" s="28" t="s">
        <v>695</v>
      </c>
    </row>
    <row r="1427" spans="1:18" hidden="1">
      <c r="A1427" s="28">
        <v>4</v>
      </c>
      <c r="B1427" s="29" t="s">
        <v>306</v>
      </c>
      <c r="C1427" s="29" t="s">
        <v>339</v>
      </c>
      <c r="D1427" s="29" t="s">
        <v>340</v>
      </c>
      <c r="E1427" s="29" t="s">
        <v>172</v>
      </c>
      <c r="F1427" s="28" t="s">
        <v>3373</v>
      </c>
      <c r="G1427" s="28" t="s">
        <v>3379</v>
      </c>
      <c r="H1427" s="28" t="s">
        <v>384</v>
      </c>
      <c r="I1427" s="28">
        <v>3</v>
      </c>
      <c r="J1427" s="30">
        <v>7.0999999999999994E-2</v>
      </c>
      <c r="K1427" s="28" t="s">
        <v>397</v>
      </c>
      <c r="L1427" s="31">
        <v>43739</v>
      </c>
      <c r="M1427" s="28">
        <v>10</v>
      </c>
      <c r="N1427" s="32" t="s">
        <v>191</v>
      </c>
      <c r="O1427" s="28" t="s">
        <v>204</v>
      </c>
      <c r="P1427" s="28" t="s">
        <v>3655</v>
      </c>
      <c r="Q1427" s="28" t="s">
        <v>3546</v>
      </c>
      <c r="R1427" s="28" t="s">
        <v>3531</v>
      </c>
    </row>
    <row r="1428" spans="1:18" hidden="1">
      <c r="A1428" s="28">
        <v>4</v>
      </c>
      <c r="B1428" s="29" t="s">
        <v>306</v>
      </c>
      <c r="C1428" s="29" t="s">
        <v>339</v>
      </c>
      <c r="D1428" s="29" t="s">
        <v>340</v>
      </c>
      <c r="E1428" s="29" t="s">
        <v>172</v>
      </c>
      <c r="F1428" s="28" t="s">
        <v>3373</v>
      </c>
      <c r="G1428" s="28" t="s">
        <v>3379</v>
      </c>
      <c r="H1428" s="28" t="s">
        <v>384</v>
      </c>
      <c r="I1428" s="28">
        <v>3</v>
      </c>
      <c r="J1428" s="30">
        <v>7.0999999999999994E-2</v>
      </c>
      <c r="K1428" s="28" t="s">
        <v>397</v>
      </c>
      <c r="L1428" s="31">
        <v>43739</v>
      </c>
      <c r="M1428" s="28">
        <v>10</v>
      </c>
      <c r="N1428" s="32" t="s">
        <v>191</v>
      </c>
      <c r="O1428" s="28" t="s">
        <v>204</v>
      </c>
      <c r="P1428" s="28" t="s">
        <v>3656</v>
      </c>
      <c r="Q1428" s="28" t="s">
        <v>3546</v>
      </c>
      <c r="R1428" s="28" t="s">
        <v>3531</v>
      </c>
    </row>
    <row r="1429" spans="1:18" hidden="1">
      <c r="A1429" s="28">
        <v>4</v>
      </c>
      <c r="B1429" s="29" t="s">
        <v>306</v>
      </c>
      <c r="C1429" s="29" t="s">
        <v>339</v>
      </c>
      <c r="D1429" s="29" t="s">
        <v>340</v>
      </c>
      <c r="E1429" s="29" t="s">
        <v>172</v>
      </c>
      <c r="F1429" s="28" t="s">
        <v>3373</v>
      </c>
      <c r="G1429" s="28" t="s">
        <v>3382</v>
      </c>
      <c r="H1429" s="28" t="s">
        <v>384</v>
      </c>
      <c r="I1429" s="28">
        <v>3</v>
      </c>
      <c r="J1429" s="30">
        <v>7.0999999999999994E-2</v>
      </c>
      <c r="K1429" s="28" t="s">
        <v>397</v>
      </c>
      <c r="L1429" s="31">
        <v>43739</v>
      </c>
      <c r="M1429" s="28">
        <v>10</v>
      </c>
      <c r="N1429" s="32" t="s">
        <v>191</v>
      </c>
      <c r="O1429" s="28" t="s">
        <v>204</v>
      </c>
      <c r="P1429" s="28" t="s">
        <v>3657</v>
      </c>
      <c r="Q1429" s="28" t="s">
        <v>2527</v>
      </c>
      <c r="R1429" s="28" t="s">
        <v>695</v>
      </c>
    </row>
    <row r="1430" spans="1:18" hidden="1">
      <c r="A1430" s="28">
        <v>4</v>
      </c>
      <c r="B1430" s="29" t="s">
        <v>306</v>
      </c>
      <c r="C1430" s="29" t="s">
        <v>339</v>
      </c>
      <c r="D1430" s="29" t="s">
        <v>340</v>
      </c>
      <c r="E1430" s="29" t="s">
        <v>172</v>
      </c>
      <c r="F1430" s="28" t="s">
        <v>3373</v>
      </c>
      <c r="G1430" s="28" t="s">
        <v>3382</v>
      </c>
      <c r="H1430" s="28" t="s">
        <v>384</v>
      </c>
      <c r="I1430" s="28">
        <v>3</v>
      </c>
      <c r="J1430" s="30">
        <v>7.0999999999999994E-2</v>
      </c>
      <c r="K1430" s="28" t="s">
        <v>397</v>
      </c>
      <c r="L1430" s="31">
        <v>43739</v>
      </c>
      <c r="M1430" s="28">
        <v>10</v>
      </c>
      <c r="N1430" s="32" t="s">
        <v>191</v>
      </c>
      <c r="O1430" s="28" t="s">
        <v>204</v>
      </c>
      <c r="P1430" s="28" t="s">
        <v>3658</v>
      </c>
      <c r="Q1430" s="28" t="s">
        <v>2527</v>
      </c>
      <c r="R1430" s="28" t="s">
        <v>695</v>
      </c>
    </row>
    <row r="1431" spans="1:18" hidden="1">
      <c r="A1431" s="28">
        <v>4</v>
      </c>
      <c r="B1431" s="29" t="s">
        <v>306</v>
      </c>
      <c r="C1431" s="29" t="s">
        <v>339</v>
      </c>
      <c r="D1431" s="29" t="s">
        <v>340</v>
      </c>
      <c r="E1431" s="29" t="s">
        <v>172</v>
      </c>
      <c r="F1431" s="28" t="s">
        <v>3373</v>
      </c>
      <c r="G1431" s="28" t="s">
        <v>3382</v>
      </c>
      <c r="H1431" s="28" t="s">
        <v>384</v>
      </c>
      <c r="I1431" s="28">
        <v>3</v>
      </c>
      <c r="J1431" s="30">
        <v>7.0999999999999994E-2</v>
      </c>
      <c r="K1431" s="28" t="s">
        <v>479</v>
      </c>
      <c r="L1431" s="31">
        <v>43770</v>
      </c>
      <c r="M1431" s="28">
        <v>11</v>
      </c>
      <c r="N1431" s="32" t="s">
        <v>191</v>
      </c>
      <c r="O1431" s="28" t="s">
        <v>204</v>
      </c>
      <c r="P1431" s="28" t="s">
        <v>3659</v>
      </c>
      <c r="Q1431" s="28" t="s">
        <v>3511</v>
      </c>
      <c r="R1431" s="28" t="s">
        <v>695</v>
      </c>
    </row>
    <row r="1432" spans="1:18" hidden="1">
      <c r="A1432" s="28">
        <v>4</v>
      </c>
      <c r="B1432" s="29" t="s">
        <v>306</v>
      </c>
      <c r="C1432" s="29" t="s">
        <v>339</v>
      </c>
      <c r="D1432" s="29" t="s">
        <v>340</v>
      </c>
      <c r="E1432" s="29" t="s">
        <v>172</v>
      </c>
      <c r="F1432" s="28" t="s">
        <v>3373</v>
      </c>
      <c r="G1432" s="28" t="s">
        <v>3379</v>
      </c>
      <c r="H1432" s="28" t="s">
        <v>384</v>
      </c>
      <c r="I1432" s="28">
        <v>3</v>
      </c>
      <c r="J1432" s="30">
        <v>7.0999999999999994E-2</v>
      </c>
      <c r="K1432" s="28" t="s">
        <v>479</v>
      </c>
      <c r="L1432" s="31">
        <v>43770</v>
      </c>
      <c r="M1432" s="28">
        <v>11</v>
      </c>
      <c r="N1432" s="32" t="s">
        <v>191</v>
      </c>
      <c r="O1432" s="28" t="s">
        <v>204</v>
      </c>
      <c r="P1432" s="28" t="s">
        <v>3660</v>
      </c>
      <c r="Q1432" s="28" t="s">
        <v>3561</v>
      </c>
      <c r="R1432" s="28" t="s">
        <v>3531</v>
      </c>
    </row>
    <row r="1433" spans="1:18" hidden="1">
      <c r="A1433" s="28">
        <v>4</v>
      </c>
      <c r="B1433" s="29" t="s">
        <v>306</v>
      </c>
      <c r="C1433" s="29" t="s">
        <v>339</v>
      </c>
      <c r="D1433" s="29" t="s">
        <v>340</v>
      </c>
      <c r="E1433" s="29" t="s">
        <v>172</v>
      </c>
      <c r="F1433" s="28" t="s">
        <v>3373</v>
      </c>
      <c r="G1433" s="28" t="s">
        <v>3382</v>
      </c>
      <c r="H1433" s="28" t="s">
        <v>384</v>
      </c>
      <c r="I1433" s="28">
        <v>3</v>
      </c>
      <c r="J1433" s="30">
        <v>7.0999999999999994E-2</v>
      </c>
      <c r="K1433" s="28" t="s">
        <v>520</v>
      </c>
      <c r="L1433" s="31">
        <v>43800</v>
      </c>
      <c r="M1433" s="28">
        <v>12</v>
      </c>
      <c r="N1433" s="32" t="s">
        <v>176</v>
      </c>
      <c r="O1433" s="28" t="s">
        <v>204</v>
      </c>
      <c r="P1433" s="28" t="s">
        <v>3661</v>
      </c>
      <c r="Q1433" s="28" t="s">
        <v>3511</v>
      </c>
      <c r="R1433" s="28" t="s">
        <v>695</v>
      </c>
    </row>
    <row r="1434" spans="1:18" hidden="1">
      <c r="A1434" s="28">
        <v>4</v>
      </c>
      <c r="B1434" s="29" t="s">
        <v>306</v>
      </c>
      <c r="C1434" s="29" t="s">
        <v>339</v>
      </c>
      <c r="D1434" s="29" t="s">
        <v>340</v>
      </c>
      <c r="E1434" s="29" t="s">
        <v>172</v>
      </c>
      <c r="F1434" s="28" t="s">
        <v>3373</v>
      </c>
      <c r="G1434" s="28" t="s">
        <v>3382</v>
      </c>
      <c r="H1434" s="28" t="s">
        <v>384</v>
      </c>
      <c r="I1434" s="28">
        <v>3</v>
      </c>
      <c r="J1434" s="30">
        <v>7.0999999999999994E-2</v>
      </c>
      <c r="K1434" s="28" t="s">
        <v>520</v>
      </c>
      <c r="L1434" s="31">
        <v>43800</v>
      </c>
      <c r="M1434" s="28">
        <v>12</v>
      </c>
      <c r="N1434" s="32" t="s">
        <v>176</v>
      </c>
      <c r="O1434" s="28" t="s">
        <v>204</v>
      </c>
      <c r="P1434" s="28" t="s">
        <v>3662</v>
      </c>
      <c r="Q1434" s="28" t="s">
        <v>3511</v>
      </c>
      <c r="R1434" s="28" t="s">
        <v>695</v>
      </c>
    </row>
    <row r="1435" spans="1:18" hidden="1">
      <c r="A1435" s="28">
        <v>4</v>
      </c>
      <c r="B1435" s="29" t="s">
        <v>306</v>
      </c>
      <c r="C1435" s="29" t="s">
        <v>339</v>
      </c>
      <c r="D1435" s="29" t="s">
        <v>340</v>
      </c>
      <c r="E1435" s="29" t="s">
        <v>172</v>
      </c>
      <c r="F1435" s="28" t="s">
        <v>3373</v>
      </c>
      <c r="G1435" s="28" t="s">
        <v>3382</v>
      </c>
      <c r="H1435" s="28" t="s">
        <v>384</v>
      </c>
      <c r="I1435" s="28">
        <v>3</v>
      </c>
      <c r="J1435" s="30">
        <v>7.0999999999999994E-2</v>
      </c>
      <c r="K1435" s="28" t="s">
        <v>3663</v>
      </c>
      <c r="L1435" s="31">
        <v>43800</v>
      </c>
      <c r="M1435" s="28">
        <v>12</v>
      </c>
      <c r="N1435" s="32" t="s">
        <v>176</v>
      </c>
      <c r="O1435" s="28" t="s">
        <v>204</v>
      </c>
      <c r="P1435" s="28" t="s">
        <v>3664</v>
      </c>
      <c r="Q1435" s="28" t="s">
        <v>2527</v>
      </c>
      <c r="R1435" s="28" t="s">
        <v>695</v>
      </c>
    </row>
    <row r="1436" spans="1:18" hidden="1">
      <c r="A1436" s="28">
        <v>4</v>
      </c>
      <c r="B1436" s="29" t="s">
        <v>306</v>
      </c>
      <c r="C1436" s="29" t="s">
        <v>339</v>
      </c>
      <c r="D1436" s="29" t="s">
        <v>340</v>
      </c>
      <c r="E1436" s="29" t="s">
        <v>172</v>
      </c>
      <c r="F1436" s="28" t="s">
        <v>3373</v>
      </c>
      <c r="G1436" s="28" t="s">
        <v>3390</v>
      </c>
      <c r="H1436" s="28" t="s">
        <v>174</v>
      </c>
      <c r="I1436" s="28" t="s">
        <v>174</v>
      </c>
      <c r="J1436" s="30" t="s">
        <v>174</v>
      </c>
      <c r="K1436" s="28" t="s">
        <v>520</v>
      </c>
      <c r="L1436" s="31">
        <v>43800</v>
      </c>
      <c r="M1436" s="28">
        <v>12</v>
      </c>
      <c r="N1436" s="32" t="s">
        <v>176</v>
      </c>
      <c r="O1436" s="28" t="s">
        <v>204</v>
      </c>
      <c r="P1436" s="28" t="s">
        <v>3665</v>
      </c>
      <c r="Q1436" s="28" t="s">
        <v>3666</v>
      </c>
      <c r="R1436" s="28" t="s">
        <v>3667</v>
      </c>
    </row>
    <row r="1437" spans="1:18" hidden="1">
      <c r="A1437" s="28">
        <v>4</v>
      </c>
      <c r="B1437" s="29" t="s">
        <v>306</v>
      </c>
      <c r="C1437" s="29" t="s">
        <v>339</v>
      </c>
      <c r="D1437" s="29" t="s">
        <v>340</v>
      </c>
      <c r="E1437" s="29" t="s">
        <v>172</v>
      </c>
      <c r="F1437" s="28" t="s">
        <v>3373</v>
      </c>
      <c r="G1437" s="28" t="s">
        <v>3390</v>
      </c>
      <c r="H1437" s="28" t="s">
        <v>174</v>
      </c>
      <c r="I1437" s="28" t="s">
        <v>174</v>
      </c>
      <c r="J1437" s="30" t="s">
        <v>174</v>
      </c>
      <c r="K1437" s="28" t="s">
        <v>683</v>
      </c>
      <c r="L1437" s="31">
        <v>43831</v>
      </c>
      <c r="M1437" s="28">
        <v>1</v>
      </c>
      <c r="N1437" s="32" t="s">
        <v>176</v>
      </c>
      <c r="O1437" s="28" t="s">
        <v>204</v>
      </c>
      <c r="P1437" s="28" t="s">
        <v>3668</v>
      </c>
      <c r="Q1437" s="28" t="s">
        <v>3612</v>
      </c>
      <c r="R1437" s="28" t="s">
        <v>3613</v>
      </c>
    </row>
    <row r="1438" spans="1:18" hidden="1">
      <c r="A1438" s="28">
        <v>4</v>
      </c>
      <c r="B1438" s="29" t="s">
        <v>306</v>
      </c>
      <c r="C1438" s="29" t="s">
        <v>339</v>
      </c>
      <c r="D1438" s="29" t="s">
        <v>340</v>
      </c>
      <c r="E1438" s="29" t="s">
        <v>172</v>
      </c>
      <c r="F1438" s="28" t="s">
        <v>3373</v>
      </c>
      <c r="G1438" s="28" t="s">
        <v>3382</v>
      </c>
      <c r="H1438" s="28" t="s">
        <v>384</v>
      </c>
      <c r="I1438" s="28">
        <v>3</v>
      </c>
      <c r="J1438" s="30">
        <v>7.0999999999999994E-2</v>
      </c>
      <c r="K1438" s="28" t="s">
        <v>324</v>
      </c>
      <c r="L1438" s="31">
        <v>43862</v>
      </c>
      <c r="M1438" s="28">
        <v>2</v>
      </c>
      <c r="N1438" s="32" t="s">
        <v>176</v>
      </c>
      <c r="O1438" s="28" t="s">
        <v>204</v>
      </c>
      <c r="P1438" s="28" t="s">
        <v>3669</v>
      </c>
      <c r="Q1438" s="28" t="s">
        <v>3511</v>
      </c>
      <c r="R1438" s="28" t="s">
        <v>695</v>
      </c>
    </row>
    <row r="1439" spans="1:18" hidden="1">
      <c r="A1439" s="28">
        <v>4</v>
      </c>
      <c r="B1439" s="29" t="s">
        <v>306</v>
      </c>
      <c r="C1439" s="29" t="s">
        <v>339</v>
      </c>
      <c r="D1439" s="29" t="s">
        <v>340</v>
      </c>
      <c r="E1439" s="29" t="s">
        <v>172</v>
      </c>
      <c r="F1439" s="28" t="s">
        <v>3373</v>
      </c>
      <c r="G1439" s="28" t="s">
        <v>3382</v>
      </c>
      <c r="H1439" s="28" t="s">
        <v>384</v>
      </c>
      <c r="I1439" s="28">
        <v>3</v>
      </c>
      <c r="J1439" s="30">
        <v>7.0999999999999994E-2</v>
      </c>
      <c r="K1439" s="28" t="s">
        <v>324</v>
      </c>
      <c r="L1439" s="31">
        <v>43862</v>
      </c>
      <c r="M1439" s="28">
        <v>2</v>
      </c>
      <c r="N1439" s="32" t="s">
        <v>176</v>
      </c>
      <c r="O1439" s="28" t="s">
        <v>204</v>
      </c>
      <c r="P1439" s="28" t="s">
        <v>3670</v>
      </c>
      <c r="Q1439" s="28" t="s">
        <v>2527</v>
      </c>
      <c r="R1439" s="28" t="s">
        <v>695</v>
      </c>
    </row>
    <row r="1440" spans="1:18" hidden="1">
      <c r="A1440" s="28">
        <v>4</v>
      </c>
      <c r="B1440" s="29" t="s">
        <v>306</v>
      </c>
      <c r="C1440" s="29" t="s">
        <v>339</v>
      </c>
      <c r="D1440" s="29" t="s">
        <v>340</v>
      </c>
      <c r="E1440" s="29" t="s">
        <v>172</v>
      </c>
      <c r="F1440" s="28" t="s">
        <v>3373</v>
      </c>
      <c r="G1440" s="28" t="s">
        <v>3382</v>
      </c>
      <c r="H1440" s="28" t="s">
        <v>384</v>
      </c>
      <c r="I1440" s="28">
        <v>3</v>
      </c>
      <c r="J1440" s="30">
        <v>7.0999999999999994E-2</v>
      </c>
      <c r="K1440" s="28" t="s">
        <v>328</v>
      </c>
      <c r="L1440" s="31">
        <v>43891</v>
      </c>
      <c r="M1440" s="28">
        <v>3</v>
      </c>
      <c r="N1440" s="32" t="s">
        <v>191</v>
      </c>
      <c r="O1440" s="28" t="s">
        <v>204</v>
      </c>
      <c r="P1440" s="28" t="s">
        <v>3671</v>
      </c>
      <c r="Q1440" s="28" t="s">
        <v>3511</v>
      </c>
      <c r="R1440" s="28" t="s">
        <v>695</v>
      </c>
    </row>
    <row r="1441" spans="1:18" hidden="1">
      <c r="A1441" s="28">
        <v>4</v>
      </c>
      <c r="B1441" s="29" t="s">
        <v>306</v>
      </c>
      <c r="C1441" s="29" t="s">
        <v>339</v>
      </c>
      <c r="D1441" s="29" t="s">
        <v>340</v>
      </c>
      <c r="E1441" s="29" t="s">
        <v>172</v>
      </c>
      <c r="F1441" s="28" t="s">
        <v>3373</v>
      </c>
      <c r="G1441" s="28" t="s">
        <v>3379</v>
      </c>
      <c r="H1441" s="28" t="s">
        <v>384</v>
      </c>
      <c r="I1441" s="28">
        <v>3</v>
      </c>
      <c r="J1441" s="30">
        <v>7.0999999999999994E-2</v>
      </c>
      <c r="K1441" s="28" t="s">
        <v>328</v>
      </c>
      <c r="L1441" s="31">
        <v>43891</v>
      </c>
      <c r="M1441" s="28">
        <v>3</v>
      </c>
      <c r="N1441" s="32" t="s">
        <v>191</v>
      </c>
      <c r="O1441" s="28" t="s">
        <v>204</v>
      </c>
      <c r="P1441" s="28" t="s">
        <v>3672</v>
      </c>
      <c r="Q1441" s="28" t="s">
        <v>2527</v>
      </c>
      <c r="R1441" s="28" t="s">
        <v>695</v>
      </c>
    </row>
    <row r="1442" spans="1:18" hidden="1">
      <c r="A1442" s="28">
        <v>4</v>
      </c>
      <c r="B1442" s="29" t="s">
        <v>306</v>
      </c>
      <c r="C1442" s="29" t="s">
        <v>339</v>
      </c>
      <c r="D1442" s="29" t="s">
        <v>340</v>
      </c>
      <c r="E1442" s="29" t="s">
        <v>172</v>
      </c>
      <c r="F1442" s="28" t="s">
        <v>3373</v>
      </c>
      <c r="G1442" s="28" t="s">
        <v>3379</v>
      </c>
      <c r="H1442" s="28" t="s">
        <v>384</v>
      </c>
      <c r="I1442" s="28">
        <v>3</v>
      </c>
      <c r="J1442" s="30">
        <v>7.0999999999999994E-2</v>
      </c>
      <c r="K1442" s="28" t="s">
        <v>328</v>
      </c>
      <c r="L1442" s="31">
        <v>43891</v>
      </c>
      <c r="M1442" s="28">
        <v>3</v>
      </c>
      <c r="N1442" s="32" t="s">
        <v>191</v>
      </c>
      <c r="O1442" s="28" t="s">
        <v>204</v>
      </c>
      <c r="P1442" s="28" t="s">
        <v>3673</v>
      </c>
      <c r="Q1442" s="28" t="s">
        <v>2527</v>
      </c>
      <c r="R1442" s="28" t="s">
        <v>695</v>
      </c>
    </row>
    <row r="1443" spans="1:18" hidden="1">
      <c r="A1443" s="28">
        <v>4</v>
      </c>
      <c r="B1443" s="29" t="s">
        <v>306</v>
      </c>
      <c r="C1443" s="29" t="s">
        <v>339</v>
      </c>
      <c r="D1443" s="29" t="s">
        <v>340</v>
      </c>
      <c r="E1443" s="29" t="s">
        <v>172</v>
      </c>
      <c r="F1443" s="28" t="s">
        <v>3373</v>
      </c>
      <c r="G1443" s="28" t="s">
        <v>3382</v>
      </c>
      <c r="H1443" s="28" t="s">
        <v>384</v>
      </c>
      <c r="I1443" s="28">
        <v>3</v>
      </c>
      <c r="J1443" s="30">
        <v>7.0999999999999994E-2</v>
      </c>
      <c r="K1443" s="28" t="s">
        <v>504</v>
      </c>
      <c r="L1443" s="31">
        <v>43922</v>
      </c>
      <c r="M1443" s="28">
        <v>4</v>
      </c>
      <c r="N1443" s="32" t="s">
        <v>191</v>
      </c>
      <c r="O1443" s="28" t="s">
        <v>204</v>
      </c>
      <c r="P1443" s="28" t="s">
        <v>3674</v>
      </c>
      <c r="Q1443" s="28" t="s">
        <v>2527</v>
      </c>
      <c r="R1443" s="28" t="s">
        <v>695</v>
      </c>
    </row>
    <row r="1444" spans="1:18" hidden="1">
      <c r="A1444" s="28">
        <v>4</v>
      </c>
      <c r="B1444" s="29" t="s">
        <v>306</v>
      </c>
      <c r="C1444" s="29" t="s">
        <v>339</v>
      </c>
      <c r="D1444" s="29" t="s">
        <v>340</v>
      </c>
      <c r="E1444" s="29" t="s">
        <v>172</v>
      </c>
      <c r="F1444" s="28" t="s">
        <v>3373</v>
      </c>
      <c r="G1444" s="28" t="s">
        <v>3379</v>
      </c>
      <c r="H1444" s="28" t="s">
        <v>384</v>
      </c>
      <c r="I1444" s="28">
        <v>3</v>
      </c>
      <c r="J1444" s="30">
        <v>7.0999999999999994E-2</v>
      </c>
      <c r="K1444" s="28" t="s">
        <v>415</v>
      </c>
      <c r="L1444" s="31">
        <v>43952</v>
      </c>
      <c r="M1444" s="28">
        <v>5</v>
      </c>
      <c r="N1444" s="32" t="s">
        <v>191</v>
      </c>
      <c r="O1444" s="28" t="s">
        <v>204</v>
      </c>
      <c r="P1444" s="28" t="s">
        <v>3675</v>
      </c>
      <c r="Q1444" s="28" t="s">
        <v>700</v>
      </c>
      <c r="R1444" s="28" t="s">
        <v>698</v>
      </c>
    </row>
    <row r="1445" spans="1:18" hidden="1">
      <c r="A1445" s="28">
        <v>4</v>
      </c>
      <c r="B1445" s="29" t="s">
        <v>306</v>
      </c>
      <c r="C1445" s="29" t="s">
        <v>339</v>
      </c>
      <c r="D1445" s="29" t="s">
        <v>340</v>
      </c>
      <c r="E1445" s="29" t="s">
        <v>172</v>
      </c>
      <c r="F1445" s="28" t="s">
        <v>3373</v>
      </c>
      <c r="G1445" s="28" t="s">
        <v>3379</v>
      </c>
      <c r="H1445" s="28" t="s">
        <v>384</v>
      </c>
      <c r="I1445" s="28">
        <v>3</v>
      </c>
      <c r="J1445" s="30">
        <v>7.0999999999999994E-2</v>
      </c>
      <c r="K1445" s="28" t="s">
        <v>415</v>
      </c>
      <c r="L1445" s="31">
        <v>43952</v>
      </c>
      <c r="M1445" s="28">
        <v>5</v>
      </c>
      <c r="N1445" s="32" t="s">
        <v>191</v>
      </c>
      <c r="O1445" s="28" t="s">
        <v>204</v>
      </c>
      <c r="P1445" s="28" t="s">
        <v>3676</v>
      </c>
      <c r="Q1445" s="28" t="s">
        <v>3546</v>
      </c>
      <c r="R1445" s="28" t="s">
        <v>3531</v>
      </c>
    </row>
    <row r="1446" spans="1:18" hidden="1">
      <c r="A1446" s="28">
        <v>4</v>
      </c>
      <c r="B1446" s="29" t="s">
        <v>306</v>
      </c>
      <c r="C1446" s="29" t="s">
        <v>339</v>
      </c>
      <c r="D1446" s="29" t="s">
        <v>340</v>
      </c>
      <c r="E1446" s="29" t="s">
        <v>172</v>
      </c>
      <c r="F1446" s="28" t="s">
        <v>3373</v>
      </c>
      <c r="G1446" s="28" t="s">
        <v>3382</v>
      </c>
      <c r="H1446" s="28" t="s">
        <v>384</v>
      </c>
      <c r="I1446" s="28">
        <v>3</v>
      </c>
      <c r="J1446" s="30">
        <v>7.0999999999999994E-2</v>
      </c>
      <c r="K1446" s="28" t="s">
        <v>183</v>
      </c>
      <c r="L1446" s="31">
        <v>43983</v>
      </c>
      <c r="M1446" s="28">
        <v>6</v>
      </c>
      <c r="N1446" s="32" t="s">
        <v>184</v>
      </c>
      <c r="O1446" s="28" t="s">
        <v>204</v>
      </c>
      <c r="P1446" s="28" t="s">
        <v>3677</v>
      </c>
      <c r="Q1446" s="28" t="s">
        <v>2527</v>
      </c>
      <c r="R1446" s="28" t="s">
        <v>695</v>
      </c>
    </row>
    <row r="1447" spans="1:18" hidden="1">
      <c r="A1447" s="28">
        <v>4</v>
      </c>
      <c r="B1447" s="29" t="s">
        <v>306</v>
      </c>
      <c r="C1447" s="29" t="s">
        <v>339</v>
      </c>
      <c r="D1447" s="29" t="s">
        <v>340</v>
      </c>
      <c r="E1447" s="29" t="s">
        <v>172</v>
      </c>
      <c r="F1447" s="28" t="s">
        <v>3373</v>
      </c>
      <c r="G1447" s="28" t="s">
        <v>3374</v>
      </c>
      <c r="H1447" s="28" t="s">
        <v>174</v>
      </c>
      <c r="I1447" s="28" t="s">
        <v>174</v>
      </c>
      <c r="J1447" s="30" t="s">
        <v>174</v>
      </c>
      <c r="K1447" s="28" t="s">
        <v>183</v>
      </c>
      <c r="L1447" s="31">
        <v>43983</v>
      </c>
      <c r="M1447" s="28">
        <v>6</v>
      </c>
      <c r="N1447" s="32" t="s">
        <v>184</v>
      </c>
      <c r="O1447" s="28" t="s">
        <v>204</v>
      </c>
      <c r="P1447" s="28" t="s">
        <v>3678</v>
      </c>
      <c r="Q1447" s="28" t="s">
        <v>2527</v>
      </c>
      <c r="R1447" s="28" t="s">
        <v>3610</v>
      </c>
    </row>
    <row r="1448" spans="1:18" hidden="1">
      <c r="A1448" s="28">
        <v>4</v>
      </c>
      <c r="B1448" s="29" t="s">
        <v>306</v>
      </c>
      <c r="C1448" s="29" t="s">
        <v>339</v>
      </c>
      <c r="D1448" s="29" t="s">
        <v>340</v>
      </c>
      <c r="E1448" s="29" t="s">
        <v>172</v>
      </c>
      <c r="F1448" s="28" t="s">
        <v>3373</v>
      </c>
      <c r="G1448" s="28" t="s">
        <v>3382</v>
      </c>
      <c r="H1448" s="28" t="s">
        <v>384</v>
      </c>
      <c r="I1448" s="28">
        <v>3</v>
      </c>
      <c r="J1448" s="30">
        <v>7.0999999999999994E-2</v>
      </c>
      <c r="K1448" s="28" t="s">
        <v>643</v>
      </c>
      <c r="L1448" s="31">
        <v>44013</v>
      </c>
      <c r="M1448" s="28">
        <v>7</v>
      </c>
      <c r="N1448" s="32" t="s">
        <v>184</v>
      </c>
      <c r="O1448" s="28" t="s">
        <v>204</v>
      </c>
      <c r="P1448" s="28" t="s">
        <v>3679</v>
      </c>
      <c r="Q1448" s="28" t="s">
        <v>2527</v>
      </c>
      <c r="R1448" s="28" t="s">
        <v>695</v>
      </c>
    </row>
    <row r="1449" spans="1:18" hidden="1">
      <c r="A1449" s="28">
        <v>4</v>
      </c>
      <c r="B1449" s="29" t="s">
        <v>306</v>
      </c>
      <c r="C1449" s="29" t="s">
        <v>339</v>
      </c>
      <c r="D1449" s="29" t="s">
        <v>340</v>
      </c>
      <c r="E1449" s="29" t="s">
        <v>172</v>
      </c>
      <c r="F1449" s="28" t="s">
        <v>3373</v>
      </c>
      <c r="G1449" s="28" t="s">
        <v>3374</v>
      </c>
      <c r="H1449" s="28" t="s">
        <v>174</v>
      </c>
      <c r="I1449" s="28" t="s">
        <v>174</v>
      </c>
      <c r="J1449" s="30" t="s">
        <v>174</v>
      </c>
      <c r="K1449" s="28" t="s">
        <v>643</v>
      </c>
      <c r="L1449" s="31">
        <v>44013</v>
      </c>
      <c r="M1449" s="28">
        <v>7</v>
      </c>
      <c r="N1449" s="32" t="s">
        <v>184</v>
      </c>
      <c r="O1449" s="28" t="s">
        <v>204</v>
      </c>
      <c r="P1449" s="28" t="s">
        <v>3680</v>
      </c>
      <c r="Q1449" s="28" t="s">
        <v>2527</v>
      </c>
      <c r="R1449" s="28" t="s">
        <v>3610</v>
      </c>
    </row>
    <row r="1450" spans="1:18" hidden="1">
      <c r="A1450" s="28">
        <v>4</v>
      </c>
      <c r="B1450" s="29" t="s">
        <v>306</v>
      </c>
      <c r="C1450" s="29" t="s">
        <v>339</v>
      </c>
      <c r="D1450" s="29" t="s">
        <v>340</v>
      </c>
      <c r="E1450" s="29" t="s">
        <v>172</v>
      </c>
      <c r="F1450" s="28" t="s">
        <v>3373</v>
      </c>
      <c r="G1450" s="28" t="s">
        <v>3379</v>
      </c>
      <c r="H1450" s="28" t="s">
        <v>384</v>
      </c>
      <c r="I1450" s="28">
        <v>3</v>
      </c>
      <c r="J1450" s="30">
        <v>7.0999999999999994E-2</v>
      </c>
      <c r="K1450" s="28" t="s">
        <v>218</v>
      </c>
      <c r="L1450" s="31">
        <v>44044</v>
      </c>
      <c r="M1450" s="28">
        <v>8</v>
      </c>
      <c r="N1450" s="32" t="s">
        <v>184</v>
      </c>
      <c r="O1450" s="28" t="s">
        <v>204</v>
      </c>
      <c r="P1450" s="28" t="s">
        <v>3681</v>
      </c>
      <c r="Q1450" s="28" t="s">
        <v>3584</v>
      </c>
      <c r="R1450" s="28" t="s">
        <v>3531</v>
      </c>
    </row>
    <row r="1451" spans="1:18" hidden="1">
      <c r="A1451" s="28">
        <v>4</v>
      </c>
      <c r="B1451" s="29" t="s">
        <v>306</v>
      </c>
      <c r="C1451" s="29" t="s">
        <v>339</v>
      </c>
      <c r="D1451" s="29" t="s">
        <v>340</v>
      </c>
      <c r="E1451" s="29" t="s">
        <v>172</v>
      </c>
      <c r="F1451" s="28" t="s">
        <v>3373</v>
      </c>
      <c r="G1451" s="28" t="s">
        <v>3379</v>
      </c>
      <c r="H1451" s="28" t="s">
        <v>384</v>
      </c>
      <c r="I1451" s="28">
        <v>3</v>
      </c>
      <c r="J1451" s="30">
        <v>7.0999999999999994E-2</v>
      </c>
      <c r="K1451" s="28" t="s">
        <v>218</v>
      </c>
      <c r="L1451" s="31">
        <v>44044</v>
      </c>
      <c r="M1451" s="28">
        <v>8</v>
      </c>
      <c r="N1451" s="32" t="s">
        <v>184</v>
      </c>
      <c r="O1451" s="28" t="s">
        <v>204</v>
      </c>
      <c r="P1451" s="28" t="s">
        <v>3682</v>
      </c>
      <c r="Q1451" s="28" t="s">
        <v>3546</v>
      </c>
      <c r="R1451" s="28" t="s">
        <v>3531</v>
      </c>
    </row>
    <row r="1452" spans="1:18" hidden="1">
      <c r="A1452" s="28">
        <v>4</v>
      </c>
      <c r="B1452" s="29" t="s">
        <v>306</v>
      </c>
      <c r="C1452" s="29" t="s">
        <v>339</v>
      </c>
      <c r="D1452" s="29" t="s">
        <v>340</v>
      </c>
      <c r="E1452" s="29" t="s">
        <v>172</v>
      </c>
      <c r="F1452" s="28" t="s">
        <v>3373</v>
      </c>
      <c r="G1452" s="28" t="s">
        <v>3382</v>
      </c>
      <c r="H1452" s="28" t="s">
        <v>384</v>
      </c>
      <c r="I1452" s="28">
        <v>3</v>
      </c>
      <c r="J1452" s="30">
        <v>7.0999999999999994E-2</v>
      </c>
      <c r="K1452" s="28" t="s">
        <v>218</v>
      </c>
      <c r="L1452" s="31">
        <v>44044</v>
      </c>
      <c r="M1452" s="28">
        <v>8</v>
      </c>
      <c r="N1452" s="32" t="s">
        <v>184</v>
      </c>
      <c r="O1452" s="28" t="s">
        <v>204</v>
      </c>
      <c r="P1452" s="28" t="s">
        <v>3683</v>
      </c>
      <c r="Q1452" s="28" t="s">
        <v>2527</v>
      </c>
      <c r="R1452" s="28" t="s">
        <v>695</v>
      </c>
    </row>
    <row r="1453" spans="1:18" hidden="1">
      <c r="A1453" s="28">
        <v>4</v>
      </c>
      <c r="B1453" s="29" t="s">
        <v>306</v>
      </c>
      <c r="C1453" s="29" t="s">
        <v>339</v>
      </c>
      <c r="D1453" s="29" t="s">
        <v>340</v>
      </c>
      <c r="E1453" s="29" t="s">
        <v>172</v>
      </c>
      <c r="F1453" s="28" t="s">
        <v>3373</v>
      </c>
      <c r="G1453" s="28" t="s">
        <v>3382</v>
      </c>
      <c r="H1453" s="28" t="s">
        <v>384</v>
      </c>
      <c r="I1453" s="28">
        <v>3</v>
      </c>
      <c r="J1453" s="30">
        <v>7.0999999999999994E-2</v>
      </c>
      <c r="K1453" s="28" t="s">
        <v>218</v>
      </c>
      <c r="L1453" s="31">
        <v>44044</v>
      </c>
      <c r="M1453" s="28">
        <v>8</v>
      </c>
      <c r="N1453" s="32" t="s">
        <v>184</v>
      </c>
      <c r="O1453" s="28" t="s">
        <v>204</v>
      </c>
      <c r="P1453" s="28" t="s">
        <v>3684</v>
      </c>
      <c r="Q1453" s="28" t="s">
        <v>2527</v>
      </c>
      <c r="R1453" s="28" t="s">
        <v>695</v>
      </c>
    </row>
    <row r="1454" spans="1:18" hidden="1">
      <c r="A1454" s="28">
        <v>4</v>
      </c>
      <c r="B1454" s="29" t="s">
        <v>306</v>
      </c>
      <c r="C1454" s="29" t="s">
        <v>339</v>
      </c>
      <c r="D1454" s="29" t="s">
        <v>340</v>
      </c>
      <c r="E1454" s="29" t="s">
        <v>172</v>
      </c>
      <c r="F1454" s="28" t="s">
        <v>3373</v>
      </c>
      <c r="G1454" s="28" t="s">
        <v>3379</v>
      </c>
      <c r="H1454" s="28" t="s">
        <v>384</v>
      </c>
      <c r="I1454" s="28">
        <v>3</v>
      </c>
      <c r="J1454" s="30">
        <v>7.0999999999999994E-2</v>
      </c>
      <c r="K1454" s="28" t="s">
        <v>218</v>
      </c>
      <c r="L1454" s="31">
        <v>44044</v>
      </c>
      <c r="M1454" s="28">
        <v>8</v>
      </c>
      <c r="N1454" s="32" t="s">
        <v>184</v>
      </c>
      <c r="O1454" s="28" t="s">
        <v>3685</v>
      </c>
      <c r="P1454" s="28" t="s">
        <v>3686</v>
      </c>
      <c r="Q1454" s="28" t="s">
        <v>3687</v>
      </c>
      <c r="R1454" s="28" t="s">
        <v>3688</v>
      </c>
    </row>
    <row r="1455" spans="1:18" hidden="1">
      <c r="A1455" s="28">
        <v>4</v>
      </c>
      <c r="B1455" s="29" t="s">
        <v>306</v>
      </c>
      <c r="C1455" s="29" t="s">
        <v>339</v>
      </c>
      <c r="D1455" s="29" t="s">
        <v>340</v>
      </c>
      <c r="E1455" s="29" t="s">
        <v>172</v>
      </c>
      <c r="F1455" s="28" t="s">
        <v>3373</v>
      </c>
      <c r="G1455" s="28" t="s">
        <v>3382</v>
      </c>
      <c r="H1455" s="28" t="s">
        <v>384</v>
      </c>
      <c r="I1455" s="28">
        <v>3</v>
      </c>
      <c r="J1455" s="30">
        <v>7.0999999999999994E-2</v>
      </c>
      <c r="K1455" s="28" t="s">
        <v>646</v>
      </c>
      <c r="L1455" s="31">
        <v>44075</v>
      </c>
      <c r="M1455" s="28">
        <v>9</v>
      </c>
      <c r="N1455" s="32" t="s">
        <v>191</v>
      </c>
      <c r="O1455" s="28" t="s">
        <v>204</v>
      </c>
      <c r="P1455" s="28" t="s">
        <v>3689</v>
      </c>
      <c r="Q1455" s="28" t="s">
        <v>3511</v>
      </c>
      <c r="R1455" s="28" t="s">
        <v>695</v>
      </c>
    </row>
    <row r="1456" spans="1:18" hidden="1">
      <c r="A1456" s="28">
        <v>4</v>
      </c>
      <c r="B1456" s="29" t="s">
        <v>306</v>
      </c>
      <c r="C1456" s="29" t="s">
        <v>339</v>
      </c>
      <c r="D1456" s="29" t="s">
        <v>340</v>
      </c>
      <c r="E1456" s="29" t="s">
        <v>172</v>
      </c>
      <c r="F1456" s="28" t="s">
        <v>3373</v>
      </c>
      <c r="G1456" s="28" t="s">
        <v>3382</v>
      </c>
      <c r="H1456" s="28" t="s">
        <v>384</v>
      </c>
      <c r="I1456" s="28">
        <v>3</v>
      </c>
      <c r="J1456" s="30">
        <v>7.0999999999999994E-2</v>
      </c>
      <c r="K1456" s="28" t="s">
        <v>646</v>
      </c>
      <c r="L1456" s="31">
        <v>44075</v>
      </c>
      <c r="M1456" s="28">
        <v>9</v>
      </c>
      <c r="N1456" s="32" t="s">
        <v>191</v>
      </c>
      <c r="O1456" s="28" t="s">
        <v>204</v>
      </c>
      <c r="P1456" s="28" t="s">
        <v>3690</v>
      </c>
      <c r="Q1456" s="28" t="s">
        <v>3511</v>
      </c>
      <c r="R1456" s="28" t="s">
        <v>695</v>
      </c>
    </row>
    <row r="1457" spans="1:18" hidden="1">
      <c r="A1457" s="28">
        <v>4</v>
      </c>
      <c r="B1457" s="29" t="s">
        <v>306</v>
      </c>
      <c r="C1457" s="29" t="s">
        <v>339</v>
      </c>
      <c r="D1457" s="29" t="s">
        <v>340</v>
      </c>
      <c r="E1457" s="29" t="s">
        <v>172</v>
      </c>
      <c r="F1457" s="28" t="s">
        <v>3373</v>
      </c>
      <c r="G1457" s="28" t="s">
        <v>3379</v>
      </c>
      <c r="H1457" s="28" t="s">
        <v>384</v>
      </c>
      <c r="I1457" s="28">
        <v>3</v>
      </c>
      <c r="J1457" s="30">
        <v>7.0999999999999994E-2</v>
      </c>
      <c r="K1457" s="28" t="s">
        <v>646</v>
      </c>
      <c r="L1457" s="31">
        <v>44075</v>
      </c>
      <c r="M1457" s="28">
        <v>9</v>
      </c>
      <c r="N1457" s="32" t="s">
        <v>191</v>
      </c>
      <c r="O1457" s="28" t="s">
        <v>204</v>
      </c>
      <c r="P1457" s="28" t="s">
        <v>3691</v>
      </c>
      <c r="Q1457" s="28" t="s">
        <v>3546</v>
      </c>
      <c r="R1457" s="28" t="s">
        <v>3531</v>
      </c>
    </row>
    <row r="1458" spans="1:18" hidden="1">
      <c r="A1458" s="28">
        <v>4</v>
      </c>
      <c r="B1458" s="29" t="s">
        <v>306</v>
      </c>
      <c r="C1458" s="29" t="s">
        <v>339</v>
      </c>
      <c r="D1458" s="29" t="s">
        <v>340</v>
      </c>
      <c r="E1458" s="29" t="s">
        <v>172</v>
      </c>
      <c r="F1458" s="28" t="s">
        <v>3373</v>
      </c>
      <c r="G1458" s="28" t="s">
        <v>3382</v>
      </c>
      <c r="H1458" s="28" t="s">
        <v>384</v>
      </c>
      <c r="I1458" s="28">
        <v>3</v>
      </c>
      <c r="J1458" s="30">
        <v>7.0999999999999994E-2</v>
      </c>
      <c r="K1458" s="28" t="s">
        <v>646</v>
      </c>
      <c r="L1458" s="31">
        <v>44075</v>
      </c>
      <c r="M1458" s="28">
        <v>9</v>
      </c>
      <c r="N1458" s="32" t="s">
        <v>191</v>
      </c>
      <c r="O1458" s="28" t="s">
        <v>204</v>
      </c>
      <c r="P1458" s="28" t="s">
        <v>3692</v>
      </c>
      <c r="Q1458" s="28" t="s">
        <v>2527</v>
      </c>
      <c r="R1458" s="28" t="s">
        <v>695</v>
      </c>
    </row>
    <row r="1459" spans="1:18" hidden="1">
      <c r="A1459" s="28">
        <v>4</v>
      </c>
      <c r="B1459" s="29" t="s">
        <v>306</v>
      </c>
      <c r="C1459" s="29" t="s">
        <v>339</v>
      </c>
      <c r="D1459" s="29" t="s">
        <v>340</v>
      </c>
      <c r="E1459" s="29" t="s">
        <v>172</v>
      </c>
      <c r="F1459" s="28" t="s">
        <v>3373</v>
      </c>
      <c r="G1459" s="28" t="s">
        <v>3382</v>
      </c>
      <c r="H1459" s="28" t="s">
        <v>384</v>
      </c>
      <c r="I1459" s="28">
        <v>3</v>
      </c>
      <c r="J1459" s="30">
        <v>7.0999999999999994E-2</v>
      </c>
      <c r="K1459" s="28" t="s">
        <v>646</v>
      </c>
      <c r="L1459" s="31">
        <v>44075</v>
      </c>
      <c r="M1459" s="28">
        <v>9</v>
      </c>
      <c r="N1459" s="32" t="s">
        <v>191</v>
      </c>
      <c r="O1459" s="28" t="s">
        <v>204</v>
      </c>
      <c r="P1459" s="28" t="s">
        <v>3693</v>
      </c>
      <c r="Q1459" s="28" t="s">
        <v>2527</v>
      </c>
      <c r="R1459" s="28" t="s">
        <v>695</v>
      </c>
    </row>
    <row r="1460" spans="1:18" hidden="1">
      <c r="A1460" s="28">
        <v>4</v>
      </c>
      <c r="B1460" s="29" t="s">
        <v>306</v>
      </c>
      <c r="C1460" s="29" t="s">
        <v>339</v>
      </c>
      <c r="D1460" s="29" t="s">
        <v>340</v>
      </c>
      <c r="E1460" s="29" t="s">
        <v>172</v>
      </c>
      <c r="F1460" s="28" t="s">
        <v>3373</v>
      </c>
      <c r="G1460" s="28" t="s">
        <v>3379</v>
      </c>
      <c r="H1460" s="28" t="s">
        <v>384</v>
      </c>
      <c r="I1460" s="28">
        <v>3</v>
      </c>
      <c r="J1460" s="30">
        <v>7.0999999999999994E-2</v>
      </c>
      <c r="K1460" s="28" t="s">
        <v>430</v>
      </c>
      <c r="L1460" s="31">
        <v>44105</v>
      </c>
      <c r="M1460" s="28">
        <v>10</v>
      </c>
      <c r="N1460" s="32" t="s">
        <v>191</v>
      </c>
      <c r="O1460" s="28" t="s">
        <v>204</v>
      </c>
      <c r="P1460" s="28" t="s">
        <v>3694</v>
      </c>
      <c r="Q1460" s="28" t="s">
        <v>3695</v>
      </c>
      <c r="R1460" s="28" t="s">
        <v>3696</v>
      </c>
    </row>
    <row r="1461" spans="1:18" hidden="1">
      <c r="A1461" s="28">
        <v>4</v>
      </c>
      <c r="B1461" s="29" t="s">
        <v>306</v>
      </c>
      <c r="C1461" s="29" t="s">
        <v>339</v>
      </c>
      <c r="D1461" s="29" t="s">
        <v>340</v>
      </c>
      <c r="E1461" s="29" t="s">
        <v>172</v>
      </c>
      <c r="F1461" s="28" t="s">
        <v>3373</v>
      </c>
      <c r="G1461" s="28" t="s">
        <v>3382</v>
      </c>
      <c r="H1461" s="28" t="s">
        <v>384</v>
      </c>
      <c r="I1461" s="28">
        <v>3</v>
      </c>
      <c r="J1461" s="30">
        <v>7.0999999999999994E-2</v>
      </c>
      <c r="K1461" s="28" t="s">
        <v>823</v>
      </c>
      <c r="L1461" s="31">
        <v>44136</v>
      </c>
      <c r="M1461" s="28">
        <v>11</v>
      </c>
      <c r="N1461" s="32" t="s">
        <v>191</v>
      </c>
      <c r="O1461" s="28" t="s">
        <v>204</v>
      </c>
      <c r="P1461" s="28" t="s">
        <v>3697</v>
      </c>
      <c r="Q1461" s="28" t="s">
        <v>3511</v>
      </c>
      <c r="R1461" s="28" t="s">
        <v>695</v>
      </c>
    </row>
    <row r="1462" spans="1:18" hidden="1">
      <c r="A1462" s="28">
        <v>4</v>
      </c>
      <c r="B1462" s="29" t="s">
        <v>306</v>
      </c>
      <c r="C1462" s="29" t="s">
        <v>339</v>
      </c>
      <c r="D1462" s="29" t="s">
        <v>340</v>
      </c>
      <c r="E1462" s="29" t="s">
        <v>172</v>
      </c>
      <c r="F1462" s="28" t="s">
        <v>3373</v>
      </c>
      <c r="G1462" s="28" t="s">
        <v>3374</v>
      </c>
      <c r="H1462" s="28" t="s">
        <v>174</v>
      </c>
      <c r="I1462" s="28" t="s">
        <v>174</v>
      </c>
      <c r="J1462" s="30" t="s">
        <v>174</v>
      </c>
      <c r="K1462" s="28" t="s">
        <v>823</v>
      </c>
      <c r="L1462" s="31">
        <v>44136</v>
      </c>
      <c r="M1462" s="28">
        <v>11</v>
      </c>
      <c r="N1462" s="32" t="s">
        <v>191</v>
      </c>
      <c r="O1462" s="28" t="s">
        <v>204</v>
      </c>
      <c r="P1462" s="28" t="s">
        <v>3698</v>
      </c>
      <c r="Q1462" s="28" t="s">
        <v>3546</v>
      </c>
      <c r="R1462" s="28" t="s">
        <v>3548</v>
      </c>
    </row>
    <row r="1463" spans="1:18" hidden="1">
      <c r="A1463" s="28">
        <v>4</v>
      </c>
      <c r="B1463" s="29" t="s">
        <v>306</v>
      </c>
      <c r="C1463" s="29" t="s">
        <v>339</v>
      </c>
      <c r="D1463" s="29" t="s">
        <v>340</v>
      </c>
      <c r="E1463" s="29" t="s">
        <v>172</v>
      </c>
      <c r="F1463" s="28" t="s">
        <v>3373</v>
      </c>
      <c r="G1463" s="28" t="s">
        <v>3382</v>
      </c>
      <c r="H1463" s="28" t="s">
        <v>384</v>
      </c>
      <c r="I1463" s="28">
        <v>3</v>
      </c>
      <c r="J1463" s="30">
        <v>7.0999999999999994E-2</v>
      </c>
      <c r="K1463" s="28" t="s">
        <v>823</v>
      </c>
      <c r="L1463" s="31">
        <v>44136</v>
      </c>
      <c r="M1463" s="28">
        <v>11</v>
      </c>
      <c r="N1463" s="32" t="s">
        <v>191</v>
      </c>
      <c r="O1463" s="28" t="s">
        <v>204</v>
      </c>
      <c r="P1463" s="28" t="s">
        <v>3699</v>
      </c>
      <c r="Q1463" s="28" t="s">
        <v>2527</v>
      </c>
      <c r="R1463" s="28" t="s">
        <v>695</v>
      </c>
    </row>
    <row r="1464" spans="1:18" hidden="1">
      <c r="A1464" s="28">
        <v>4</v>
      </c>
      <c r="B1464" s="29" t="s">
        <v>306</v>
      </c>
      <c r="C1464" s="29" t="s">
        <v>339</v>
      </c>
      <c r="D1464" s="29" t="s">
        <v>340</v>
      </c>
      <c r="E1464" s="29" t="s">
        <v>172</v>
      </c>
      <c r="F1464" s="28" t="s">
        <v>3373</v>
      </c>
      <c r="G1464" s="28" t="s">
        <v>3390</v>
      </c>
      <c r="H1464" s="28" t="s">
        <v>174</v>
      </c>
      <c r="I1464" s="28" t="s">
        <v>174</v>
      </c>
      <c r="J1464" s="30" t="s">
        <v>174</v>
      </c>
      <c r="K1464" s="28" t="s">
        <v>823</v>
      </c>
      <c r="L1464" s="31">
        <v>44136</v>
      </c>
      <c r="M1464" s="28">
        <v>11</v>
      </c>
      <c r="N1464" s="32" t="s">
        <v>191</v>
      </c>
      <c r="O1464" s="28" t="s">
        <v>204</v>
      </c>
      <c r="P1464" s="28" t="s">
        <v>3700</v>
      </c>
      <c r="Q1464" s="28" t="s">
        <v>2527</v>
      </c>
      <c r="R1464" s="28" t="s">
        <v>3576</v>
      </c>
    </row>
    <row r="1465" spans="1:18" hidden="1">
      <c r="A1465" s="28">
        <v>4</v>
      </c>
      <c r="B1465" s="29" t="s">
        <v>306</v>
      </c>
      <c r="C1465" s="29" t="s">
        <v>339</v>
      </c>
      <c r="D1465" s="29" t="s">
        <v>340</v>
      </c>
      <c r="E1465" s="29" t="s">
        <v>172</v>
      </c>
      <c r="F1465" s="28" t="s">
        <v>3373</v>
      </c>
      <c r="G1465" s="28" t="s">
        <v>3374</v>
      </c>
      <c r="H1465" s="28" t="s">
        <v>174</v>
      </c>
      <c r="I1465" s="28" t="s">
        <v>174</v>
      </c>
      <c r="J1465" s="30" t="s">
        <v>174</v>
      </c>
      <c r="K1465" s="28" t="s">
        <v>823</v>
      </c>
      <c r="L1465" s="31">
        <v>44136</v>
      </c>
      <c r="M1465" s="28">
        <v>11</v>
      </c>
      <c r="N1465" s="32" t="s">
        <v>191</v>
      </c>
      <c r="O1465" s="28" t="s">
        <v>204</v>
      </c>
      <c r="P1465" s="28" t="s">
        <v>3701</v>
      </c>
      <c r="Q1465" s="28" t="s">
        <v>2527</v>
      </c>
      <c r="R1465" s="28" t="s">
        <v>3610</v>
      </c>
    </row>
    <row r="1466" spans="1:18" hidden="1">
      <c r="A1466" s="28">
        <v>4</v>
      </c>
      <c r="B1466" s="29" t="s">
        <v>306</v>
      </c>
      <c r="C1466" s="29" t="s">
        <v>339</v>
      </c>
      <c r="D1466" s="29" t="s">
        <v>340</v>
      </c>
      <c r="E1466" s="29" t="s">
        <v>172</v>
      </c>
      <c r="F1466" s="28" t="s">
        <v>3373</v>
      </c>
      <c r="G1466" s="28" t="s">
        <v>3374</v>
      </c>
      <c r="H1466" s="28" t="s">
        <v>174</v>
      </c>
      <c r="I1466" s="28" t="s">
        <v>174</v>
      </c>
      <c r="J1466" s="30" t="s">
        <v>174</v>
      </c>
      <c r="K1466" s="28" t="s">
        <v>823</v>
      </c>
      <c r="L1466" s="31">
        <v>44136</v>
      </c>
      <c r="M1466" s="28">
        <v>11</v>
      </c>
      <c r="N1466" s="32" t="s">
        <v>191</v>
      </c>
      <c r="O1466" s="28" t="s">
        <v>204</v>
      </c>
      <c r="P1466" s="28" t="s">
        <v>3702</v>
      </c>
      <c r="Q1466" s="28" t="s">
        <v>2527</v>
      </c>
      <c r="R1466" s="28" t="s">
        <v>3610</v>
      </c>
    </row>
    <row r="1467" spans="1:18" hidden="1">
      <c r="A1467" s="28">
        <v>4</v>
      </c>
      <c r="B1467" s="29" t="s">
        <v>306</v>
      </c>
      <c r="C1467" s="29" t="s">
        <v>339</v>
      </c>
      <c r="D1467" s="29" t="s">
        <v>340</v>
      </c>
      <c r="E1467" s="29" t="s">
        <v>172</v>
      </c>
      <c r="F1467" s="28" t="s">
        <v>3373</v>
      </c>
      <c r="G1467" s="28" t="s">
        <v>3382</v>
      </c>
      <c r="H1467" s="28" t="s">
        <v>384</v>
      </c>
      <c r="I1467" s="28">
        <v>3</v>
      </c>
      <c r="J1467" s="30">
        <v>7.0999999999999994E-2</v>
      </c>
      <c r="K1467" s="28" t="s">
        <v>341</v>
      </c>
      <c r="L1467" s="31">
        <v>44228</v>
      </c>
      <c r="M1467" s="28">
        <v>2</v>
      </c>
      <c r="N1467" s="32" t="s">
        <v>176</v>
      </c>
      <c r="O1467" s="28" t="s">
        <v>204</v>
      </c>
      <c r="P1467" s="28" t="s">
        <v>3703</v>
      </c>
      <c r="Q1467" s="28" t="s">
        <v>2527</v>
      </c>
      <c r="R1467" s="28" t="s">
        <v>695</v>
      </c>
    </row>
    <row r="1468" spans="1:18" hidden="1">
      <c r="A1468" s="28">
        <v>4</v>
      </c>
      <c r="B1468" s="29" t="s">
        <v>306</v>
      </c>
      <c r="C1468" s="29" t="s">
        <v>339</v>
      </c>
      <c r="D1468" s="29" t="s">
        <v>340</v>
      </c>
      <c r="E1468" s="29" t="s">
        <v>172</v>
      </c>
      <c r="F1468" s="28" t="s">
        <v>3373</v>
      </c>
      <c r="G1468" s="28" t="s">
        <v>3382</v>
      </c>
      <c r="H1468" s="28" t="s">
        <v>384</v>
      </c>
      <c r="I1468" s="28">
        <v>3</v>
      </c>
      <c r="J1468" s="30">
        <v>7.0999999999999994E-2</v>
      </c>
      <c r="K1468" s="28" t="s">
        <v>522</v>
      </c>
      <c r="L1468" s="31">
        <v>44256</v>
      </c>
      <c r="M1468" s="28">
        <v>3</v>
      </c>
      <c r="N1468" s="32" t="s">
        <v>191</v>
      </c>
      <c r="O1468" s="28" t="s">
        <v>204</v>
      </c>
      <c r="P1468" s="28" t="s">
        <v>3704</v>
      </c>
      <c r="Q1468" s="28" t="s">
        <v>2527</v>
      </c>
      <c r="R1468" s="28" t="s">
        <v>695</v>
      </c>
    </row>
    <row r="1469" spans="1:18" hidden="1">
      <c r="A1469" s="28">
        <v>4</v>
      </c>
      <c r="B1469" s="29" t="s">
        <v>306</v>
      </c>
      <c r="C1469" s="29" t="s">
        <v>339</v>
      </c>
      <c r="D1469" s="29" t="s">
        <v>340</v>
      </c>
      <c r="E1469" s="29" t="s">
        <v>172</v>
      </c>
      <c r="F1469" s="28" t="s">
        <v>3373</v>
      </c>
      <c r="G1469" s="28" t="s">
        <v>3382</v>
      </c>
      <c r="H1469" s="28" t="s">
        <v>384</v>
      </c>
      <c r="I1469" s="28">
        <v>3</v>
      </c>
      <c r="J1469" s="30">
        <v>7.0999999999999994E-2</v>
      </c>
      <c r="K1469" s="28" t="s">
        <v>190</v>
      </c>
      <c r="L1469" s="31">
        <v>44287</v>
      </c>
      <c r="M1469" s="28">
        <v>4</v>
      </c>
      <c r="N1469" s="32" t="s">
        <v>191</v>
      </c>
      <c r="O1469" s="28" t="s">
        <v>204</v>
      </c>
      <c r="P1469" s="28" t="s">
        <v>3705</v>
      </c>
      <c r="Q1469" s="28" t="s">
        <v>2527</v>
      </c>
      <c r="R1469" s="28" t="s">
        <v>695</v>
      </c>
    </row>
    <row r="1470" spans="1:18" hidden="1">
      <c r="A1470" s="28">
        <v>4</v>
      </c>
      <c r="B1470" s="29" t="s">
        <v>306</v>
      </c>
      <c r="C1470" s="29" t="s">
        <v>339</v>
      </c>
      <c r="D1470" s="29" t="s">
        <v>340</v>
      </c>
      <c r="E1470" s="29" t="s">
        <v>172</v>
      </c>
      <c r="F1470" s="28" t="s">
        <v>3373</v>
      </c>
      <c r="G1470" s="28" t="s">
        <v>3382</v>
      </c>
      <c r="H1470" s="28" t="s">
        <v>384</v>
      </c>
      <c r="I1470" s="28">
        <v>3</v>
      </c>
      <c r="J1470" s="30">
        <v>7.0999999999999994E-2</v>
      </c>
      <c r="K1470" s="28" t="s">
        <v>554</v>
      </c>
      <c r="L1470" s="31">
        <v>44317</v>
      </c>
      <c r="M1470" s="28">
        <v>5</v>
      </c>
      <c r="N1470" s="32" t="s">
        <v>191</v>
      </c>
      <c r="O1470" s="28" t="s">
        <v>204</v>
      </c>
      <c r="P1470" s="28" t="s">
        <v>3706</v>
      </c>
      <c r="Q1470" s="28" t="s">
        <v>3511</v>
      </c>
      <c r="R1470" s="28" t="s">
        <v>695</v>
      </c>
    </row>
    <row r="1471" spans="1:18" hidden="1">
      <c r="A1471" s="28">
        <v>4</v>
      </c>
      <c r="B1471" s="29" t="s">
        <v>306</v>
      </c>
      <c r="C1471" s="29" t="s">
        <v>339</v>
      </c>
      <c r="D1471" s="29" t="s">
        <v>340</v>
      </c>
      <c r="E1471" s="29" t="s">
        <v>172</v>
      </c>
      <c r="F1471" s="28" t="s">
        <v>3373</v>
      </c>
      <c r="G1471" s="28" t="s">
        <v>3382</v>
      </c>
      <c r="H1471" s="28" t="s">
        <v>384</v>
      </c>
      <c r="I1471" s="28">
        <v>3</v>
      </c>
      <c r="J1471" s="30">
        <v>7.0999999999999994E-2</v>
      </c>
      <c r="K1471" s="28" t="s">
        <v>962</v>
      </c>
      <c r="L1471" s="31">
        <v>44348</v>
      </c>
      <c r="M1471" s="28">
        <v>6</v>
      </c>
      <c r="N1471" s="32" t="s">
        <v>184</v>
      </c>
      <c r="O1471" s="28" t="s">
        <v>204</v>
      </c>
      <c r="P1471" s="28" t="s">
        <v>3707</v>
      </c>
      <c r="Q1471" s="28" t="s">
        <v>3511</v>
      </c>
      <c r="R1471" s="28" t="s">
        <v>695</v>
      </c>
    </row>
    <row r="1472" spans="1:18" hidden="1">
      <c r="A1472" s="28">
        <v>4</v>
      </c>
      <c r="B1472" s="29" t="s">
        <v>306</v>
      </c>
      <c r="C1472" s="29" t="s">
        <v>339</v>
      </c>
      <c r="D1472" s="29" t="s">
        <v>340</v>
      </c>
      <c r="E1472" s="29" t="s">
        <v>172</v>
      </c>
      <c r="F1472" s="28" t="s">
        <v>3373</v>
      </c>
      <c r="G1472" s="28" t="s">
        <v>3379</v>
      </c>
      <c r="H1472" s="28" t="s">
        <v>384</v>
      </c>
      <c r="I1472" s="28">
        <v>3</v>
      </c>
      <c r="J1472" s="30">
        <v>7.0999999999999994E-2</v>
      </c>
      <c r="K1472" s="28" t="s">
        <v>962</v>
      </c>
      <c r="L1472" s="31">
        <v>44348</v>
      </c>
      <c r="M1472" s="28">
        <v>6</v>
      </c>
      <c r="N1472" s="32" t="s">
        <v>184</v>
      </c>
      <c r="O1472" s="28" t="s">
        <v>204</v>
      </c>
      <c r="P1472" s="28" t="s">
        <v>3708</v>
      </c>
      <c r="Q1472" s="28" t="s">
        <v>3546</v>
      </c>
      <c r="R1472" s="28" t="s">
        <v>3531</v>
      </c>
    </row>
    <row r="1473" spans="1:18" hidden="1">
      <c r="A1473" s="28">
        <v>4</v>
      </c>
      <c r="B1473" s="29" t="s">
        <v>306</v>
      </c>
      <c r="C1473" s="29" t="s">
        <v>339</v>
      </c>
      <c r="D1473" s="29" t="s">
        <v>340</v>
      </c>
      <c r="E1473" s="29" t="s">
        <v>172</v>
      </c>
      <c r="F1473" s="28" t="s">
        <v>3373</v>
      </c>
      <c r="G1473" s="28" t="s">
        <v>3382</v>
      </c>
      <c r="H1473" s="28" t="s">
        <v>384</v>
      </c>
      <c r="I1473" s="28">
        <v>3</v>
      </c>
      <c r="J1473" s="30">
        <v>7.0999999999999994E-2</v>
      </c>
      <c r="K1473" s="28" t="s">
        <v>297</v>
      </c>
      <c r="L1473" s="31">
        <v>44409</v>
      </c>
      <c r="M1473" s="28">
        <v>8</v>
      </c>
      <c r="N1473" s="32" t="s">
        <v>184</v>
      </c>
      <c r="O1473" s="28" t="s">
        <v>204</v>
      </c>
      <c r="P1473" s="28" t="s">
        <v>3709</v>
      </c>
      <c r="Q1473" s="28" t="s">
        <v>3511</v>
      </c>
      <c r="R1473" s="28" t="s">
        <v>695</v>
      </c>
    </row>
    <row r="1474" spans="1:18" hidden="1">
      <c r="A1474" s="28">
        <v>4</v>
      </c>
      <c r="B1474" s="29" t="s">
        <v>306</v>
      </c>
      <c r="C1474" s="29" t="s">
        <v>339</v>
      </c>
      <c r="D1474" s="29" t="s">
        <v>340</v>
      </c>
      <c r="E1474" s="29" t="s">
        <v>172</v>
      </c>
      <c r="F1474" s="28" t="s">
        <v>3373</v>
      </c>
      <c r="G1474" s="28" t="s">
        <v>3379</v>
      </c>
      <c r="H1474" s="28" t="s">
        <v>384</v>
      </c>
      <c r="I1474" s="28">
        <v>3</v>
      </c>
      <c r="J1474" s="30">
        <v>7.0999999999999994E-2</v>
      </c>
      <c r="K1474" s="28" t="s">
        <v>345</v>
      </c>
      <c r="L1474" s="31">
        <v>44440</v>
      </c>
      <c r="M1474" s="28">
        <v>9</v>
      </c>
      <c r="N1474" s="32" t="s">
        <v>191</v>
      </c>
      <c r="O1474" s="28" t="s">
        <v>204</v>
      </c>
      <c r="P1474" s="28" t="s">
        <v>3710</v>
      </c>
      <c r="Q1474" s="28" t="s">
        <v>3584</v>
      </c>
      <c r="R1474" s="28" t="s">
        <v>3531</v>
      </c>
    </row>
    <row r="1475" spans="1:18" hidden="1">
      <c r="A1475" s="28">
        <v>4</v>
      </c>
      <c r="B1475" s="29" t="s">
        <v>306</v>
      </c>
      <c r="C1475" s="29" t="s">
        <v>339</v>
      </c>
      <c r="D1475" s="29" t="s">
        <v>340</v>
      </c>
      <c r="E1475" s="29" t="s">
        <v>172</v>
      </c>
      <c r="F1475" s="28" t="s">
        <v>3373</v>
      </c>
      <c r="G1475" s="28" t="s">
        <v>3382</v>
      </c>
      <c r="H1475" s="28" t="s">
        <v>384</v>
      </c>
      <c r="I1475" s="28">
        <v>3</v>
      </c>
      <c r="J1475" s="30">
        <v>7.0999999999999994E-2</v>
      </c>
      <c r="K1475" s="28" t="s">
        <v>345</v>
      </c>
      <c r="L1475" s="31">
        <v>44440</v>
      </c>
      <c r="M1475" s="28">
        <v>9</v>
      </c>
      <c r="N1475" s="32" t="s">
        <v>191</v>
      </c>
      <c r="O1475" s="28" t="s">
        <v>204</v>
      </c>
      <c r="P1475" s="28" t="s">
        <v>3711</v>
      </c>
      <c r="Q1475" s="28" t="s">
        <v>2527</v>
      </c>
      <c r="R1475" s="28" t="s">
        <v>695</v>
      </c>
    </row>
    <row r="1476" spans="1:18" hidden="1">
      <c r="A1476" s="28">
        <v>4</v>
      </c>
      <c r="B1476" s="29" t="s">
        <v>306</v>
      </c>
      <c r="C1476" s="29" t="s">
        <v>339</v>
      </c>
      <c r="D1476" s="29" t="s">
        <v>340</v>
      </c>
      <c r="E1476" s="29" t="s">
        <v>172</v>
      </c>
      <c r="F1476" s="28" t="s">
        <v>3373</v>
      </c>
      <c r="G1476" s="28" t="s">
        <v>3382</v>
      </c>
      <c r="H1476" s="28" t="s">
        <v>384</v>
      </c>
      <c r="I1476" s="28">
        <v>3</v>
      </c>
      <c r="J1476" s="30">
        <v>7.0999999999999994E-2</v>
      </c>
      <c r="K1476" s="28" t="s">
        <v>712</v>
      </c>
      <c r="L1476" s="31">
        <v>44470</v>
      </c>
      <c r="M1476" s="28">
        <v>10</v>
      </c>
      <c r="N1476" s="32" t="s">
        <v>191</v>
      </c>
      <c r="O1476" s="28" t="s">
        <v>204</v>
      </c>
      <c r="P1476" s="28" t="s">
        <v>3712</v>
      </c>
      <c r="Q1476" s="28" t="s">
        <v>3511</v>
      </c>
      <c r="R1476" s="28" t="s">
        <v>695</v>
      </c>
    </row>
    <row r="1477" spans="1:18" hidden="1">
      <c r="A1477" s="28">
        <v>4</v>
      </c>
      <c r="B1477" s="29" t="s">
        <v>306</v>
      </c>
      <c r="C1477" s="29" t="s">
        <v>339</v>
      </c>
      <c r="D1477" s="29" t="s">
        <v>340</v>
      </c>
      <c r="E1477" s="29" t="s">
        <v>172</v>
      </c>
      <c r="F1477" s="28" t="s">
        <v>3373</v>
      </c>
      <c r="G1477" s="28" t="s">
        <v>3379</v>
      </c>
      <c r="H1477" s="28" t="s">
        <v>384</v>
      </c>
      <c r="I1477" s="28">
        <v>3</v>
      </c>
      <c r="J1477" s="30">
        <v>7.0999999999999994E-2</v>
      </c>
      <c r="K1477" s="28" t="s">
        <v>712</v>
      </c>
      <c r="L1477" s="31">
        <v>44470</v>
      </c>
      <c r="M1477" s="28">
        <v>10</v>
      </c>
      <c r="N1477" s="32" t="s">
        <v>191</v>
      </c>
      <c r="O1477" s="28" t="s">
        <v>204</v>
      </c>
      <c r="P1477" s="28" t="s">
        <v>3713</v>
      </c>
      <c r="Q1477" s="28" t="s">
        <v>2527</v>
      </c>
      <c r="R1477" s="28" t="s">
        <v>695</v>
      </c>
    </row>
    <row r="1478" spans="1:18" hidden="1">
      <c r="A1478" s="28">
        <v>4</v>
      </c>
      <c r="B1478" s="29" t="s">
        <v>306</v>
      </c>
      <c r="C1478" s="29" t="s">
        <v>339</v>
      </c>
      <c r="D1478" s="29" t="s">
        <v>340</v>
      </c>
      <c r="E1478" s="29" t="s">
        <v>172</v>
      </c>
      <c r="F1478" s="28" t="s">
        <v>3373</v>
      </c>
      <c r="G1478" s="28" t="s">
        <v>3382</v>
      </c>
      <c r="H1478" s="28" t="s">
        <v>384</v>
      </c>
      <c r="I1478" s="28">
        <v>3</v>
      </c>
      <c r="J1478" s="30">
        <v>7.0999999999999994E-2</v>
      </c>
      <c r="K1478" s="28" t="s">
        <v>2131</v>
      </c>
      <c r="L1478" s="31">
        <v>44531</v>
      </c>
      <c r="M1478" s="28">
        <v>12</v>
      </c>
      <c r="N1478" s="32" t="s">
        <v>176</v>
      </c>
      <c r="O1478" s="28" t="s">
        <v>204</v>
      </c>
      <c r="P1478" s="28" t="s">
        <v>3714</v>
      </c>
      <c r="Q1478" s="28" t="s">
        <v>3511</v>
      </c>
      <c r="R1478" s="28" t="s">
        <v>695</v>
      </c>
    </row>
    <row r="1479" spans="1:18" hidden="1">
      <c r="A1479" s="28">
        <v>4</v>
      </c>
      <c r="B1479" s="29" t="s">
        <v>306</v>
      </c>
      <c r="C1479" s="29" t="s">
        <v>339</v>
      </c>
      <c r="D1479" s="29" t="s">
        <v>340</v>
      </c>
      <c r="E1479" s="29" t="s">
        <v>172</v>
      </c>
      <c r="F1479" s="28" t="s">
        <v>3373</v>
      </c>
      <c r="G1479" s="28" t="s">
        <v>3379</v>
      </c>
      <c r="H1479" s="28" t="s">
        <v>384</v>
      </c>
      <c r="I1479" s="28">
        <v>3</v>
      </c>
      <c r="J1479" s="30">
        <v>7.0999999999999994E-2</v>
      </c>
      <c r="K1479" s="28" t="s">
        <v>2131</v>
      </c>
      <c r="L1479" s="31">
        <v>44531</v>
      </c>
      <c r="M1479" s="28">
        <v>12</v>
      </c>
      <c r="N1479" s="32" t="s">
        <v>176</v>
      </c>
      <c r="O1479" s="28" t="s">
        <v>204</v>
      </c>
      <c r="P1479" s="28" t="s">
        <v>3715</v>
      </c>
      <c r="Q1479" s="28" t="s">
        <v>2527</v>
      </c>
      <c r="R1479" s="28" t="s">
        <v>695</v>
      </c>
    </row>
    <row r="1480" spans="1:18" hidden="1">
      <c r="A1480" s="28">
        <v>4</v>
      </c>
      <c r="B1480" s="29" t="s">
        <v>306</v>
      </c>
      <c r="C1480" s="29" t="s">
        <v>339</v>
      </c>
      <c r="D1480" s="29" t="s">
        <v>340</v>
      </c>
      <c r="E1480" s="29" t="s">
        <v>172</v>
      </c>
      <c r="F1480" s="28" t="s">
        <v>3373</v>
      </c>
      <c r="G1480" s="28" t="s">
        <v>3382</v>
      </c>
      <c r="H1480" s="28" t="s">
        <v>384</v>
      </c>
      <c r="I1480" s="28">
        <v>3</v>
      </c>
      <c r="J1480" s="30">
        <v>7.0999999999999994E-2</v>
      </c>
      <c r="K1480" s="28" t="s">
        <v>3716</v>
      </c>
      <c r="L1480" s="31" t="s">
        <v>221</v>
      </c>
      <c r="M1480" s="28" t="e">
        <v>#VALUE!</v>
      </c>
      <c r="N1480" s="32" t="e">
        <v>#VALUE!</v>
      </c>
      <c r="O1480" s="28" t="s">
        <v>204</v>
      </c>
      <c r="P1480" s="28" t="s">
        <v>3717</v>
      </c>
      <c r="Q1480" s="28" t="s">
        <v>2527</v>
      </c>
      <c r="R1480" s="28" t="s">
        <v>695</v>
      </c>
    </row>
    <row r="1481" spans="1:18" hidden="1">
      <c r="A1481" s="28">
        <v>5</v>
      </c>
      <c r="B1481" s="29" t="s">
        <v>349</v>
      </c>
      <c r="C1481" s="29" t="s">
        <v>350</v>
      </c>
      <c r="D1481" s="29" t="s">
        <v>714</v>
      </c>
      <c r="E1481" s="29" t="s">
        <v>172</v>
      </c>
      <c r="F1481" s="28" t="s">
        <v>3373</v>
      </c>
      <c r="G1481" s="28" t="s">
        <v>3379</v>
      </c>
      <c r="H1481" s="28" t="s">
        <v>384</v>
      </c>
      <c r="I1481" s="28">
        <v>3</v>
      </c>
      <c r="J1481" s="30">
        <v>7.0999999999999994E-2</v>
      </c>
      <c r="K1481" s="28" t="s">
        <v>271</v>
      </c>
      <c r="L1481" s="31">
        <v>42856</v>
      </c>
      <c r="M1481" s="28">
        <v>5</v>
      </c>
      <c r="N1481" s="32" t="s">
        <v>191</v>
      </c>
      <c r="O1481" s="28" t="s">
        <v>204</v>
      </c>
      <c r="P1481" s="28" t="s">
        <v>3718</v>
      </c>
      <c r="Q1481" s="28" t="s">
        <v>3719</v>
      </c>
      <c r="R1481" s="28" t="s">
        <v>3720</v>
      </c>
    </row>
    <row r="1482" spans="1:18" hidden="1">
      <c r="A1482" s="28">
        <v>5</v>
      </c>
      <c r="B1482" s="29" t="s">
        <v>349</v>
      </c>
      <c r="C1482" s="29" t="s">
        <v>350</v>
      </c>
      <c r="D1482" s="29" t="s">
        <v>716</v>
      </c>
      <c r="E1482" s="29" t="s">
        <v>172</v>
      </c>
      <c r="F1482" s="28" t="s">
        <v>3373</v>
      </c>
      <c r="G1482" s="28" t="s">
        <v>3379</v>
      </c>
      <c r="H1482" s="28" t="s">
        <v>384</v>
      </c>
      <c r="I1482" s="28">
        <v>3</v>
      </c>
      <c r="J1482" s="30">
        <v>7.0999999999999994E-2</v>
      </c>
      <c r="K1482" s="28" t="s">
        <v>3721</v>
      </c>
      <c r="L1482" s="31">
        <v>41760</v>
      </c>
      <c r="M1482" s="28">
        <v>5</v>
      </c>
      <c r="N1482" s="32" t="s">
        <v>191</v>
      </c>
      <c r="O1482" s="28" t="s">
        <v>204</v>
      </c>
      <c r="P1482" s="28" t="s">
        <v>3722</v>
      </c>
      <c r="Q1482" s="28" t="s">
        <v>3723</v>
      </c>
      <c r="R1482" s="28" t="s">
        <v>3720</v>
      </c>
    </row>
    <row r="1483" spans="1:18" hidden="1">
      <c r="A1483" s="28">
        <v>5</v>
      </c>
      <c r="B1483" s="29" t="s">
        <v>349</v>
      </c>
      <c r="C1483" s="29" t="s">
        <v>350</v>
      </c>
      <c r="D1483" s="29" t="s">
        <v>716</v>
      </c>
      <c r="E1483" s="29" t="s">
        <v>172</v>
      </c>
      <c r="F1483" s="28" t="s">
        <v>3373</v>
      </c>
      <c r="G1483" s="28" t="s">
        <v>3379</v>
      </c>
      <c r="H1483" s="28" t="s">
        <v>384</v>
      </c>
      <c r="I1483" s="28">
        <v>3</v>
      </c>
      <c r="J1483" s="30">
        <v>7.0999999999999994E-2</v>
      </c>
      <c r="K1483" s="28" t="s">
        <v>232</v>
      </c>
      <c r="L1483" s="31">
        <v>42522</v>
      </c>
      <c r="M1483" s="28">
        <v>6</v>
      </c>
      <c r="N1483" s="32" t="s">
        <v>184</v>
      </c>
      <c r="O1483" s="28" t="s">
        <v>204</v>
      </c>
      <c r="P1483" s="28" t="s">
        <v>3724</v>
      </c>
      <c r="Q1483" s="28" t="s">
        <v>3725</v>
      </c>
      <c r="R1483" s="28" t="s">
        <v>3720</v>
      </c>
    </row>
    <row r="1484" spans="1:18" hidden="1">
      <c r="A1484" s="28">
        <v>5</v>
      </c>
      <c r="B1484" s="29" t="s">
        <v>349</v>
      </c>
      <c r="C1484" s="29" t="s">
        <v>350</v>
      </c>
      <c r="D1484" s="29" t="s">
        <v>716</v>
      </c>
      <c r="E1484" s="29" t="s">
        <v>172</v>
      </c>
      <c r="F1484" s="28" t="s">
        <v>3373</v>
      </c>
      <c r="G1484" s="28" t="s">
        <v>3379</v>
      </c>
      <c r="H1484" s="28" t="s">
        <v>384</v>
      </c>
      <c r="I1484" s="28">
        <v>3</v>
      </c>
      <c r="J1484" s="30">
        <v>7.0999999999999994E-2</v>
      </c>
      <c r="K1484" s="28" t="s">
        <v>460</v>
      </c>
      <c r="L1484" s="31">
        <v>42675</v>
      </c>
      <c r="M1484" s="28">
        <v>11</v>
      </c>
      <c r="N1484" s="32" t="s">
        <v>191</v>
      </c>
      <c r="O1484" s="28" t="s">
        <v>204</v>
      </c>
      <c r="P1484" s="28" t="s">
        <v>3726</v>
      </c>
      <c r="Q1484" s="28" t="s">
        <v>3725</v>
      </c>
      <c r="R1484" s="28" t="s">
        <v>3720</v>
      </c>
    </row>
    <row r="1485" spans="1:18" hidden="1">
      <c r="A1485" s="28">
        <v>5</v>
      </c>
      <c r="B1485" s="29" t="s">
        <v>349</v>
      </c>
      <c r="C1485" s="29" t="s">
        <v>350</v>
      </c>
      <c r="D1485" s="29" t="s">
        <v>716</v>
      </c>
      <c r="E1485" s="29" t="s">
        <v>172</v>
      </c>
      <c r="F1485" s="28" t="s">
        <v>3373</v>
      </c>
      <c r="G1485" s="28" t="s">
        <v>3374</v>
      </c>
      <c r="H1485" s="28" t="s">
        <v>174</v>
      </c>
      <c r="I1485" s="28" t="s">
        <v>174</v>
      </c>
      <c r="J1485" s="30" t="s">
        <v>174</v>
      </c>
      <c r="K1485" s="28" t="s">
        <v>1136</v>
      </c>
      <c r="L1485" s="31">
        <v>43497</v>
      </c>
      <c r="M1485" s="28">
        <v>2</v>
      </c>
      <c r="N1485" s="32" t="s">
        <v>176</v>
      </c>
      <c r="O1485" s="28" t="s">
        <v>204</v>
      </c>
      <c r="P1485" s="28" t="s">
        <v>3727</v>
      </c>
      <c r="Q1485" s="28" t="s">
        <v>3244</v>
      </c>
      <c r="R1485" s="28" t="s">
        <v>3245</v>
      </c>
    </row>
    <row r="1486" spans="1:18" hidden="1">
      <c r="A1486" s="28">
        <v>5</v>
      </c>
      <c r="B1486" s="29" t="s">
        <v>349</v>
      </c>
      <c r="C1486" s="29" t="s">
        <v>350</v>
      </c>
      <c r="D1486" s="29" t="s">
        <v>716</v>
      </c>
      <c r="E1486" s="29" t="s">
        <v>172</v>
      </c>
      <c r="F1486" s="28" t="s">
        <v>3373</v>
      </c>
      <c r="G1486" s="28" t="s">
        <v>3374</v>
      </c>
      <c r="H1486" s="28" t="s">
        <v>174</v>
      </c>
      <c r="I1486" s="28" t="s">
        <v>174</v>
      </c>
      <c r="J1486" s="30" t="s">
        <v>174</v>
      </c>
      <c r="K1486" s="28" t="s">
        <v>643</v>
      </c>
      <c r="L1486" s="31">
        <v>44013</v>
      </c>
      <c r="M1486" s="28">
        <v>7</v>
      </c>
      <c r="N1486" s="32" t="s">
        <v>184</v>
      </c>
      <c r="O1486" s="28" t="s">
        <v>204</v>
      </c>
      <c r="P1486" s="28" t="s">
        <v>3728</v>
      </c>
      <c r="Q1486" s="28" t="s">
        <v>3244</v>
      </c>
      <c r="R1486" s="28" t="s">
        <v>3245</v>
      </c>
    </row>
    <row r="1487" spans="1:18" hidden="1">
      <c r="A1487" s="28">
        <v>5</v>
      </c>
      <c r="B1487" s="29" t="s">
        <v>349</v>
      </c>
      <c r="C1487" s="29" t="s">
        <v>350</v>
      </c>
      <c r="D1487" s="29" t="s">
        <v>716</v>
      </c>
      <c r="E1487" s="29" t="s">
        <v>172</v>
      </c>
      <c r="F1487" s="28" t="s">
        <v>3373</v>
      </c>
      <c r="G1487" s="28" t="s">
        <v>3382</v>
      </c>
      <c r="H1487" s="28" t="s">
        <v>384</v>
      </c>
      <c r="I1487" s="28">
        <v>3</v>
      </c>
      <c r="J1487" s="30">
        <v>7.0999999999999994E-2</v>
      </c>
      <c r="K1487" s="28" t="s">
        <v>730</v>
      </c>
      <c r="L1487" s="31">
        <v>44166</v>
      </c>
      <c r="M1487" s="28">
        <v>12</v>
      </c>
      <c r="N1487" s="32" t="s">
        <v>176</v>
      </c>
      <c r="O1487" s="28" t="s">
        <v>204</v>
      </c>
      <c r="P1487" s="28" t="s">
        <v>3729</v>
      </c>
      <c r="Q1487" s="28" t="s">
        <v>3730</v>
      </c>
      <c r="R1487" s="28" t="s">
        <v>3731</v>
      </c>
    </row>
    <row r="1488" spans="1:18" hidden="1">
      <c r="A1488" s="28">
        <v>5</v>
      </c>
      <c r="B1488" s="29" t="s">
        <v>349</v>
      </c>
      <c r="C1488" s="29" t="s">
        <v>350</v>
      </c>
      <c r="D1488" s="29" t="s">
        <v>725</v>
      </c>
      <c r="E1488" s="29" t="s">
        <v>172</v>
      </c>
      <c r="F1488" s="28" t="s">
        <v>3373</v>
      </c>
      <c r="G1488" s="28" t="s">
        <v>3374</v>
      </c>
      <c r="H1488" s="28" t="s">
        <v>174</v>
      </c>
      <c r="I1488" s="28" t="s">
        <v>174</v>
      </c>
      <c r="J1488" s="30" t="s">
        <v>174</v>
      </c>
      <c r="K1488" s="28" t="s">
        <v>198</v>
      </c>
      <c r="L1488" s="31">
        <v>42767</v>
      </c>
      <c r="M1488" s="28">
        <v>2</v>
      </c>
      <c r="N1488" s="32" t="s">
        <v>176</v>
      </c>
      <c r="O1488" s="28" t="s">
        <v>204</v>
      </c>
      <c r="P1488" s="28" t="s">
        <v>3732</v>
      </c>
      <c r="Q1488" s="28" t="s">
        <v>3244</v>
      </c>
      <c r="R1488" s="28" t="s">
        <v>3245</v>
      </c>
    </row>
    <row r="1489" spans="1:18" hidden="1">
      <c r="A1489" s="28">
        <v>5</v>
      </c>
      <c r="B1489" s="29" t="s">
        <v>349</v>
      </c>
      <c r="C1489" s="29" t="s">
        <v>350</v>
      </c>
      <c r="D1489" s="29" t="s">
        <v>725</v>
      </c>
      <c r="E1489" s="29" t="s">
        <v>172</v>
      </c>
      <c r="F1489" s="28" t="s">
        <v>3373</v>
      </c>
      <c r="G1489" s="28" t="s">
        <v>3390</v>
      </c>
      <c r="H1489" s="28" t="s">
        <v>174</v>
      </c>
      <c r="I1489" s="28" t="s">
        <v>174</v>
      </c>
      <c r="J1489" s="30" t="s">
        <v>174</v>
      </c>
      <c r="K1489" s="28" t="s">
        <v>271</v>
      </c>
      <c r="L1489" s="31">
        <v>42856</v>
      </c>
      <c r="M1489" s="28">
        <v>5</v>
      </c>
      <c r="N1489" s="32" t="s">
        <v>191</v>
      </c>
      <c r="O1489" s="28" t="s">
        <v>204</v>
      </c>
      <c r="P1489" s="28" t="s">
        <v>3733</v>
      </c>
      <c r="Q1489" s="28" t="s">
        <v>3734</v>
      </c>
      <c r="R1489" s="28" t="s">
        <v>3720</v>
      </c>
    </row>
    <row r="1490" spans="1:18" hidden="1">
      <c r="A1490" s="28">
        <v>5</v>
      </c>
      <c r="B1490" s="29" t="s">
        <v>349</v>
      </c>
      <c r="C1490" s="29" t="s">
        <v>350</v>
      </c>
      <c r="D1490" s="29" t="s">
        <v>725</v>
      </c>
      <c r="E1490" s="29" t="s">
        <v>172</v>
      </c>
      <c r="F1490" s="28" t="s">
        <v>3373</v>
      </c>
      <c r="G1490" s="28" t="s">
        <v>3379</v>
      </c>
      <c r="H1490" s="28" t="s">
        <v>384</v>
      </c>
      <c r="I1490" s="28">
        <v>3</v>
      </c>
      <c r="J1490" s="30">
        <v>7.0999999999999994E-2</v>
      </c>
      <c r="K1490" s="28" t="s">
        <v>520</v>
      </c>
      <c r="L1490" s="31">
        <v>43800</v>
      </c>
      <c r="M1490" s="28">
        <v>12</v>
      </c>
      <c r="N1490" s="32" t="s">
        <v>176</v>
      </c>
      <c r="O1490" s="28" t="s">
        <v>204</v>
      </c>
      <c r="P1490" s="28" t="s">
        <v>3735</v>
      </c>
      <c r="Q1490" s="28" t="s">
        <v>3736</v>
      </c>
      <c r="R1490" s="28" t="s">
        <v>3720</v>
      </c>
    </row>
    <row r="1491" spans="1:18" hidden="1">
      <c r="A1491" s="28">
        <v>5</v>
      </c>
      <c r="B1491" s="29" t="s">
        <v>349</v>
      </c>
      <c r="C1491" s="29" t="s">
        <v>355</v>
      </c>
      <c r="D1491" s="29" t="s">
        <v>356</v>
      </c>
      <c r="E1491" s="29" t="s">
        <v>172</v>
      </c>
      <c r="F1491" s="28" t="s">
        <v>3373</v>
      </c>
      <c r="G1491" s="28" t="s">
        <v>3379</v>
      </c>
      <c r="H1491" s="28" t="s">
        <v>384</v>
      </c>
      <c r="I1491" s="28">
        <v>3</v>
      </c>
      <c r="J1491" s="30">
        <v>7.0999999999999994E-2</v>
      </c>
      <c r="K1491" s="28" t="s">
        <v>278</v>
      </c>
      <c r="L1491" s="31">
        <v>43525</v>
      </c>
      <c r="M1491" s="28">
        <v>3</v>
      </c>
      <c r="N1491" s="32" t="s">
        <v>191</v>
      </c>
      <c r="O1491" s="28" t="s">
        <v>204</v>
      </c>
      <c r="P1491" s="28" t="s">
        <v>3737</v>
      </c>
      <c r="Q1491" s="28" t="s">
        <v>3738</v>
      </c>
      <c r="R1491" s="28" t="s">
        <v>3739</v>
      </c>
    </row>
    <row r="1492" spans="1:18" hidden="1">
      <c r="A1492" s="28">
        <v>5</v>
      </c>
      <c r="B1492" s="29" t="s">
        <v>349</v>
      </c>
      <c r="C1492" s="29" t="s">
        <v>355</v>
      </c>
      <c r="D1492" s="29" t="s">
        <v>356</v>
      </c>
      <c r="E1492" s="29" t="s">
        <v>172</v>
      </c>
      <c r="F1492" s="28" t="s">
        <v>3373</v>
      </c>
      <c r="G1492" s="28" t="s">
        <v>3382</v>
      </c>
      <c r="H1492" s="28" t="s">
        <v>384</v>
      </c>
      <c r="I1492" s="28">
        <v>3</v>
      </c>
      <c r="J1492" s="30">
        <v>7.0999999999999994E-2</v>
      </c>
      <c r="K1492" s="28" t="s">
        <v>236</v>
      </c>
      <c r="L1492" s="31">
        <v>43617</v>
      </c>
      <c r="M1492" s="28">
        <v>6</v>
      </c>
      <c r="N1492" s="32" t="s">
        <v>184</v>
      </c>
      <c r="O1492" s="28" t="s">
        <v>204</v>
      </c>
      <c r="P1492" s="28" t="s">
        <v>3740</v>
      </c>
      <c r="Q1492" s="28" t="s">
        <v>3730</v>
      </c>
      <c r="R1492" s="28" t="s">
        <v>3731</v>
      </c>
    </row>
    <row r="1493" spans="1:18" hidden="1">
      <c r="A1493" s="28">
        <v>5</v>
      </c>
      <c r="B1493" s="29" t="s">
        <v>349</v>
      </c>
      <c r="C1493" s="29" t="s">
        <v>355</v>
      </c>
      <c r="D1493" s="29" t="s">
        <v>356</v>
      </c>
      <c r="E1493" s="29" t="s">
        <v>172</v>
      </c>
      <c r="F1493" s="28" t="s">
        <v>3373</v>
      </c>
      <c r="G1493" s="28" t="s">
        <v>3382</v>
      </c>
      <c r="H1493" s="28" t="s">
        <v>384</v>
      </c>
      <c r="I1493" s="28">
        <v>3</v>
      </c>
      <c r="J1493" s="30">
        <v>7.0999999999999994E-2</v>
      </c>
      <c r="K1493" s="28" t="s">
        <v>712</v>
      </c>
      <c r="L1493" s="31">
        <v>44470</v>
      </c>
      <c r="M1493" s="28">
        <v>10</v>
      </c>
      <c r="N1493" s="32" t="s">
        <v>191</v>
      </c>
      <c r="O1493" s="28" t="s">
        <v>204</v>
      </c>
      <c r="P1493" s="28" t="s">
        <v>3741</v>
      </c>
      <c r="Q1493" s="28" t="s">
        <v>3742</v>
      </c>
      <c r="R1493" s="28" t="s">
        <v>3743</v>
      </c>
    </row>
    <row r="1494" spans="1:18" hidden="1">
      <c r="A1494" s="28">
        <v>5</v>
      </c>
      <c r="B1494" s="29" t="s">
        <v>349</v>
      </c>
      <c r="C1494" s="29" t="s">
        <v>355</v>
      </c>
      <c r="D1494" s="29" t="s">
        <v>360</v>
      </c>
      <c r="E1494" s="29" t="s">
        <v>172</v>
      </c>
      <c r="F1494" s="28" t="s">
        <v>3373</v>
      </c>
      <c r="G1494" s="28" t="s">
        <v>3379</v>
      </c>
      <c r="H1494" s="28" t="s">
        <v>384</v>
      </c>
      <c r="I1494" s="28">
        <v>3</v>
      </c>
      <c r="J1494" s="30">
        <v>7.0999999999999994E-2</v>
      </c>
      <c r="K1494" s="28" t="s">
        <v>175</v>
      </c>
      <c r="L1494" s="31">
        <v>42339</v>
      </c>
      <c r="M1494" s="28">
        <v>12</v>
      </c>
      <c r="N1494" s="32" t="s">
        <v>176</v>
      </c>
      <c r="O1494" s="28" t="s">
        <v>204</v>
      </c>
      <c r="P1494" s="28" t="s">
        <v>3744</v>
      </c>
      <c r="Q1494" s="28" t="s">
        <v>3745</v>
      </c>
      <c r="R1494" s="28" t="s">
        <v>3746</v>
      </c>
    </row>
    <row r="1495" spans="1:18" hidden="1">
      <c r="A1495" s="28">
        <v>5</v>
      </c>
      <c r="B1495" s="29" t="s">
        <v>349</v>
      </c>
      <c r="C1495" s="29" t="s">
        <v>355</v>
      </c>
      <c r="D1495" s="29" t="s">
        <v>360</v>
      </c>
      <c r="E1495" s="29" t="s">
        <v>172</v>
      </c>
      <c r="F1495" s="28" t="s">
        <v>3373</v>
      </c>
      <c r="G1495" s="28" t="s">
        <v>3379</v>
      </c>
      <c r="H1495" s="28" t="s">
        <v>384</v>
      </c>
      <c r="I1495" s="28">
        <v>3</v>
      </c>
      <c r="J1495" s="30">
        <v>7.0999999999999994E-2</v>
      </c>
      <c r="K1495" s="28" t="s">
        <v>460</v>
      </c>
      <c r="L1495" s="31">
        <v>42675</v>
      </c>
      <c r="M1495" s="28">
        <v>11</v>
      </c>
      <c r="N1495" s="32" t="s">
        <v>191</v>
      </c>
      <c r="O1495" s="28" t="s">
        <v>204</v>
      </c>
      <c r="P1495" s="28" t="s">
        <v>3747</v>
      </c>
      <c r="Q1495" s="28" t="s">
        <v>3748</v>
      </c>
      <c r="R1495" s="28" t="s">
        <v>3746</v>
      </c>
    </row>
    <row r="1496" spans="1:18" hidden="1">
      <c r="A1496" s="28">
        <v>5</v>
      </c>
      <c r="B1496" s="29" t="s">
        <v>349</v>
      </c>
      <c r="C1496" s="29" t="s">
        <v>355</v>
      </c>
      <c r="D1496" s="29" t="s">
        <v>360</v>
      </c>
      <c r="E1496" s="29" t="s">
        <v>172</v>
      </c>
      <c r="F1496" s="28" t="s">
        <v>3373</v>
      </c>
      <c r="G1496" s="28" t="s">
        <v>3382</v>
      </c>
      <c r="H1496" s="28" t="s">
        <v>384</v>
      </c>
      <c r="I1496" s="28">
        <v>3</v>
      </c>
      <c r="J1496" s="30">
        <v>7.0999999999999994E-2</v>
      </c>
      <c r="K1496" s="28" t="s">
        <v>496</v>
      </c>
      <c r="L1496" s="31">
        <v>42917</v>
      </c>
      <c r="M1496" s="28">
        <v>7</v>
      </c>
      <c r="N1496" s="32" t="s">
        <v>184</v>
      </c>
      <c r="O1496" s="28" t="s">
        <v>204</v>
      </c>
      <c r="P1496" s="28" t="s">
        <v>3749</v>
      </c>
      <c r="Q1496" s="28" t="s">
        <v>3750</v>
      </c>
      <c r="R1496" s="28" t="s">
        <v>3751</v>
      </c>
    </row>
    <row r="1497" spans="1:18" hidden="1">
      <c r="A1497" s="28">
        <v>5</v>
      </c>
      <c r="B1497" s="29" t="s">
        <v>349</v>
      </c>
      <c r="C1497" s="29" t="s">
        <v>355</v>
      </c>
      <c r="D1497" s="29" t="s">
        <v>360</v>
      </c>
      <c r="E1497" s="29" t="s">
        <v>172</v>
      </c>
      <c r="F1497" s="28" t="s">
        <v>3373</v>
      </c>
      <c r="G1497" s="28" t="s">
        <v>3379</v>
      </c>
      <c r="H1497" s="28" t="s">
        <v>384</v>
      </c>
      <c r="I1497" s="28">
        <v>3</v>
      </c>
      <c r="J1497" s="30">
        <v>7.0999999999999994E-2</v>
      </c>
      <c r="K1497" s="28" t="s">
        <v>742</v>
      </c>
      <c r="L1497" s="31">
        <v>42948</v>
      </c>
      <c r="M1497" s="28">
        <v>8</v>
      </c>
      <c r="N1497" s="32" t="s">
        <v>184</v>
      </c>
      <c r="O1497" s="28" t="s">
        <v>204</v>
      </c>
      <c r="P1497" s="28" t="s">
        <v>3752</v>
      </c>
      <c r="Q1497" s="28" t="s">
        <v>3753</v>
      </c>
      <c r="R1497" s="28" t="s">
        <v>3746</v>
      </c>
    </row>
    <row r="1498" spans="1:18" hidden="1">
      <c r="A1498" s="28">
        <v>5</v>
      </c>
      <c r="B1498" s="29" t="s">
        <v>349</v>
      </c>
      <c r="C1498" s="29" t="s">
        <v>355</v>
      </c>
      <c r="D1498" s="29" t="s">
        <v>360</v>
      </c>
      <c r="E1498" s="29" t="s">
        <v>172</v>
      </c>
      <c r="F1498" s="28" t="s">
        <v>3373</v>
      </c>
      <c r="G1498" s="28" t="s">
        <v>3382</v>
      </c>
      <c r="H1498" s="28" t="s">
        <v>384</v>
      </c>
      <c r="I1498" s="28">
        <v>3</v>
      </c>
      <c r="J1498" s="30">
        <v>7.0999999999999994E-2</v>
      </c>
      <c r="K1498" s="28" t="s">
        <v>212</v>
      </c>
      <c r="L1498" s="31">
        <v>43313</v>
      </c>
      <c r="M1498" s="28">
        <v>8</v>
      </c>
      <c r="N1498" s="32" t="s">
        <v>184</v>
      </c>
      <c r="O1498" s="28" t="s">
        <v>204</v>
      </c>
      <c r="P1498" s="28" t="s">
        <v>3754</v>
      </c>
      <c r="Q1498" s="28" t="s">
        <v>3730</v>
      </c>
      <c r="R1498" s="28" t="s">
        <v>3731</v>
      </c>
    </row>
    <row r="1499" spans="1:18" hidden="1">
      <c r="A1499" s="28">
        <v>5</v>
      </c>
      <c r="B1499" s="29" t="s">
        <v>349</v>
      </c>
      <c r="C1499" s="29" t="s">
        <v>355</v>
      </c>
      <c r="D1499" s="29" t="s">
        <v>360</v>
      </c>
      <c r="E1499" s="29" t="s">
        <v>172</v>
      </c>
      <c r="F1499" s="28" t="s">
        <v>3373</v>
      </c>
      <c r="G1499" s="28" t="s">
        <v>3382</v>
      </c>
      <c r="H1499" s="28" t="s">
        <v>384</v>
      </c>
      <c r="I1499" s="28">
        <v>3</v>
      </c>
      <c r="J1499" s="30">
        <v>7.0999999999999994E-2</v>
      </c>
      <c r="K1499" s="28" t="s">
        <v>214</v>
      </c>
      <c r="L1499" s="31">
        <v>43466</v>
      </c>
      <c r="M1499" s="28">
        <v>1</v>
      </c>
      <c r="N1499" s="32" t="s">
        <v>176</v>
      </c>
      <c r="O1499" s="28" t="s">
        <v>204</v>
      </c>
      <c r="P1499" s="28" t="s">
        <v>3755</v>
      </c>
      <c r="Q1499" s="28" t="s">
        <v>3756</v>
      </c>
      <c r="R1499" s="28" t="s">
        <v>2350</v>
      </c>
    </row>
    <row r="1500" spans="1:18" hidden="1">
      <c r="A1500" s="28">
        <v>5</v>
      </c>
      <c r="B1500" s="29" t="s">
        <v>349</v>
      </c>
      <c r="C1500" s="29" t="s">
        <v>355</v>
      </c>
      <c r="D1500" s="29" t="s">
        <v>360</v>
      </c>
      <c r="E1500" s="29" t="s">
        <v>172</v>
      </c>
      <c r="F1500" s="28" t="s">
        <v>3373</v>
      </c>
      <c r="G1500" s="28" t="s">
        <v>3374</v>
      </c>
      <c r="H1500" s="28" t="s">
        <v>174</v>
      </c>
      <c r="I1500" s="28" t="s">
        <v>174</v>
      </c>
      <c r="J1500" s="30" t="s">
        <v>174</v>
      </c>
      <c r="K1500" s="28" t="s">
        <v>3757</v>
      </c>
      <c r="L1500" s="31">
        <v>43556</v>
      </c>
      <c r="M1500" s="28">
        <v>4</v>
      </c>
      <c r="N1500" s="32" t="s">
        <v>191</v>
      </c>
      <c r="O1500" s="28" t="s">
        <v>204</v>
      </c>
      <c r="P1500" s="28" t="s">
        <v>3758</v>
      </c>
      <c r="Q1500" s="28" t="s">
        <v>3725</v>
      </c>
      <c r="R1500" s="28" t="s">
        <v>3759</v>
      </c>
    </row>
    <row r="1501" spans="1:18" hidden="1">
      <c r="A1501" s="28">
        <v>5</v>
      </c>
      <c r="B1501" s="29" t="s">
        <v>349</v>
      </c>
      <c r="C1501" s="29" t="s">
        <v>355</v>
      </c>
      <c r="D1501" s="29" t="s">
        <v>360</v>
      </c>
      <c r="E1501" s="29" t="s">
        <v>172</v>
      </c>
      <c r="F1501" s="28" t="s">
        <v>3373</v>
      </c>
      <c r="G1501" s="28" t="s">
        <v>3382</v>
      </c>
      <c r="H1501" s="28" t="s">
        <v>384</v>
      </c>
      <c r="I1501" s="28">
        <v>3</v>
      </c>
      <c r="J1501" s="30">
        <v>7.0999999999999994E-2</v>
      </c>
      <c r="K1501" s="28" t="s">
        <v>236</v>
      </c>
      <c r="L1501" s="31">
        <v>43617</v>
      </c>
      <c r="M1501" s="28">
        <v>6</v>
      </c>
      <c r="N1501" s="32" t="s">
        <v>184</v>
      </c>
      <c r="O1501" s="28" t="s">
        <v>204</v>
      </c>
      <c r="P1501" s="28" t="s">
        <v>3760</v>
      </c>
      <c r="Q1501" s="28" t="s">
        <v>3750</v>
      </c>
      <c r="R1501" s="28" t="s">
        <v>3751</v>
      </c>
    </row>
    <row r="1502" spans="1:18" hidden="1">
      <c r="A1502" s="28">
        <v>5</v>
      </c>
      <c r="B1502" s="29" t="s">
        <v>349</v>
      </c>
      <c r="C1502" s="29" t="s">
        <v>355</v>
      </c>
      <c r="D1502" s="29" t="s">
        <v>360</v>
      </c>
      <c r="E1502" s="29" t="s">
        <v>172</v>
      </c>
      <c r="F1502" s="28" t="s">
        <v>3373</v>
      </c>
      <c r="G1502" s="28" t="s">
        <v>3374</v>
      </c>
      <c r="H1502" s="28" t="s">
        <v>174</v>
      </c>
      <c r="I1502" s="28" t="s">
        <v>174</v>
      </c>
      <c r="J1502" s="30" t="s">
        <v>174</v>
      </c>
      <c r="K1502" s="28" t="s">
        <v>442</v>
      </c>
      <c r="L1502" s="31">
        <v>43647</v>
      </c>
      <c r="M1502" s="28">
        <v>7</v>
      </c>
      <c r="N1502" s="32" t="s">
        <v>184</v>
      </c>
      <c r="O1502" s="28" t="s">
        <v>204</v>
      </c>
      <c r="P1502" s="28" t="s">
        <v>3761</v>
      </c>
      <c r="Q1502" s="28" t="s">
        <v>3745</v>
      </c>
      <c r="R1502" s="28" t="s">
        <v>3759</v>
      </c>
    </row>
    <row r="1503" spans="1:18" hidden="1">
      <c r="A1503" s="28">
        <v>5</v>
      </c>
      <c r="B1503" s="29" t="s">
        <v>349</v>
      </c>
      <c r="C1503" s="29" t="s">
        <v>355</v>
      </c>
      <c r="D1503" s="29" t="s">
        <v>360</v>
      </c>
      <c r="E1503" s="29" t="s">
        <v>172</v>
      </c>
      <c r="F1503" s="28" t="s">
        <v>3373</v>
      </c>
      <c r="G1503" s="28" t="s">
        <v>3374</v>
      </c>
      <c r="H1503" s="28" t="s">
        <v>174</v>
      </c>
      <c r="I1503" s="28" t="s">
        <v>174</v>
      </c>
      <c r="J1503" s="30" t="s">
        <v>174</v>
      </c>
      <c r="K1503" s="28" t="s">
        <v>424</v>
      </c>
      <c r="L1503" s="31">
        <v>43678</v>
      </c>
      <c r="M1503" s="28">
        <v>8</v>
      </c>
      <c r="N1503" s="32" t="s">
        <v>184</v>
      </c>
      <c r="O1503" s="28" t="s">
        <v>204</v>
      </c>
      <c r="P1503" s="28" t="s">
        <v>3762</v>
      </c>
      <c r="Q1503" s="28" t="s">
        <v>3763</v>
      </c>
      <c r="R1503" s="28" t="s">
        <v>3759</v>
      </c>
    </row>
    <row r="1504" spans="1:18" hidden="1">
      <c r="A1504" s="28">
        <v>5</v>
      </c>
      <c r="B1504" s="29" t="s">
        <v>349</v>
      </c>
      <c r="C1504" s="29" t="s">
        <v>355</v>
      </c>
      <c r="D1504" s="29" t="s">
        <v>360</v>
      </c>
      <c r="E1504" s="29" t="s">
        <v>172</v>
      </c>
      <c r="F1504" s="28" t="s">
        <v>3373</v>
      </c>
      <c r="G1504" s="28" t="s">
        <v>3382</v>
      </c>
      <c r="H1504" s="28" t="s">
        <v>384</v>
      </c>
      <c r="I1504" s="28">
        <v>3</v>
      </c>
      <c r="J1504" s="30">
        <v>7.0999999999999994E-2</v>
      </c>
      <c r="K1504" s="28" t="s">
        <v>752</v>
      </c>
      <c r="L1504" s="31">
        <v>43709</v>
      </c>
      <c r="M1504" s="28">
        <v>9</v>
      </c>
      <c r="N1504" s="32" t="s">
        <v>191</v>
      </c>
      <c r="O1504" s="28" t="s">
        <v>204</v>
      </c>
      <c r="P1504" s="28" t="s">
        <v>3764</v>
      </c>
      <c r="Q1504" s="28" t="s">
        <v>3730</v>
      </c>
      <c r="R1504" s="28" t="s">
        <v>3731</v>
      </c>
    </row>
    <row r="1505" spans="1:18" hidden="1">
      <c r="A1505" s="28">
        <v>5</v>
      </c>
      <c r="B1505" s="29" t="s">
        <v>349</v>
      </c>
      <c r="C1505" s="29" t="s">
        <v>355</v>
      </c>
      <c r="D1505" s="29" t="s">
        <v>360</v>
      </c>
      <c r="E1505" s="29" t="s">
        <v>172</v>
      </c>
      <c r="F1505" s="28" t="s">
        <v>3373</v>
      </c>
      <c r="G1505" s="28" t="s">
        <v>3379</v>
      </c>
      <c r="H1505" s="28" t="s">
        <v>384</v>
      </c>
      <c r="I1505" s="28">
        <v>3</v>
      </c>
      <c r="J1505" s="30">
        <v>7.0999999999999994E-2</v>
      </c>
      <c r="K1505" s="28" t="s">
        <v>479</v>
      </c>
      <c r="L1505" s="31">
        <v>43770</v>
      </c>
      <c r="M1505" s="28">
        <v>11</v>
      </c>
      <c r="N1505" s="32" t="s">
        <v>191</v>
      </c>
      <c r="O1505" s="28" t="s">
        <v>204</v>
      </c>
      <c r="P1505" s="28" t="s">
        <v>3765</v>
      </c>
      <c r="Q1505" s="28" t="s">
        <v>3725</v>
      </c>
      <c r="R1505" s="28" t="s">
        <v>3746</v>
      </c>
    </row>
    <row r="1506" spans="1:18" hidden="1">
      <c r="A1506" s="28">
        <v>5</v>
      </c>
      <c r="B1506" s="29" t="s">
        <v>349</v>
      </c>
      <c r="C1506" s="29" t="s">
        <v>355</v>
      </c>
      <c r="D1506" s="29" t="s">
        <v>360</v>
      </c>
      <c r="E1506" s="29" t="s">
        <v>172</v>
      </c>
      <c r="F1506" s="28" t="s">
        <v>3373</v>
      </c>
      <c r="G1506" s="28" t="s">
        <v>3382</v>
      </c>
      <c r="H1506" s="28" t="s">
        <v>384</v>
      </c>
      <c r="I1506" s="28">
        <v>3</v>
      </c>
      <c r="J1506" s="30">
        <v>7.0999999999999994E-2</v>
      </c>
      <c r="K1506" s="28" t="s">
        <v>415</v>
      </c>
      <c r="L1506" s="31">
        <v>43952</v>
      </c>
      <c r="M1506" s="28">
        <v>5</v>
      </c>
      <c r="N1506" s="32" t="s">
        <v>191</v>
      </c>
      <c r="O1506" s="28" t="s">
        <v>204</v>
      </c>
      <c r="P1506" s="28" t="s">
        <v>3766</v>
      </c>
      <c r="Q1506" s="28" t="s">
        <v>3730</v>
      </c>
      <c r="R1506" s="28" t="s">
        <v>3731</v>
      </c>
    </row>
    <row r="1507" spans="1:18" hidden="1">
      <c r="A1507" s="28">
        <v>5</v>
      </c>
      <c r="B1507" s="29" t="s">
        <v>349</v>
      </c>
      <c r="C1507" s="29" t="s">
        <v>355</v>
      </c>
      <c r="D1507" s="29" t="s">
        <v>360</v>
      </c>
      <c r="E1507" s="29" t="s">
        <v>172</v>
      </c>
      <c r="F1507" s="28" t="s">
        <v>3373</v>
      </c>
      <c r="G1507" s="28" t="s">
        <v>3382</v>
      </c>
      <c r="H1507" s="28" t="s">
        <v>384</v>
      </c>
      <c r="I1507" s="28">
        <v>3</v>
      </c>
      <c r="J1507" s="30">
        <v>7.0999999999999994E-2</v>
      </c>
      <c r="K1507" s="28" t="s">
        <v>183</v>
      </c>
      <c r="L1507" s="31">
        <v>43983</v>
      </c>
      <c r="M1507" s="28">
        <v>6</v>
      </c>
      <c r="N1507" s="32" t="s">
        <v>184</v>
      </c>
      <c r="O1507" s="28" t="s">
        <v>204</v>
      </c>
      <c r="P1507" s="28" t="s">
        <v>3767</v>
      </c>
      <c r="Q1507" s="28" t="s">
        <v>3750</v>
      </c>
      <c r="R1507" s="28" t="s">
        <v>3751</v>
      </c>
    </row>
    <row r="1508" spans="1:18" hidden="1">
      <c r="A1508" s="28">
        <v>5</v>
      </c>
      <c r="B1508" s="29" t="s">
        <v>349</v>
      </c>
      <c r="C1508" s="29" t="s">
        <v>355</v>
      </c>
      <c r="D1508" s="29" t="s">
        <v>360</v>
      </c>
      <c r="E1508" s="29" t="s">
        <v>172</v>
      </c>
      <c r="F1508" s="28" t="s">
        <v>3373</v>
      </c>
      <c r="G1508" s="28" t="s">
        <v>3374</v>
      </c>
      <c r="H1508" s="28" t="s">
        <v>174</v>
      </c>
      <c r="I1508" s="28" t="s">
        <v>174</v>
      </c>
      <c r="J1508" s="30" t="s">
        <v>174</v>
      </c>
      <c r="K1508" s="28" t="s">
        <v>430</v>
      </c>
      <c r="L1508" s="31">
        <v>44105</v>
      </c>
      <c r="M1508" s="28">
        <v>10</v>
      </c>
      <c r="N1508" s="32" t="s">
        <v>191</v>
      </c>
      <c r="O1508" s="28" t="s">
        <v>204</v>
      </c>
      <c r="P1508" s="28" t="s">
        <v>3768</v>
      </c>
      <c r="Q1508" s="28" t="s">
        <v>3725</v>
      </c>
      <c r="R1508" s="28" t="s">
        <v>3759</v>
      </c>
    </row>
    <row r="1509" spans="1:18" hidden="1">
      <c r="A1509" s="28">
        <v>5</v>
      </c>
      <c r="B1509" s="29" t="s">
        <v>349</v>
      </c>
      <c r="C1509" s="29" t="s">
        <v>355</v>
      </c>
      <c r="D1509" s="29" t="s">
        <v>360</v>
      </c>
      <c r="E1509" s="29" t="s">
        <v>172</v>
      </c>
      <c r="F1509" s="28" t="s">
        <v>3373</v>
      </c>
      <c r="G1509" s="28" t="s">
        <v>3382</v>
      </c>
      <c r="H1509" s="28" t="s">
        <v>384</v>
      </c>
      <c r="I1509" s="28">
        <v>3</v>
      </c>
      <c r="J1509" s="30">
        <v>7.0999999999999994E-2</v>
      </c>
      <c r="K1509" s="28" t="s">
        <v>823</v>
      </c>
      <c r="L1509" s="31">
        <v>44136</v>
      </c>
      <c r="M1509" s="28">
        <v>11</v>
      </c>
      <c r="N1509" s="32" t="s">
        <v>191</v>
      </c>
      <c r="O1509" s="28" t="s">
        <v>204</v>
      </c>
      <c r="P1509" s="28" t="s">
        <v>3769</v>
      </c>
      <c r="Q1509" s="28" t="s">
        <v>3750</v>
      </c>
      <c r="R1509" s="28" t="s">
        <v>3751</v>
      </c>
    </row>
    <row r="1510" spans="1:18" hidden="1">
      <c r="A1510" s="28">
        <v>5</v>
      </c>
      <c r="B1510" s="29" t="s">
        <v>349</v>
      </c>
      <c r="C1510" s="29" t="s">
        <v>355</v>
      </c>
      <c r="D1510" s="29" t="s">
        <v>360</v>
      </c>
      <c r="E1510" s="29" t="s">
        <v>172</v>
      </c>
      <c r="F1510" s="28" t="s">
        <v>3373</v>
      </c>
      <c r="G1510" s="28" t="s">
        <v>3382</v>
      </c>
      <c r="H1510" s="28" t="s">
        <v>384</v>
      </c>
      <c r="I1510" s="28">
        <v>3</v>
      </c>
      <c r="J1510" s="30">
        <v>7.0999999999999994E-2</v>
      </c>
      <c r="K1510" s="28" t="s">
        <v>823</v>
      </c>
      <c r="L1510" s="31">
        <v>44136</v>
      </c>
      <c r="M1510" s="28">
        <v>11</v>
      </c>
      <c r="N1510" s="32" t="s">
        <v>191</v>
      </c>
      <c r="O1510" s="28" t="s">
        <v>204</v>
      </c>
      <c r="P1510" s="28" t="s">
        <v>3770</v>
      </c>
      <c r="Q1510" s="28" t="s">
        <v>3730</v>
      </c>
      <c r="R1510" s="28" t="s">
        <v>3731</v>
      </c>
    </row>
    <row r="1511" spans="1:18" hidden="1">
      <c r="A1511" s="28">
        <v>5</v>
      </c>
      <c r="B1511" s="29" t="s">
        <v>349</v>
      </c>
      <c r="C1511" s="29" t="s">
        <v>761</v>
      </c>
      <c r="D1511" s="29" t="s">
        <v>762</v>
      </c>
      <c r="E1511" s="29" t="s">
        <v>172</v>
      </c>
      <c r="F1511" s="28" t="s">
        <v>3373</v>
      </c>
      <c r="G1511" s="28" t="s">
        <v>3379</v>
      </c>
      <c r="H1511" s="28" t="s">
        <v>384</v>
      </c>
      <c r="I1511" s="28">
        <v>3</v>
      </c>
      <c r="J1511" s="30">
        <v>7.0999999999999994E-2</v>
      </c>
      <c r="K1511" s="28" t="s">
        <v>397</v>
      </c>
      <c r="L1511" s="31">
        <v>43739</v>
      </c>
      <c r="M1511" s="28">
        <v>10</v>
      </c>
      <c r="N1511" s="32" t="s">
        <v>191</v>
      </c>
      <c r="O1511" s="28" t="s">
        <v>204</v>
      </c>
      <c r="P1511" s="28" t="s">
        <v>3771</v>
      </c>
      <c r="Q1511" s="28" t="s">
        <v>3772</v>
      </c>
      <c r="R1511" s="28" t="s">
        <v>3773</v>
      </c>
    </row>
    <row r="1512" spans="1:18" hidden="1">
      <c r="A1512" s="28">
        <v>5</v>
      </c>
      <c r="B1512" s="29" t="s">
        <v>349</v>
      </c>
      <c r="C1512" s="29" t="s">
        <v>761</v>
      </c>
      <c r="D1512" s="29" t="s">
        <v>762</v>
      </c>
      <c r="E1512" s="29" t="s">
        <v>172</v>
      </c>
      <c r="F1512" s="28" t="s">
        <v>3373</v>
      </c>
      <c r="G1512" s="28" t="s">
        <v>3379</v>
      </c>
      <c r="H1512" s="28" t="s">
        <v>384</v>
      </c>
      <c r="I1512" s="28">
        <v>3</v>
      </c>
      <c r="J1512" s="30">
        <v>7.0999999999999994E-2</v>
      </c>
      <c r="K1512" s="28" t="s">
        <v>823</v>
      </c>
      <c r="L1512" s="31">
        <v>44136</v>
      </c>
      <c r="M1512" s="28">
        <v>11</v>
      </c>
      <c r="N1512" s="32" t="s">
        <v>191</v>
      </c>
      <c r="O1512" s="28" t="s">
        <v>204</v>
      </c>
      <c r="P1512" s="28" t="s">
        <v>3774</v>
      </c>
      <c r="Q1512" s="28" t="s">
        <v>3775</v>
      </c>
      <c r="R1512" s="28" t="s">
        <v>3746</v>
      </c>
    </row>
    <row r="1513" spans="1:18" hidden="1">
      <c r="A1513" s="28">
        <v>4</v>
      </c>
      <c r="B1513" s="29" t="s">
        <v>306</v>
      </c>
      <c r="C1513" s="29" t="s">
        <v>307</v>
      </c>
      <c r="D1513" s="29" t="s">
        <v>592</v>
      </c>
      <c r="E1513" s="29" t="s">
        <v>172</v>
      </c>
      <c r="F1513" s="28" t="s">
        <v>3776</v>
      </c>
      <c r="G1513" s="28" t="s">
        <v>3777</v>
      </c>
      <c r="H1513" s="28" t="s">
        <v>384</v>
      </c>
      <c r="I1513" s="28">
        <v>4</v>
      </c>
      <c r="J1513" s="30">
        <v>6.9000000000000006E-2</v>
      </c>
      <c r="K1513" s="28" t="s">
        <v>198</v>
      </c>
      <c r="L1513" s="31">
        <v>42767</v>
      </c>
      <c r="M1513" s="28">
        <v>2</v>
      </c>
      <c r="N1513" s="32" t="s">
        <v>176</v>
      </c>
      <c r="O1513" s="28" t="s">
        <v>204</v>
      </c>
      <c r="P1513" s="28" t="s">
        <v>3778</v>
      </c>
      <c r="Q1513" s="28" t="s">
        <v>3779</v>
      </c>
      <c r="R1513" s="28" t="s">
        <v>3780</v>
      </c>
    </row>
    <row r="1514" spans="1:18" hidden="1">
      <c r="A1514" s="28">
        <v>4</v>
      </c>
      <c r="B1514" s="29" t="s">
        <v>306</v>
      </c>
      <c r="C1514" s="29" t="s">
        <v>307</v>
      </c>
      <c r="D1514" s="29" t="s">
        <v>308</v>
      </c>
      <c r="E1514" s="29" t="s">
        <v>172</v>
      </c>
      <c r="F1514" s="28" t="s">
        <v>3776</v>
      </c>
      <c r="G1514" s="28" t="s">
        <v>3777</v>
      </c>
      <c r="H1514" s="28" t="s">
        <v>384</v>
      </c>
      <c r="I1514" s="28">
        <v>4</v>
      </c>
      <c r="J1514" s="30">
        <v>6.9000000000000006E-2</v>
      </c>
      <c r="K1514" s="28" t="s">
        <v>651</v>
      </c>
      <c r="L1514" s="31">
        <v>42644</v>
      </c>
      <c r="M1514" s="28">
        <v>10</v>
      </c>
      <c r="N1514" s="32" t="s">
        <v>191</v>
      </c>
      <c r="O1514" s="28" t="s">
        <v>204</v>
      </c>
      <c r="P1514" s="28" t="s">
        <v>3781</v>
      </c>
      <c r="Q1514" s="28" t="s">
        <v>3782</v>
      </c>
      <c r="R1514" s="28" t="s">
        <v>3780</v>
      </c>
    </row>
    <row r="1515" spans="1:18" hidden="1">
      <c r="A1515" s="28">
        <v>4</v>
      </c>
      <c r="B1515" s="29" t="s">
        <v>306</v>
      </c>
      <c r="C1515" s="29" t="s">
        <v>307</v>
      </c>
      <c r="D1515" s="29" t="s">
        <v>308</v>
      </c>
      <c r="E1515" s="29" t="s">
        <v>172</v>
      </c>
      <c r="F1515" s="28" t="s">
        <v>3776</v>
      </c>
      <c r="G1515" s="28" t="s">
        <v>3777</v>
      </c>
      <c r="H1515" s="28" t="s">
        <v>384</v>
      </c>
      <c r="I1515" s="28">
        <v>4</v>
      </c>
      <c r="J1515" s="30">
        <v>6.9000000000000006E-2</v>
      </c>
      <c r="K1515" s="28" t="s">
        <v>742</v>
      </c>
      <c r="L1515" s="31">
        <v>42948</v>
      </c>
      <c r="M1515" s="28">
        <v>8</v>
      </c>
      <c r="N1515" s="32" t="s">
        <v>184</v>
      </c>
      <c r="O1515" s="28" t="s">
        <v>204</v>
      </c>
      <c r="P1515" s="28" t="s">
        <v>3783</v>
      </c>
      <c r="Q1515" s="28" t="s">
        <v>3782</v>
      </c>
      <c r="R1515" s="28" t="s">
        <v>3780</v>
      </c>
    </row>
    <row r="1516" spans="1:18" hidden="1">
      <c r="A1516" s="28">
        <v>4</v>
      </c>
      <c r="B1516" s="29" t="s">
        <v>306</v>
      </c>
      <c r="C1516" s="29" t="s">
        <v>307</v>
      </c>
      <c r="D1516" s="29" t="s">
        <v>308</v>
      </c>
      <c r="E1516" s="29" t="s">
        <v>172</v>
      </c>
      <c r="F1516" s="28" t="s">
        <v>3776</v>
      </c>
      <c r="G1516" s="28" t="s">
        <v>3777</v>
      </c>
      <c r="H1516" s="28" t="s">
        <v>384</v>
      </c>
      <c r="I1516" s="28">
        <v>4</v>
      </c>
      <c r="J1516" s="30">
        <v>6.9000000000000006E-2</v>
      </c>
      <c r="K1516" s="28" t="s">
        <v>813</v>
      </c>
      <c r="L1516" s="31">
        <v>43009</v>
      </c>
      <c r="M1516" s="28">
        <v>10</v>
      </c>
      <c r="N1516" s="32" t="s">
        <v>191</v>
      </c>
      <c r="O1516" s="28" t="s">
        <v>204</v>
      </c>
      <c r="P1516" s="28" t="s">
        <v>3784</v>
      </c>
      <c r="Q1516" s="28" t="s">
        <v>3782</v>
      </c>
      <c r="R1516" s="28" t="s">
        <v>3780</v>
      </c>
    </row>
    <row r="1517" spans="1:18" hidden="1">
      <c r="A1517" s="28">
        <v>4</v>
      </c>
      <c r="B1517" s="29" t="s">
        <v>306</v>
      </c>
      <c r="C1517" s="29" t="s">
        <v>307</v>
      </c>
      <c r="D1517" s="29" t="s">
        <v>308</v>
      </c>
      <c r="E1517" s="29" t="s">
        <v>172</v>
      </c>
      <c r="F1517" s="28" t="s">
        <v>3776</v>
      </c>
      <c r="G1517" s="28" t="s">
        <v>3777</v>
      </c>
      <c r="H1517" s="28" t="s">
        <v>384</v>
      </c>
      <c r="I1517" s="28">
        <v>4</v>
      </c>
      <c r="J1517" s="30">
        <v>6.9000000000000006E-2</v>
      </c>
      <c r="K1517" s="28" t="s">
        <v>435</v>
      </c>
      <c r="L1517" s="31">
        <v>43040</v>
      </c>
      <c r="M1517" s="28">
        <v>11</v>
      </c>
      <c r="N1517" s="32" t="s">
        <v>191</v>
      </c>
      <c r="O1517" s="28" t="s">
        <v>204</v>
      </c>
      <c r="P1517" s="28" t="s">
        <v>3785</v>
      </c>
      <c r="Q1517" s="28" t="s">
        <v>3786</v>
      </c>
      <c r="R1517" s="28" t="s">
        <v>3787</v>
      </c>
    </row>
    <row r="1518" spans="1:18" hidden="1">
      <c r="A1518" s="28">
        <v>4</v>
      </c>
      <c r="B1518" s="29" t="s">
        <v>306</v>
      </c>
      <c r="C1518" s="29" t="s">
        <v>307</v>
      </c>
      <c r="D1518" s="29" t="s">
        <v>308</v>
      </c>
      <c r="E1518" s="29" t="s">
        <v>172</v>
      </c>
      <c r="F1518" s="28" t="s">
        <v>3776</v>
      </c>
      <c r="G1518" s="28" t="s">
        <v>3777</v>
      </c>
      <c r="H1518" s="28" t="s">
        <v>384</v>
      </c>
      <c r="I1518" s="28">
        <v>4</v>
      </c>
      <c r="J1518" s="30">
        <v>6.9000000000000006E-2</v>
      </c>
      <c r="K1518" s="28" t="s">
        <v>208</v>
      </c>
      <c r="L1518" s="31">
        <v>43101</v>
      </c>
      <c r="M1518" s="28">
        <v>1</v>
      </c>
      <c r="N1518" s="32" t="s">
        <v>176</v>
      </c>
      <c r="O1518" s="28" t="s">
        <v>204</v>
      </c>
      <c r="P1518" s="28" t="s">
        <v>3788</v>
      </c>
      <c r="Q1518" s="28" t="s">
        <v>3782</v>
      </c>
      <c r="R1518" s="28" t="s">
        <v>3780</v>
      </c>
    </row>
    <row r="1519" spans="1:18" hidden="1">
      <c r="A1519" s="28">
        <v>4</v>
      </c>
      <c r="B1519" s="29" t="s">
        <v>306</v>
      </c>
      <c r="C1519" s="29" t="s">
        <v>307</v>
      </c>
      <c r="D1519" s="29" t="s">
        <v>308</v>
      </c>
      <c r="E1519" s="29" t="s">
        <v>172</v>
      </c>
      <c r="F1519" s="28" t="s">
        <v>3776</v>
      </c>
      <c r="G1519" s="28" t="s">
        <v>3777</v>
      </c>
      <c r="H1519" s="28" t="s">
        <v>384</v>
      </c>
      <c r="I1519" s="28">
        <v>4</v>
      </c>
      <c r="J1519" s="30">
        <v>6.9000000000000006E-2</v>
      </c>
      <c r="K1519" s="28" t="s">
        <v>405</v>
      </c>
      <c r="L1519" s="31">
        <v>43221</v>
      </c>
      <c r="M1519" s="28">
        <v>5</v>
      </c>
      <c r="N1519" s="32" t="s">
        <v>191</v>
      </c>
      <c r="O1519" s="28" t="s">
        <v>204</v>
      </c>
      <c r="P1519" s="28" t="s">
        <v>3789</v>
      </c>
      <c r="Q1519" s="28" t="s">
        <v>3782</v>
      </c>
      <c r="R1519" s="28" t="s">
        <v>3780</v>
      </c>
    </row>
    <row r="1520" spans="1:18" hidden="1">
      <c r="A1520" s="28">
        <v>4</v>
      </c>
      <c r="B1520" s="29" t="s">
        <v>306</v>
      </c>
      <c r="C1520" s="29" t="s">
        <v>307</v>
      </c>
      <c r="D1520" s="29" t="s">
        <v>308</v>
      </c>
      <c r="E1520" s="29" t="s">
        <v>172</v>
      </c>
      <c r="F1520" s="28" t="s">
        <v>3776</v>
      </c>
      <c r="G1520" s="28" t="s">
        <v>3777</v>
      </c>
      <c r="H1520" s="28" t="s">
        <v>384</v>
      </c>
      <c r="I1520" s="28">
        <v>4</v>
      </c>
      <c r="J1520" s="30">
        <v>6.9000000000000006E-2</v>
      </c>
      <c r="K1520" s="28" t="s">
        <v>405</v>
      </c>
      <c r="L1520" s="31">
        <v>43221</v>
      </c>
      <c r="M1520" s="28">
        <v>5</v>
      </c>
      <c r="N1520" s="32" t="s">
        <v>191</v>
      </c>
      <c r="O1520" s="28" t="s">
        <v>204</v>
      </c>
      <c r="P1520" s="28" t="s">
        <v>3790</v>
      </c>
      <c r="Q1520" s="28" t="s">
        <v>3782</v>
      </c>
      <c r="R1520" s="28" t="s">
        <v>3780</v>
      </c>
    </row>
    <row r="1521" spans="1:18" hidden="1">
      <c r="A1521" s="28">
        <v>4</v>
      </c>
      <c r="B1521" s="29" t="s">
        <v>306</v>
      </c>
      <c r="C1521" s="29" t="s">
        <v>307</v>
      </c>
      <c r="D1521" s="29" t="s">
        <v>308</v>
      </c>
      <c r="E1521" s="29" t="s">
        <v>172</v>
      </c>
      <c r="F1521" s="28" t="s">
        <v>3776</v>
      </c>
      <c r="G1521" s="28" t="s">
        <v>3777</v>
      </c>
      <c r="H1521" s="28" t="s">
        <v>384</v>
      </c>
      <c r="I1521" s="28">
        <v>4</v>
      </c>
      <c r="J1521" s="30">
        <v>6.9000000000000006E-2</v>
      </c>
      <c r="K1521" s="28" t="s">
        <v>554</v>
      </c>
      <c r="L1521" s="31">
        <v>44317</v>
      </c>
      <c r="M1521" s="28">
        <v>5</v>
      </c>
      <c r="N1521" s="32" t="s">
        <v>191</v>
      </c>
      <c r="O1521" s="28" t="s">
        <v>204</v>
      </c>
      <c r="P1521" s="28" t="s">
        <v>3791</v>
      </c>
      <c r="Q1521" s="28" t="s">
        <v>3782</v>
      </c>
      <c r="R1521" s="28" t="s">
        <v>3780</v>
      </c>
    </row>
    <row r="1522" spans="1:18" hidden="1">
      <c r="A1522" s="28">
        <v>4</v>
      </c>
      <c r="B1522" s="29" t="s">
        <v>306</v>
      </c>
      <c r="C1522" s="29" t="s">
        <v>307</v>
      </c>
      <c r="D1522" s="29" t="s">
        <v>308</v>
      </c>
      <c r="E1522" s="29" t="s">
        <v>172</v>
      </c>
      <c r="F1522" s="28" t="s">
        <v>3776</v>
      </c>
      <c r="G1522" s="28" t="s">
        <v>3777</v>
      </c>
      <c r="H1522" s="28" t="s">
        <v>384</v>
      </c>
      <c r="I1522" s="28">
        <v>4</v>
      </c>
      <c r="J1522" s="30">
        <v>6.9000000000000006E-2</v>
      </c>
      <c r="K1522" s="28" t="s">
        <v>345</v>
      </c>
      <c r="L1522" s="31">
        <v>44440</v>
      </c>
      <c r="M1522" s="28">
        <v>9</v>
      </c>
      <c r="N1522" s="32" t="s">
        <v>191</v>
      </c>
      <c r="O1522" s="28" t="s">
        <v>204</v>
      </c>
      <c r="P1522" s="28" t="s">
        <v>3792</v>
      </c>
      <c r="Q1522" s="28" t="s">
        <v>3782</v>
      </c>
      <c r="R1522" s="28" t="s">
        <v>3780</v>
      </c>
    </row>
    <row r="1523" spans="1:18" hidden="1">
      <c r="A1523" s="28">
        <v>4</v>
      </c>
      <c r="B1523" s="29" t="s">
        <v>306</v>
      </c>
      <c r="C1523" s="29" t="s">
        <v>1776</v>
      </c>
      <c r="D1523" s="29" t="s">
        <v>3494</v>
      </c>
      <c r="E1523" s="29" t="s">
        <v>172</v>
      </c>
      <c r="F1523" s="28" t="s">
        <v>3776</v>
      </c>
      <c r="G1523" s="28" t="s">
        <v>3777</v>
      </c>
      <c r="H1523" s="28" t="s">
        <v>384</v>
      </c>
      <c r="I1523" s="28">
        <v>4</v>
      </c>
      <c r="J1523" s="30">
        <v>6.9000000000000006E-2</v>
      </c>
      <c r="K1523" s="28" t="s">
        <v>742</v>
      </c>
      <c r="L1523" s="31">
        <v>42948</v>
      </c>
      <c r="M1523" s="28">
        <v>8</v>
      </c>
      <c r="N1523" s="32" t="s">
        <v>184</v>
      </c>
      <c r="O1523" s="28" t="s">
        <v>204</v>
      </c>
      <c r="P1523" s="28" t="s">
        <v>3793</v>
      </c>
      <c r="Q1523" s="28" t="s">
        <v>3794</v>
      </c>
      <c r="R1523" s="28" t="s">
        <v>3795</v>
      </c>
    </row>
    <row r="1524" spans="1:18" hidden="1">
      <c r="A1524" s="28">
        <v>4</v>
      </c>
      <c r="B1524" s="29" t="s">
        <v>306</v>
      </c>
      <c r="C1524" s="29" t="s">
        <v>624</v>
      </c>
      <c r="D1524" s="29" t="s">
        <v>625</v>
      </c>
      <c r="E1524" s="29" t="s">
        <v>172</v>
      </c>
      <c r="F1524" s="28" t="s">
        <v>3776</v>
      </c>
      <c r="G1524" s="28" t="s">
        <v>3777</v>
      </c>
      <c r="H1524" s="28" t="s">
        <v>384</v>
      </c>
      <c r="I1524" s="28">
        <v>4</v>
      </c>
      <c r="J1524" s="30">
        <v>6.9000000000000006E-2</v>
      </c>
      <c r="K1524" s="28" t="s">
        <v>257</v>
      </c>
      <c r="L1524" s="31">
        <v>42552</v>
      </c>
      <c r="M1524" s="28">
        <v>7</v>
      </c>
      <c r="N1524" s="32" t="s">
        <v>184</v>
      </c>
      <c r="O1524" s="28" t="s">
        <v>204</v>
      </c>
      <c r="P1524" s="28" t="s">
        <v>3796</v>
      </c>
      <c r="Q1524" s="28" t="s">
        <v>3797</v>
      </c>
      <c r="R1524" s="28" t="s">
        <v>3780</v>
      </c>
    </row>
    <row r="1525" spans="1:18" hidden="1">
      <c r="A1525" s="28">
        <v>4</v>
      </c>
      <c r="B1525" s="29" t="s">
        <v>306</v>
      </c>
      <c r="C1525" s="29" t="s">
        <v>318</v>
      </c>
      <c r="D1525" s="29" t="s">
        <v>323</v>
      </c>
      <c r="E1525" s="29" t="s">
        <v>172</v>
      </c>
      <c r="F1525" s="28" t="s">
        <v>3776</v>
      </c>
      <c r="G1525" s="28" t="s">
        <v>3777</v>
      </c>
      <c r="H1525" s="28" t="s">
        <v>384</v>
      </c>
      <c r="I1525" s="28">
        <v>4</v>
      </c>
      <c r="J1525" s="30">
        <v>6.9000000000000006E-2</v>
      </c>
      <c r="K1525" s="28" t="s">
        <v>257</v>
      </c>
      <c r="L1525" s="31">
        <v>42552</v>
      </c>
      <c r="M1525" s="28">
        <v>7</v>
      </c>
      <c r="N1525" s="32" t="s">
        <v>184</v>
      </c>
      <c r="O1525" s="28" t="s">
        <v>204</v>
      </c>
      <c r="P1525" s="28" t="s">
        <v>3798</v>
      </c>
      <c r="Q1525" s="28" t="s">
        <v>3799</v>
      </c>
      <c r="R1525" s="28" t="s">
        <v>3800</v>
      </c>
    </row>
    <row r="1526" spans="1:18" hidden="1">
      <c r="A1526" s="28">
        <v>4</v>
      </c>
      <c r="B1526" s="29" t="s">
        <v>306</v>
      </c>
      <c r="C1526" s="29" t="s">
        <v>333</v>
      </c>
      <c r="D1526" s="29" t="s">
        <v>673</v>
      </c>
      <c r="E1526" s="29" t="s">
        <v>172</v>
      </c>
      <c r="F1526" s="28" t="s">
        <v>3776</v>
      </c>
      <c r="G1526" s="28" t="s">
        <v>3777</v>
      </c>
      <c r="H1526" s="28" t="s">
        <v>384</v>
      </c>
      <c r="I1526" s="28">
        <v>4</v>
      </c>
      <c r="J1526" s="30">
        <v>6.9000000000000006E-2</v>
      </c>
      <c r="K1526" s="28" t="s">
        <v>769</v>
      </c>
      <c r="L1526" s="31">
        <v>42826</v>
      </c>
      <c r="M1526" s="28">
        <v>4</v>
      </c>
      <c r="N1526" s="32" t="s">
        <v>191</v>
      </c>
      <c r="O1526" s="28" t="s">
        <v>204</v>
      </c>
      <c r="P1526" s="28" t="s">
        <v>3801</v>
      </c>
      <c r="Q1526" s="28" t="s">
        <v>3802</v>
      </c>
      <c r="R1526" s="28" t="s">
        <v>3803</v>
      </c>
    </row>
    <row r="1527" spans="1:18" hidden="1">
      <c r="A1527" s="28">
        <v>4</v>
      </c>
      <c r="B1527" s="29" t="s">
        <v>306</v>
      </c>
      <c r="C1527" s="29" t="s">
        <v>333</v>
      </c>
      <c r="D1527" s="29" t="s">
        <v>673</v>
      </c>
      <c r="E1527" s="29" t="s">
        <v>172</v>
      </c>
      <c r="F1527" s="28" t="s">
        <v>3776</v>
      </c>
      <c r="G1527" s="28" t="s">
        <v>3777</v>
      </c>
      <c r="H1527" s="28" t="s">
        <v>384</v>
      </c>
      <c r="I1527" s="28">
        <v>4</v>
      </c>
      <c r="J1527" s="30">
        <v>6.9000000000000006E-2</v>
      </c>
      <c r="K1527" s="28" t="s">
        <v>522</v>
      </c>
      <c r="L1527" s="31">
        <v>44256</v>
      </c>
      <c r="M1527" s="28">
        <v>3</v>
      </c>
      <c r="N1527" s="32" t="s">
        <v>191</v>
      </c>
      <c r="O1527" s="28" t="s">
        <v>204</v>
      </c>
      <c r="P1527" s="28" t="s">
        <v>3804</v>
      </c>
      <c r="Q1527" s="28" t="s">
        <v>3802</v>
      </c>
      <c r="R1527" s="28" t="s">
        <v>3803</v>
      </c>
    </row>
    <row r="1528" spans="1:18" hidden="1">
      <c r="A1528" s="28">
        <v>5</v>
      </c>
      <c r="B1528" s="29" t="s">
        <v>349</v>
      </c>
      <c r="C1528" s="29" t="s">
        <v>350</v>
      </c>
      <c r="D1528" s="29" t="s">
        <v>716</v>
      </c>
      <c r="E1528" s="29" t="s">
        <v>172</v>
      </c>
      <c r="F1528" s="28" t="s">
        <v>3776</v>
      </c>
      <c r="G1528" s="28" t="s">
        <v>3777</v>
      </c>
      <c r="H1528" s="28" t="s">
        <v>384</v>
      </c>
      <c r="I1528" s="28">
        <v>4</v>
      </c>
      <c r="J1528" s="30">
        <v>6.9000000000000006E-2</v>
      </c>
      <c r="K1528" s="28" t="s">
        <v>248</v>
      </c>
      <c r="L1528" s="31">
        <v>43070</v>
      </c>
      <c r="M1528" s="28">
        <v>12</v>
      </c>
      <c r="N1528" s="32" t="s">
        <v>176</v>
      </c>
      <c r="O1528" s="28" t="s">
        <v>204</v>
      </c>
      <c r="P1528" s="28" t="s">
        <v>3805</v>
      </c>
      <c r="Q1528" s="28" t="s">
        <v>3806</v>
      </c>
      <c r="R1528" s="28" t="s">
        <v>3807</v>
      </c>
    </row>
    <row r="1529" spans="1:18" hidden="1">
      <c r="A1529" s="28">
        <v>5</v>
      </c>
      <c r="B1529" s="29" t="s">
        <v>349</v>
      </c>
      <c r="C1529" s="29" t="s">
        <v>355</v>
      </c>
      <c r="D1529" s="29" t="s">
        <v>360</v>
      </c>
      <c r="E1529" s="29" t="s">
        <v>172</v>
      </c>
      <c r="F1529" s="28" t="s">
        <v>3776</v>
      </c>
      <c r="G1529" s="28" t="s">
        <v>3777</v>
      </c>
      <c r="H1529" s="28" t="s">
        <v>384</v>
      </c>
      <c r="I1529" s="28">
        <v>4</v>
      </c>
      <c r="J1529" s="30">
        <v>6.9000000000000006E-2</v>
      </c>
      <c r="K1529" s="28" t="s">
        <v>489</v>
      </c>
      <c r="L1529" s="31">
        <v>42491</v>
      </c>
      <c r="M1529" s="28">
        <v>5</v>
      </c>
      <c r="N1529" s="32" t="s">
        <v>191</v>
      </c>
      <c r="O1529" s="28" t="s">
        <v>204</v>
      </c>
      <c r="P1529" s="28" t="s">
        <v>3808</v>
      </c>
      <c r="Q1529" s="28" t="s">
        <v>3806</v>
      </c>
      <c r="R1529" s="28" t="s">
        <v>3807</v>
      </c>
    </row>
    <row r="1530" spans="1:18" hidden="1">
      <c r="A1530" s="28">
        <v>1</v>
      </c>
      <c r="B1530" s="29" t="s">
        <v>379</v>
      </c>
      <c r="C1530" s="29" t="s">
        <v>388</v>
      </c>
      <c r="D1530" s="29" t="s">
        <v>999</v>
      </c>
      <c r="E1530" s="29" t="s">
        <v>172</v>
      </c>
      <c r="F1530" s="28" t="s">
        <v>3809</v>
      </c>
      <c r="G1530" s="28" t="s">
        <v>3809</v>
      </c>
      <c r="H1530" s="28" t="s">
        <v>174</v>
      </c>
      <c r="I1530" s="28" t="s">
        <v>174</v>
      </c>
      <c r="J1530" s="30" t="s">
        <v>174</v>
      </c>
      <c r="K1530" s="28" t="s">
        <v>271</v>
      </c>
      <c r="L1530" s="31">
        <v>42856</v>
      </c>
      <c r="M1530" s="28">
        <v>5</v>
      </c>
      <c r="N1530" s="32" t="s">
        <v>191</v>
      </c>
      <c r="O1530" s="28" t="s">
        <v>177</v>
      </c>
      <c r="P1530" s="28" t="s">
        <v>3810</v>
      </c>
      <c r="Q1530" s="28" t="s">
        <v>3811</v>
      </c>
      <c r="R1530" s="28" t="s">
        <v>3812</v>
      </c>
    </row>
    <row r="1531" spans="1:18" hidden="1">
      <c r="A1531" s="28">
        <v>10</v>
      </c>
      <c r="B1531" s="29" t="s">
        <v>1215</v>
      </c>
      <c r="C1531" s="29" t="s">
        <v>1221</v>
      </c>
      <c r="D1531" s="29" t="s">
        <v>1222</v>
      </c>
      <c r="E1531" s="29" t="s">
        <v>374</v>
      </c>
      <c r="F1531" s="28" t="s">
        <v>3809</v>
      </c>
      <c r="G1531" s="28" t="s">
        <v>3809</v>
      </c>
      <c r="H1531" s="28" t="s">
        <v>174</v>
      </c>
      <c r="I1531" s="28" t="s">
        <v>174</v>
      </c>
      <c r="J1531" s="30" t="s">
        <v>174</v>
      </c>
      <c r="K1531" s="28" t="s">
        <v>263</v>
      </c>
      <c r="L1531" s="31">
        <v>42430</v>
      </c>
      <c r="M1531" s="28">
        <v>3</v>
      </c>
      <c r="N1531" s="32" t="s">
        <v>191</v>
      </c>
      <c r="O1531" s="28" t="s">
        <v>3813</v>
      </c>
      <c r="P1531" s="28" t="s">
        <v>3814</v>
      </c>
      <c r="Q1531" s="28" t="s">
        <v>3815</v>
      </c>
      <c r="R1531" s="28" t="s">
        <v>3816</v>
      </c>
    </row>
    <row r="1532" spans="1:18" hidden="1">
      <c r="A1532" s="28">
        <v>10</v>
      </c>
      <c r="B1532" s="29" t="s">
        <v>1215</v>
      </c>
      <c r="C1532" s="29" t="s">
        <v>1221</v>
      </c>
      <c r="D1532" s="29" t="s">
        <v>1222</v>
      </c>
      <c r="E1532" s="29" t="s">
        <v>374</v>
      </c>
      <c r="F1532" s="28" t="s">
        <v>3809</v>
      </c>
      <c r="G1532" s="28" t="s">
        <v>3809</v>
      </c>
      <c r="H1532" s="28" t="s">
        <v>174</v>
      </c>
      <c r="I1532" s="28" t="s">
        <v>174</v>
      </c>
      <c r="J1532" s="30" t="s">
        <v>174</v>
      </c>
      <c r="K1532" s="28" t="s">
        <v>243</v>
      </c>
      <c r="L1532" s="31">
        <v>42461</v>
      </c>
      <c r="M1532" s="28">
        <v>4</v>
      </c>
      <c r="N1532" s="32" t="s">
        <v>191</v>
      </c>
      <c r="O1532" s="28" t="s">
        <v>3813</v>
      </c>
      <c r="P1532" s="28" t="s">
        <v>3817</v>
      </c>
      <c r="Q1532" s="28" t="s">
        <v>3815</v>
      </c>
      <c r="R1532" s="28" t="s">
        <v>3816</v>
      </c>
    </row>
    <row r="1533" spans="1:18" hidden="1">
      <c r="A1533" s="28">
        <v>10</v>
      </c>
      <c r="B1533" s="29" t="s">
        <v>1215</v>
      </c>
      <c r="C1533" s="29" t="s">
        <v>1221</v>
      </c>
      <c r="D1533" s="29" t="s">
        <v>1222</v>
      </c>
      <c r="E1533" s="29" t="s">
        <v>374</v>
      </c>
      <c r="F1533" s="28" t="s">
        <v>3809</v>
      </c>
      <c r="G1533" s="28" t="s">
        <v>3809</v>
      </c>
      <c r="H1533" s="28" t="s">
        <v>174</v>
      </c>
      <c r="I1533" s="28" t="s">
        <v>174</v>
      </c>
      <c r="J1533" s="30" t="s">
        <v>174</v>
      </c>
      <c r="K1533" s="28" t="s">
        <v>460</v>
      </c>
      <c r="L1533" s="31">
        <v>42675</v>
      </c>
      <c r="M1533" s="28">
        <v>11</v>
      </c>
      <c r="N1533" s="32" t="s">
        <v>191</v>
      </c>
      <c r="O1533" s="28" t="s">
        <v>3813</v>
      </c>
      <c r="P1533" s="28" t="s">
        <v>3818</v>
      </c>
      <c r="Q1533" s="28" t="s">
        <v>3815</v>
      </c>
      <c r="R1533" s="28" t="s">
        <v>3816</v>
      </c>
    </row>
    <row r="1534" spans="1:18" hidden="1">
      <c r="A1534" s="28">
        <v>10</v>
      </c>
      <c r="B1534" s="29" t="s">
        <v>1215</v>
      </c>
      <c r="C1534" s="29" t="s">
        <v>1221</v>
      </c>
      <c r="D1534" s="29" t="s">
        <v>1222</v>
      </c>
      <c r="E1534" s="29" t="s">
        <v>374</v>
      </c>
      <c r="F1534" s="28" t="s">
        <v>3809</v>
      </c>
      <c r="G1534" s="28" t="s">
        <v>3809</v>
      </c>
      <c r="H1534" s="28" t="s">
        <v>174</v>
      </c>
      <c r="I1534" s="28" t="s">
        <v>174</v>
      </c>
      <c r="J1534" s="30" t="s">
        <v>174</v>
      </c>
      <c r="K1534" s="28" t="s">
        <v>401</v>
      </c>
      <c r="L1534" s="31">
        <v>42705</v>
      </c>
      <c r="M1534" s="28">
        <v>12</v>
      </c>
      <c r="N1534" s="32" t="s">
        <v>176</v>
      </c>
      <c r="O1534" s="28" t="s">
        <v>3813</v>
      </c>
      <c r="P1534" s="28" t="s">
        <v>3819</v>
      </c>
      <c r="Q1534" s="28" t="s">
        <v>3815</v>
      </c>
      <c r="R1534" s="28" t="s">
        <v>3816</v>
      </c>
    </row>
    <row r="1535" spans="1:18" hidden="1">
      <c r="A1535" s="28">
        <v>10</v>
      </c>
      <c r="B1535" s="29" t="s">
        <v>1215</v>
      </c>
      <c r="C1535" s="29" t="s">
        <v>1221</v>
      </c>
      <c r="D1535" s="29" t="s">
        <v>1222</v>
      </c>
      <c r="E1535" s="29" t="s">
        <v>374</v>
      </c>
      <c r="F1535" s="28" t="s">
        <v>3809</v>
      </c>
      <c r="G1535" s="28" t="s">
        <v>3809</v>
      </c>
      <c r="H1535" s="28" t="s">
        <v>174</v>
      </c>
      <c r="I1535" s="28" t="s">
        <v>174</v>
      </c>
      <c r="J1535" s="30" t="s">
        <v>174</v>
      </c>
      <c r="K1535" s="28" t="s">
        <v>401</v>
      </c>
      <c r="L1535" s="31">
        <v>42705</v>
      </c>
      <c r="M1535" s="28">
        <v>12</v>
      </c>
      <c r="N1535" s="32" t="s">
        <v>176</v>
      </c>
      <c r="O1535" s="28" t="s">
        <v>3813</v>
      </c>
      <c r="P1535" s="28" t="s">
        <v>3820</v>
      </c>
      <c r="Q1535" s="28" t="s">
        <v>3815</v>
      </c>
      <c r="R1535" s="28" t="s">
        <v>3816</v>
      </c>
    </row>
    <row r="1536" spans="1:18" hidden="1">
      <c r="A1536" s="28">
        <v>10</v>
      </c>
      <c r="B1536" s="29" t="s">
        <v>1215</v>
      </c>
      <c r="C1536" s="29" t="s">
        <v>1221</v>
      </c>
      <c r="D1536" s="29" t="s">
        <v>1222</v>
      </c>
      <c r="E1536" s="29" t="s">
        <v>374</v>
      </c>
      <c r="F1536" s="28" t="s">
        <v>3809</v>
      </c>
      <c r="G1536" s="28" t="s">
        <v>3809</v>
      </c>
      <c r="H1536" s="28" t="s">
        <v>174</v>
      </c>
      <c r="I1536" s="28" t="s">
        <v>174</v>
      </c>
      <c r="J1536" s="30" t="s">
        <v>174</v>
      </c>
      <c r="K1536" s="28" t="s">
        <v>198</v>
      </c>
      <c r="L1536" s="31">
        <v>42767</v>
      </c>
      <c r="M1536" s="28">
        <v>2</v>
      </c>
      <c r="N1536" s="32" t="s">
        <v>176</v>
      </c>
      <c r="O1536" s="28" t="s">
        <v>3813</v>
      </c>
      <c r="P1536" s="28" t="s">
        <v>3821</v>
      </c>
      <c r="Q1536" s="28" t="s">
        <v>3815</v>
      </c>
      <c r="R1536" s="28" t="s">
        <v>3816</v>
      </c>
    </row>
    <row r="1537" spans="1:18" hidden="1">
      <c r="A1537" s="28">
        <v>11</v>
      </c>
      <c r="B1537" s="29" t="s">
        <v>169</v>
      </c>
      <c r="C1537" s="29" t="s">
        <v>181</v>
      </c>
      <c r="D1537" s="29" t="s">
        <v>182</v>
      </c>
      <c r="E1537" s="29" t="s">
        <v>172</v>
      </c>
      <c r="F1537" s="28" t="s">
        <v>3809</v>
      </c>
      <c r="G1537" s="28" t="s">
        <v>3809</v>
      </c>
      <c r="H1537" s="28" t="s">
        <v>174</v>
      </c>
      <c r="I1537" s="28" t="s">
        <v>174</v>
      </c>
      <c r="J1537" s="30" t="s">
        <v>174</v>
      </c>
      <c r="K1537" s="28" t="s">
        <v>460</v>
      </c>
      <c r="L1537" s="31">
        <v>42675</v>
      </c>
      <c r="M1537" s="28">
        <v>11</v>
      </c>
      <c r="N1537" s="32" t="s">
        <v>191</v>
      </c>
      <c r="O1537" s="28" t="s">
        <v>177</v>
      </c>
      <c r="P1537" s="28" t="s">
        <v>3822</v>
      </c>
      <c r="Q1537" s="28" t="s">
        <v>3823</v>
      </c>
      <c r="R1537" s="28" t="s">
        <v>3824</v>
      </c>
    </row>
    <row r="1538" spans="1:18" hidden="1">
      <c r="A1538" s="28">
        <v>11</v>
      </c>
      <c r="B1538" s="29" t="s">
        <v>169</v>
      </c>
      <c r="C1538" s="29" t="s">
        <v>181</v>
      </c>
      <c r="D1538" s="29" t="s">
        <v>182</v>
      </c>
      <c r="E1538" s="29" t="s">
        <v>172</v>
      </c>
      <c r="F1538" s="28" t="s">
        <v>3809</v>
      </c>
      <c r="G1538" s="28" t="s">
        <v>3809</v>
      </c>
      <c r="H1538" s="28" t="s">
        <v>174</v>
      </c>
      <c r="I1538" s="28" t="s">
        <v>174</v>
      </c>
      <c r="J1538" s="30" t="s">
        <v>174</v>
      </c>
      <c r="K1538" s="28" t="s">
        <v>823</v>
      </c>
      <c r="L1538" s="31">
        <v>44136</v>
      </c>
      <c r="M1538" s="28">
        <v>11</v>
      </c>
      <c r="N1538" s="32" t="s">
        <v>191</v>
      </c>
      <c r="O1538" s="28" t="s">
        <v>204</v>
      </c>
      <c r="P1538" s="28" t="s">
        <v>3825</v>
      </c>
      <c r="Q1538" s="28" t="s">
        <v>3826</v>
      </c>
      <c r="R1538" s="28" t="s">
        <v>2578</v>
      </c>
    </row>
    <row r="1539" spans="1:18" hidden="1">
      <c r="A1539" s="28">
        <v>11</v>
      </c>
      <c r="B1539" s="29" t="s">
        <v>169</v>
      </c>
      <c r="C1539" s="29" t="s">
        <v>181</v>
      </c>
      <c r="D1539" s="29" t="s">
        <v>189</v>
      </c>
      <c r="E1539" s="29" t="s">
        <v>172</v>
      </c>
      <c r="F1539" s="28" t="s">
        <v>3809</v>
      </c>
      <c r="G1539" s="28" t="s">
        <v>3809</v>
      </c>
      <c r="H1539" s="28" t="s">
        <v>174</v>
      </c>
      <c r="I1539" s="28" t="s">
        <v>174</v>
      </c>
      <c r="J1539" s="30" t="s">
        <v>174</v>
      </c>
      <c r="K1539" s="28" t="s">
        <v>415</v>
      </c>
      <c r="L1539" s="31">
        <v>43952</v>
      </c>
      <c r="M1539" s="28">
        <v>5</v>
      </c>
      <c r="N1539" s="32" t="s">
        <v>191</v>
      </c>
      <c r="O1539" s="28" t="s">
        <v>2975</v>
      </c>
      <c r="P1539" s="28" t="s">
        <v>3827</v>
      </c>
      <c r="Q1539" s="28" t="s">
        <v>3828</v>
      </c>
      <c r="R1539" s="28" t="s">
        <v>3829</v>
      </c>
    </row>
    <row r="1540" spans="1:18" hidden="1">
      <c r="A1540" s="28">
        <v>11</v>
      </c>
      <c r="B1540" s="29" t="s">
        <v>169</v>
      </c>
      <c r="C1540" s="29" t="s">
        <v>181</v>
      </c>
      <c r="D1540" s="29" t="s">
        <v>189</v>
      </c>
      <c r="E1540" s="29" t="s">
        <v>172</v>
      </c>
      <c r="F1540" s="28" t="s">
        <v>3809</v>
      </c>
      <c r="G1540" s="28" t="s">
        <v>3809</v>
      </c>
      <c r="H1540" s="28" t="s">
        <v>174</v>
      </c>
      <c r="I1540" s="28" t="s">
        <v>174</v>
      </c>
      <c r="J1540" s="30" t="s">
        <v>174</v>
      </c>
      <c r="K1540" s="28" t="s">
        <v>646</v>
      </c>
      <c r="L1540" s="31">
        <v>44075</v>
      </c>
      <c r="M1540" s="28">
        <v>9</v>
      </c>
      <c r="N1540" s="32" t="s">
        <v>191</v>
      </c>
      <c r="O1540" s="28" t="s">
        <v>3830</v>
      </c>
      <c r="P1540" s="28" t="s">
        <v>3831</v>
      </c>
      <c r="Q1540" s="28" t="s">
        <v>3832</v>
      </c>
      <c r="R1540" s="28" t="s">
        <v>3833</v>
      </c>
    </row>
    <row r="1541" spans="1:18" hidden="1">
      <c r="A1541" s="28">
        <v>11</v>
      </c>
      <c r="B1541" s="29" t="s">
        <v>169</v>
      </c>
      <c r="C1541" s="29" t="s">
        <v>181</v>
      </c>
      <c r="D1541" s="29" t="s">
        <v>189</v>
      </c>
      <c r="E1541" s="29" t="s">
        <v>172</v>
      </c>
      <c r="F1541" s="28" t="s">
        <v>3809</v>
      </c>
      <c r="G1541" s="28" t="s">
        <v>3809</v>
      </c>
      <c r="H1541" s="28" t="s">
        <v>174</v>
      </c>
      <c r="I1541" s="28" t="s">
        <v>174</v>
      </c>
      <c r="J1541" s="30" t="s">
        <v>174</v>
      </c>
      <c r="K1541" s="28" t="s">
        <v>962</v>
      </c>
      <c r="L1541" s="31">
        <v>44348</v>
      </c>
      <c r="M1541" s="28">
        <v>6</v>
      </c>
      <c r="N1541" s="32" t="s">
        <v>184</v>
      </c>
      <c r="O1541" s="28" t="s">
        <v>3830</v>
      </c>
      <c r="P1541" s="28" t="s">
        <v>3834</v>
      </c>
      <c r="Q1541" s="28" t="s">
        <v>3835</v>
      </c>
      <c r="R1541" s="28" t="s">
        <v>3836</v>
      </c>
    </row>
    <row r="1542" spans="1:18" hidden="1">
      <c r="A1542" s="28">
        <v>11</v>
      </c>
      <c r="B1542" s="29" t="s">
        <v>169</v>
      </c>
      <c r="C1542" s="29" t="s">
        <v>181</v>
      </c>
      <c r="D1542" s="29" t="s">
        <v>189</v>
      </c>
      <c r="E1542" s="29" t="s">
        <v>172</v>
      </c>
      <c r="F1542" s="28" t="s">
        <v>3809</v>
      </c>
      <c r="G1542" s="28" t="s">
        <v>3809</v>
      </c>
      <c r="H1542" s="28" t="s">
        <v>174</v>
      </c>
      <c r="I1542" s="28" t="s">
        <v>174</v>
      </c>
      <c r="J1542" s="30" t="s">
        <v>174</v>
      </c>
      <c r="K1542" s="28" t="s">
        <v>345</v>
      </c>
      <c r="L1542" s="31">
        <v>44440</v>
      </c>
      <c r="M1542" s="28">
        <v>9</v>
      </c>
      <c r="N1542" s="32" t="s">
        <v>191</v>
      </c>
      <c r="O1542" s="28" t="s">
        <v>204</v>
      </c>
      <c r="P1542" s="28" t="s">
        <v>3837</v>
      </c>
      <c r="Q1542" s="28" t="s">
        <v>3838</v>
      </c>
      <c r="R1542" s="28" t="s">
        <v>3829</v>
      </c>
    </row>
    <row r="1543" spans="1:18" hidden="1">
      <c r="A1543" s="28">
        <v>12</v>
      </c>
      <c r="B1543" s="29" t="s">
        <v>195</v>
      </c>
      <c r="C1543" s="29" t="s">
        <v>1391</v>
      </c>
      <c r="D1543" s="29" t="s">
        <v>3432</v>
      </c>
      <c r="E1543" s="29" t="s">
        <v>172</v>
      </c>
      <c r="F1543" s="28" t="s">
        <v>3809</v>
      </c>
      <c r="G1543" s="28" t="s">
        <v>3809</v>
      </c>
      <c r="H1543" s="28" t="s">
        <v>174</v>
      </c>
      <c r="I1543" s="28" t="s">
        <v>174</v>
      </c>
      <c r="J1543" s="30" t="s">
        <v>174</v>
      </c>
      <c r="K1543" s="28" t="s">
        <v>442</v>
      </c>
      <c r="L1543" s="31">
        <v>43647</v>
      </c>
      <c r="M1543" s="28">
        <v>7</v>
      </c>
      <c r="N1543" s="32" t="s">
        <v>184</v>
      </c>
      <c r="O1543" s="28" t="s">
        <v>3830</v>
      </c>
      <c r="P1543" s="28" t="s">
        <v>3839</v>
      </c>
      <c r="Q1543" s="28" t="s">
        <v>3840</v>
      </c>
      <c r="R1543" s="28" t="s">
        <v>3841</v>
      </c>
    </row>
    <row r="1544" spans="1:18" hidden="1">
      <c r="A1544" s="28">
        <v>12</v>
      </c>
      <c r="B1544" s="29" t="s">
        <v>195</v>
      </c>
      <c r="C1544" s="29" t="s">
        <v>230</v>
      </c>
      <c r="D1544" s="29" t="s">
        <v>231</v>
      </c>
      <c r="E1544" s="29" t="s">
        <v>172</v>
      </c>
      <c r="F1544" s="28" t="s">
        <v>3809</v>
      </c>
      <c r="G1544" s="28" t="s">
        <v>3809</v>
      </c>
      <c r="H1544" s="28" t="s">
        <v>174</v>
      </c>
      <c r="I1544" s="28" t="s">
        <v>174</v>
      </c>
      <c r="J1544" s="30" t="s">
        <v>174</v>
      </c>
      <c r="K1544" s="28" t="s">
        <v>496</v>
      </c>
      <c r="L1544" s="31">
        <v>42917</v>
      </c>
      <c r="M1544" s="28">
        <v>7</v>
      </c>
      <c r="N1544" s="32" t="s">
        <v>184</v>
      </c>
      <c r="O1544" s="28" t="s">
        <v>3830</v>
      </c>
      <c r="P1544" s="28" t="s">
        <v>3842</v>
      </c>
      <c r="Q1544" s="28" t="s">
        <v>3843</v>
      </c>
      <c r="R1544" s="28" t="s">
        <v>3844</v>
      </c>
    </row>
    <row r="1545" spans="1:18" hidden="1">
      <c r="A1545" s="28">
        <v>12</v>
      </c>
      <c r="B1545" s="29" t="s">
        <v>195</v>
      </c>
      <c r="C1545" s="29" t="s">
        <v>230</v>
      </c>
      <c r="D1545" s="29" t="s">
        <v>231</v>
      </c>
      <c r="E1545" s="29" t="s">
        <v>172</v>
      </c>
      <c r="F1545" s="28" t="s">
        <v>3809</v>
      </c>
      <c r="G1545" s="28" t="s">
        <v>3809</v>
      </c>
      <c r="H1545" s="28" t="s">
        <v>174</v>
      </c>
      <c r="I1545" s="28" t="s">
        <v>174</v>
      </c>
      <c r="J1545" s="30" t="s">
        <v>174</v>
      </c>
      <c r="K1545" s="28" t="s">
        <v>813</v>
      </c>
      <c r="L1545" s="31">
        <v>43009</v>
      </c>
      <c r="M1545" s="28">
        <v>10</v>
      </c>
      <c r="N1545" s="32" t="s">
        <v>191</v>
      </c>
      <c r="O1545" s="28" t="s">
        <v>3830</v>
      </c>
      <c r="P1545" s="28" t="s">
        <v>3845</v>
      </c>
      <c r="Q1545" s="28" t="s">
        <v>3843</v>
      </c>
      <c r="R1545" s="28" t="s">
        <v>3844</v>
      </c>
    </row>
    <row r="1546" spans="1:18" hidden="1">
      <c r="A1546" s="28">
        <v>4</v>
      </c>
      <c r="B1546" s="29" t="s">
        <v>306</v>
      </c>
      <c r="C1546" s="29" t="s">
        <v>307</v>
      </c>
      <c r="D1546" s="29" t="s">
        <v>308</v>
      </c>
      <c r="E1546" s="29" t="s">
        <v>172</v>
      </c>
      <c r="F1546" s="28" t="s">
        <v>3809</v>
      </c>
      <c r="G1546" s="28" t="s">
        <v>3809</v>
      </c>
      <c r="H1546" s="28" t="s">
        <v>174</v>
      </c>
      <c r="I1546" s="28" t="s">
        <v>174</v>
      </c>
      <c r="J1546" s="30" t="s">
        <v>174</v>
      </c>
      <c r="K1546" s="28" t="s">
        <v>232</v>
      </c>
      <c r="L1546" s="31">
        <v>42522</v>
      </c>
      <c r="M1546" s="28">
        <v>6</v>
      </c>
      <c r="N1546" s="32" t="s">
        <v>184</v>
      </c>
      <c r="O1546" s="28" t="s">
        <v>3830</v>
      </c>
      <c r="P1546" s="28" t="s">
        <v>3846</v>
      </c>
      <c r="Q1546" s="28" t="s">
        <v>3847</v>
      </c>
      <c r="R1546" s="28" t="s">
        <v>3848</v>
      </c>
    </row>
    <row r="1547" spans="1:18" hidden="1">
      <c r="A1547" s="28">
        <v>5</v>
      </c>
      <c r="B1547" s="29" t="s">
        <v>349</v>
      </c>
      <c r="C1547" s="29" t="s">
        <v>355</v>
      </c>
      <c r="D1547" s="29" t="s">
        <v>360</v>
      </c>
      <c r="E1547" s="29" t="s">
        <v>172</v>
      </c>
      <c r="F1547" s="28" t="s">
        <v>3809</v>
      </c>
      <c r="G1547" s="28" t="s">
        <v>3809</v>
      </c>
      <c r="H1547" s="28" t="s">
        <v>174</v>
      </c>
      <c r="I1547" s="28" t="s">
        <v>174</v>
      </c>
      <c r="J1547" s="30" t="s">
        <v>174</v>
      </c>
      <c r="K1547" s="28" t="s">
        <v>813</v>
      </c>
      <c r="L1547" s="31">
        <v>43009</v>
      </c>
      <c r="M1547" s="28">
        <v>10</v>
      </c>
      <c r="N1547" s="32" t="s">
        <v>191</v>
      </c>
      <c r="O1547" s="28" t="s">
        <v>204</v>
      </c>
      <c r="P1547" s="28" t="s">
        <v>3849</v>
      </c>
      <c r="Q1547" s="28" t="s">
        <v>3850</v>
      </c>
      <c r="R1547" s="28" t="s">
        <v>3851</v>
      </c>
    </row>
    <row r="1548" spans="1:18" hidden="1">
      <c r="A1548" s="28">
        <v>5</v>
      </c>
      <c r="B1548" s="29" t="s">
        <v>349</v>
      </c>
      <c r="C1548" s="29" t="s">
        <v>355</v>
      </c>
      <c r="D1548" s="29" t="s">
        <v>360</v>
      </c>
      <c r="E1548" s="29" t="s">
        <v>172</v>
      </c>
      <c r="F1548" s="28" t="s">
        <v>3809</v>
      </c>
      <c r="G1548" s="28" t="s">
        <v>3809</v>
      </c>
      <c r="H1548" s="28" t="s">
        <v>174</v>
      </c>
      <c r="I1548" s="28" t="s">
        <v>174</v>
      </c>
      <c r="J1548" s="30" t="s">
        <v>174</v>
      </c>
      <c r="K1548" s="28" t="s">
        <v>411</v>
      </c>
      <c r="L1548" s="31">
        <v>43556</v>
      </c>
      <c r="M1548" s="28">
        <v>4</v>
      </c>
      <c r="N1548" s="32" t="s">
        <v>191</v>
      </c>
      <c r="O1548" s="28" t="s">
        <v>3852</v>
      </c>
      <c r="P1548" s="28" t="s">
        <v>3853</v>
      </c>
      <c r="Q1548" s="28" t="s">
        <v>3854</v>
      </c>
      <c r="R1548" s="28" t="s">
        <v>3855</v>
      </c>
    </row>
    <row r="1549" spans="1:18" hidden="1">
      <c r="A1549" s="28">
        <v>11</v>
      </c>
      <c r="B1549" s="29" t="s">
        <v>169</v>
      </c>
      <c r="C1549" s="29" t="s">
        <v>181</v>
      </c>
      <c r="D1549" s="29" t="s">
        <v>189</v>
      </c>
      <c r="E1549" s="29" t="s">
        <v>172</v>
      </c>
      <c r="F1549" s="28" t="s">
        <v>3856</v>
      </c>
      <c r="G1549" s="28" t="s">
        <v>3856</v>
      </c>
      <c r="H1549" s="28" t="s">
        <v>174</v>
      </c>
      <c r="I1549" s="28" t="s">
        <v>174</v>
      </c>
      <c r="J1549" s="30" t="s">
        <v>174</v>
      </c>
      <c r="K1549" s="28" t="s">
        <v>415</v>
      </c>
      <c r="L1549" s="31">
        <v>43952</v>
      </c>
      <c r="M1549" s="28">
        <v>5</v>
      </c>
      <c r="N1549" s="32" t="s">
        <v>191</v>
      </c>
      <c r="O1549" s="28" t="s">
        <v>204</v>
      </c>
      <c r="P1549" s="28" t="s">
        <v>3857</v>
      </c>
      <c r="Q1549" s="28" t="s">
        <v>3858</v>
      </c>
      <c r="R1549" s="28" t="s">
        <v>3859</v>
      </c>
    </row>
    <row r="1550" spans="1:18" hidden="1">
      <c r="A1550" s="28">
        <v>12</v>
      </c>
      <c r="B1550" s="29" t="s">
        <v>195</v>
      </c>
      <c r="C1550" s="29" t="s">
        <v>196</v>
      </c>
      <c r="D1550" s="29" t="s">
        <v>197</v>
      </c>
      <c r="E1550" s="29" t="s">
        <v>172</v>
      </c>
      <c r="F1550" s="28" t="s">
        <v>3856</v>
      </c>
      <c r="G1550" s="28" t="s">
        <v>3856</v>
      </c>
      <c r="H1550" s="28" t="s">
        <v>174</v>
      </c>
      <c r="I1550" s="28" t="s">
        <v>174</v>
      </c>
      <c r="J1550" s="30" t="s">
        <v>174</v>
      </c>
      <c r="K1550" s="28" t="s">
        <v>1896</v>
      </c>
      <c r="L1550" s="31">
        <v>43132</v>
      </c>
      <c r="M1550" s="28">
        <v>2</v>
      </c>
      <c r="N1550" s="32" t="s">
        <v>176</v>
      </c>
      <c r="O1550" s="28" t="s">
        <v>204</v>
      </c>
      <c r="P1550" s="28" t="s">
        <v>3860</v>
      </c>
      <c r="Q1550" s="28" t="s">
        <v>2075</v>
      </c>
      <c r="R1550" s="28" t="s">
        <v>2076</v>
      </c>
    </row>
    <row r="1551" spans="1:18" hidden="1">
      <c r="A1551" s="28">
        <v>2</v>
      </c>
      <c r="B1551" s="29" t="s">
        <v>240</v>
      </c>
      <c r="C1551" s="29" t="s">
        <v>241</v>
      </c>
      <c r="D1551" s="29" t="s">
        <v>509</v>
      </c>
      <c r="E1551" s="29" t="s">
        <v>172</v>
      </c>
      <c r="F1551" s="28" t="s">
        <v>3856</v>
      </c>
      <c r="G1551" s="28" t="s">
        <v>3856</v>
      </c>
      <c r="H1551" s="28" t="s">
        <v>174</v>
      </c>
      <c r="I1551" s="28" t="s">
        <v>174</v>
      </c>
      <c r="J1551" s="30" t="s">
        <v>174</v>
      </c>
      <c r="K1551" s="28" t="s">
        <v>730</v>
      </c>
      <c r="L1551" s="31">
        <v>44166</v>
      </c>
      <c r="M1551" s="28">
        <v>12</v>
      </c>
      <c r="N1551" s="32" t="s">
        <v>176</v>
      </c>
      <c r="O1551" s="28" t="s">
        <v>329</v>
      </c>
      <c r="P1551" s="28" t="s">
        <v>3861</v>
      </c>
      <c r="Q1551" s="28" t="s">
        <v>3862</v>
      </c>
      <c r="R1551" s="28" t="s">
        <v>3863</v>
      </c>
    </row>
    <row r="1552" spans="1:18" hidden="1">
      <c r="A1552" s="28">
        <v>2</v>
      </c>
      <c r="B1552" s="29" t="s">
        <v>240</v>
      </c>
      <c r="C1552" s="29" t="s">
        <v>241</v>
      </c>
      <c r="D1552" s="29" t="s">
        <v>252</v>
      </c>
      <c r="E1552" s="29" t="s">
        <v>172</v>
      </c>
      <c r="F1552" s="28" t="s">
        <v>3856</v>
      </c>
      <c r="G1552" s="28" t="s">
        <v>3856</v>
      </c>
      <c r="H1552" s="28" t="s">
        <v>174</v>
      </c>
      <c r="I1552" s="28" t="s">
        <v>174</v>
      </c>
      <c r="J1552" s="30" t="s">
        <v>174</v>
      </c>
      <c r="K1552" s="28" t="s">
        <v>208</v>
      </c>
      <c r="L1552" s="31">
        <v>43101</v>
      </c>
      <c r="M1552" s="28">
        <v>1</v>
      </c>
      <c r="N1552" s="32" t="s">
        <v>176</v>
      </c>
      <c r="O1552" s="28" t="s">
        <v>185</v>
      </c>
      <c r="P1552" s="28" t="s">
        <v>3864</v>
      </c>
      <c r="Q1552" s="28" t="s">
        <v>3865</v>
      </c>
      <c r="R1552" s="28" t="s">
        <v>3866</v>
      </c>
    </row>
    <row r="1553" spans="1:18" hidden="1">
      <c r="A1553" s="28">
        <v>2</v>
      </c>
      <c r="B1553" s="29" t="s">
        <v>240</v>
      </c>
      <c r="C1553" s="29" t="s">
        <v>261</v>
      </c>
      <c r="D1553" s="29" t="s">
        <v>532</v>
      </c>
      <c r="E1553" s="29" t="s">
        <v>172</v>
      </c>
      <c r="F1553" s="28" t="s">
        <v>3856</v>
      </c>
      <c r="G1553" s="28" t="s">
        <v>3856</v>
      </c>
      <c r="H1553" s="28" t="s">
        <v>174</v>
      </c>
      <c r="I1553" s="28" t="s">
        <v>174</v>
      </c>
      <c r="J1553" s="30" t="s">
        <v>174</v>
      </c>
      <c r="K1553" s="28" t="s">
        <v>415</v>
      </c>
      <c r="L1553" s="31">
        <v>43952</v>
      </c>
      <c r="M1553" s="28">
        <v>5</v>
      </c>
      <c r="N1553" s="32" t="s">
        <v>191</v>
      </c>
      <c r="O1553" s="28" t="s">
        <v>272</v>
      </c>
      <c r="P1553" s="28" t="s">
        <v>3867</v>
      </c>
      <c r="Q1553" s="28" t="s">
        <v>3868</v>
      </c>
      <c r="R1553" s="28" t="s">
        <v>3869</v>
      </c>
    </row>
    <row r="1554" spans="1:18">
      <c r="A1554" s="28">
        <v>3</v>
      </c>
      <c r="B1554" s="29" t="s">
        <v>286</v>
      </c>
      <c r="C1554" s="29" t="s">
        <v>287</v>
      </c>
      <c r="D1554" s="29" t="s">
        <v>288</v>
      </c>
      <c r="E1554" s="29" t="s">
        <v>172</v>
      </c>
      <c r="F1554" s="28" t="s">
        <v>3856</v>
      </c>
      <c r="G1554" s="28" t="s">
        <v>3856</v>
      </c>
      <c r="H1554" s="28" t="s">
        <v>174</v>
      </c>
      <c r="I1554" s="28" t="s">
        <v>174</v>
      </c>
      <c r="J1554" s="30" t="s">
        <v>174</v>
      </c>
      <c r="K1554" s="28" t="s">
        <v>208</v>
      </c>
      <c r="L1554" s="31">
        <v>43101</v>
      </c>
      <c r="M1554" s="28">
        <v>1</v>
      </c>
      <c r="N1554" s="32" t="s">
        <v>176</v>
      </c>
      <c r="O1554" s="28" t="s">
        <v>185</v>
      </c>
      <c r="P1554" s="28" t="s">
        <v>3870</v>
      </c>
      <c r="Q1554" s="28" t="s">
        <v>3871</v>
      </c>
      <c r="R1554" s="28" t="s">
        <v>3872</v>
      </c>
    </row>
    <row r="1555" spans="1:18" hidden="1">
      <c r="A1555" s="28">
        <v>4</v>
      </c>
      <c r="B1555" s="29" t="s">
        <v>306</v>
      </c>
      <c r="C1555" s="29" t="s">
        <v>1776</v>
      </c>
      <c r="D1555" s="29" t="s">
        <v>2666</v>
      </c>
      <c r="E1555" s="29" t="s">
        <v>172</v>
      </c>
      <c r="F1555" s="28" t="s">
        <v>3856</v>
      </c>
      <c r="G1555" s="28" t="s">
        <v>3856</v>
      </c>
      <c r="H1555" s="28" t="s">
        <v>174</v>
      </c>
      <c r="I1555" s="28" t="s">
        <v>174</v>
      </c>
      <c r="J1555" s="30" t="s">
        <v>174</v>
      </c>
      <c r="K1555" s="28" t="s">
        <v>415</v>
      </c>
      <c r="L1555" s="31">
        <v>43952</v>
      </c>
      <c r="M1555" s="28">
        <v>5</v>
      </c>
      <c r="N1555" s="32" t="s">
        <v>191</v>
      </c>
      <c r="O1555" s="28" t="s">
        <v>1060</v>
      </c>
      <c r="P1555" s="28" t="s">
        <v>3873</v>
      </c>
      <c r="Q1555" s="28" t="s">
        <v>3874</v>
      </c>
      <c r="R1555" s="28" t="s">
        <v>3875</v>
      </c>
    </row>
    <row r="1556" spans="1:18" hidden="1">
      <c r="A1556" s="28">
        <v>4</v>
      </c>
      <c r="B1556" s="29" t="s">
        <v>306</v>
      </c>
      <c r="C1556" s="29" t="s">
        <v>624</v>
      </c>
      <c r="D1556" s="29" t="s">
        <v>630</v>
      </c>
      <c r="E1556" s="29" t="s">
        <v>172</v>
      </c>
      <c r="F1556" s="28" t="s">
        <v>3856</v>
      </c>
      <c r="G1556" s="28" t="s">
        <v>3856</v>
      </c>
      <c r="H1556" s="28" t="s">
        <v>174</v>
      </c>
      <c r="I1556" s="28" t="s">
        <v>174</v>
      </c>
      <c r="J1556" s="30" t="s">
        <v>174</v>
      </c>
      <c r="K1556" s="28" t="s">
        <v>397</v>
      </c>
      <c r="L1556" s="31">
        <v>43739</v>
      </c>
      <c r="M1556" s="28">
        <v>10</v>
      </c>
      <c r="N1556" s="32" t="s">
        <v>191</v>
      </c>
      <c r="O1556" s="28" t="s">
        <v>204</v>
      </c>
      <c r="P1556" s="28" t="s">
        <v>3876</v>
      </c>
      <c r="Q1556" s="28" t="s">
        <v>3877</v>
      </c>
      <c r="R1556" s="28" t="s">
        <v>3878</v>
      </c>
    </row>
    <row r="1557" spans="1:18" hidden="1">
      <c r="A1557" s="28">
        <v>5</v>
      </c>
      <c r="B1557" s="29" t="s">
        <v>349</v>
      </c>
      <c r="C1557" s="29" t="s">
        <v>350</v>
      </c>
      <c r="D1557" s="29" t="s">
        <v>716</v>
      </c>
      <c r="E1557" s="29" t="s">
        <v>172</v>
      </c>
      <c r="F1557" s="28" t="s">
        <v>3856</v>
      </c>
      <c r="G1557" s="28" t="s">
        <v>3856</v>
      </c>
      <c r="H1557" s="28" t="s">
        <v>174</v>
      </c>
      <c r="I1557" s="28" t="s">
        <v>174</v>
      </c>
      <c r="J1557" s="30" t="s">
        <v>174</v>
      </c>
      <c r="K1557" s="28" t="s">
        <v>397</v>
      </c>
      <c r="L1557" s="31">
        <v>43739</v>
      </c>
      <c r="M1557" s="28">
        <v>10</v>
      </c>
      <c r="N1557" s="32" t="s">
        <v>191</v>
      </c>
      <c r="O1557" s="28" t="s">
        <v>272</v>
      </c>
      <c r="P1557" s="28" t="s">
        <v>3879</v>
      </c>
      <c r="Q1557" s="28" t="s">
        <v>3880</v>
      </c>
      <c r="R1557" s="28" t="s">
        <v>3881</v>
      </c>
    </row>
    <row r="1558" spans="1:18" hidden="1">
      <c r="A1558" s="28">
        <v>5</v>
      </c>
      <c r="B1558" s="29" t="s">
        <v>349</v>
      </c>
      <c r="C1558" s="29" t="s">
        <v>355</v>
      </c>
      <c r="D1558" s="29" t="s">
        <v>360</v>
      </c>
      <c r="E1558" s="29" t="s">
        <v>172</v>
      </c>
      <c r="F1558" s="28" t="s">
        <v>3856</v>
      </c>
      <c r="G1558" s="28" t="s">
        <v>3856</v>
      </c>
      <c r="H1558" s="28" t="s">
        <v>174</v>
      </c>
      <c r="I1558" s="28" t="s">
        <v>174</v>
      </c>
      <c r="J1558" s="30" t="s">
        <v>174</v>
      </c>
      <c r="K1558" s="28" t="s">
        <v>3882</v>
      </c>
      <c r="L1558" s="31" t="s">
        <v>221</v>
      </c>
      <c r="M1558" s="28" t="e">
        <v>#VALUE!</v>
      </c>
      <c r="N1558" s="32" t="e">
        <v>#VALUE!</v>
      </c>
      <c r="O1558" s="28" t="s">
        <v>329</v>
      </c>
      <c r="P1558" s="28" t="s">
        <v>3883</v>
      </c>
      <c r="Q1558" s="28" t="s">
        <v>3884</v>
      </c>
      <c r="R1558" s="28" t="s">
        <v>3885</v>
      </c>
    </row>
    <row r="1559" spans="1:18" hidden="1">
      <c r="A1559" s="28">
        <v>7</v>
      </c>
      <c r="B1559" s="29" t="s">
        <v>776</v>
      </c>
      <c r="C1559" s="29" t="s">
        <v>777</v>
      </c>
      <c r="D1559" s="29" t="s">
        <v>778</v>
      </c>
      <c r="E1559" s="29" t="s">
        <v>172</v>
      </c>
      <c r="F1559" s="28" t="s">
        <v>3856</v>
      </c>
      <c r="G1559" s="28" t="s">
        <v>3856</v>
      </c>
      <c r="H1559" s="28" t="s">
        <v>174</v>
      </c>
      <c r="I1559" s="28" t="s">
        <v>174</v>
      </c>
      <c r="J1559" s="30" t="s">
        <v>174</v>
      </c>
      <c r="K1559" s="28" t="s">
        <v>520</v>
      </c>
      <c r="L1559" s="31">
        <v>43800</v>
      </c>
      <c r="M1559" s="28">
        <v>12</v>
      </c>
      <c r="N1559" s="32" t="s">
        <v>176</v>
      </c>
      <c r="O1559" s="28" t="s">
        <v>953</v>
      </c>
      <c r="P1559" s="28" t="s">
        <v>3886</v>
      </c>
      <c r="Q1559" s="28" t="s">
        <v>3887</v>
      </c>
      <c r="R1559" s="28" t="s">
        <v>3888</v>
      </c>
    </row>
    <row r="1560" spans="1:18" hidden="1">
      <c r="A1560" s="28">
        <v>12</v>
      </c>
      <c r="B1560" s="29" t="s">
        <v>195</v>
      </c>
      <c r="C1560" s="29" t="s">
        <v>202</v>
      </c>
      <c r="D1560" s="29" t="s">
        <v>3889</v>
      </c>
      <c r="E1560" s="29" t="s">
        <v>172</v>
      </c>
      <c r="F1560" s="28" t="s">
        <v>3890</v>
      </c>
      <c r="G1560" s="28" t="s">
        <v>3890</v>
      </c>
      <c r="H1560" s="28" t="s">
        <v>174</v>
      </c>
      <c r="I1560" s="28" t="s">
        <v>174</v>
      </c>
      <c r="J1560" s="30" t="s">
        <v>174</v>
      </c>
      <c r="K1560" s="28" t="s">
        <v>844</v>
      </c>
      <c r="L1560" s="31">
        <v>43586</v>
      </c>
      <c r="M1560" s="28">
        <v>5</v>
      </c>
      <c r="N1560" s="32" t="s">
        <v>191</v>
      </c>
      <c r="O1560" s="28" t="s">
        <v>204</v>
      </c>
      <c r="P1560" s="28" t="s">
        <v>3891</v>
      </c>
      <c r="Q1560" s="28" t="s">
        <v>3892</v>
      </c>
      <c r="R1560" s="28" t="s">
        <v>3893</v>
      </c>
    </row>
    <row r="1561" spans="1:18" hidden="1">
      <c r="A1561" s="28">
        <v>12</v>
      </c>
      <c r="B1561" s="29" t="s">
        <v>195</v>
      </c>
      <c r="C1561" s="29" t="s">
        <v>202</v>
      </c>
      <c r="D1561" s="29" t="s">
        <v>3889</v>
      </c>
      <c r="E1561" s="29" t="s">
        <v>172</v>
      </c>
      <c r="F1561" s="28" t="s">
        <v>3890</v>
      </c>
      <c r="G1561" s="28" t="s">
        <v>3890</v>
      </c>
      <c r="H1561" s="28" t="s">
        <v>174</v>
      </c>
      <c r="I1561" s="28" t="s">
        <v>174</v>
      </c>
      <c r="J1561" s="30" t="s">
        <v>174</v>
      </c>
      <c r="K1561" s="28" t="s">
        <v>844</v>
      </c>
      <c r="L1561" s="31">
        <v>43586</v>
      </c>
      <c r="M1561" s="28">
        <v>5</v>
      </c>
      <c r="N1561" s="32" t="s">
        <v>191</v>
      </c>
      <c r="O1561" s="28" t="s">
        <v>204</v>
      </c>
      <c r="P1561" s="28" t="s">
        <v>3894</v>
      </c>
      <c r="Q1561" s="28" t="s">
        <v>3892</v>
      </c>
      <c r="R1561" s="28" t="s">
        <v>3893</v>
      </c>
    </row>
    <row r="1562" spans="1:18" hidden="1">
      <c r="A1562" s="28">
        <v>12</v>
      </c>
      <c r="B1562" s="29" t="s">
        <v>195</v>
      </c>
      <c r="C1562" s="29" t="s">
        <v>202</v>
      </c>
      <c r="D1562" s="29" t="s">
        <v>445</v>
      </c>
      <c r="E1562" s="29" t="s">
        <v>172</v>
      </c>
      <c r="F1562" s="28" t="s">
        <v>3890</v>
      </c>
      <c r="G1562" s="28" t="s">
        <v>3890</v>
      </c>
      <c r="H1562" s="28" t="s">
        <v>174</v>
      </c>
      <c r="I1562" s="28" t="s">
        <v>174</v>
      </c>
      <c r="J1562" s="30" t="s">
        <v>174</v>
      </c>
      <c r="K1562" s="28" t="s">
        <v>391</v>
      </c>
      <c r="L1562" s="31">
        <v>42370</v>
      </c>
      <c r="M1562" s="28">
        <v>1</v>
      </c>
      <c r="N1562" s="32" t="s">
        <v>176</v>
      </c>
      <c r="O1562" s="28" t="s">
        <v>204</v>
      </c>
      <c r="P1562" s="28" t="s">
        <v>3895</v>
      </c>
      <c r="Q1562" s="28" t="s">
        <v>3186</v>
      </c>
      <c r="R1562" s="28" t="s">
        <v>3187</v>
      </c>
    </row>
    <row r="1563" spans="1:18" hidden="1">
      <c r="A1563" s="28">
        <v>12</v>
      </c>
      <c r="B1563" s="29" t="s">
        <v>195</v>
      </c>
      <c r="C1563" s="29" t="s">
        <v>202</v>
      </c>
      <c r="D1563" s="29" t="s">
        <v>445</v>
      </c>
      <c r="E1563" s="29" t="s">
        <v>172</v>
      </c>
      <c r="F1563" s="28" t="s">
        <v>3890</v>
      </c>
      <c r="G1563" s="28" t="s">
        <v>3890</v>
      </c>
      <c r="H1563" s="28" t="s">
        <v>174</v>
      </c>
      <c r="I1563" s="28" t="s">
        <v>174</v>
      </c>
      <c r="J1563" s="30" t="s">
        <v>174</v>
      </c>
      <c r="K1563" s="28" t="s">
        <v>243</v>
      </c>
      <c r="L1563" s="31">
        <v>42461</v>
      </c>
      <c r="M1563" s="28">
        <v>4</v>
      </c>
      <c r="N1563" s="32" t="s">
        <v>191</v>
      </c>
      <c r="O1563" s="28" t="s">
        <v>204</v>
      </c>
      <c r="P1563" s="28" t="s">
        <v>3896</v>
      </c>
      <c r="Q1563" s="28" t="s">
        <v>3186</v>
      </c>
      <c r="R1563" s="28" t="s">
        <v>3187</v>
      </c>
    </row>
    <row r="1564" spans="1:18" hidden="1">
      <c r="A1564" s="28">
        <v>12</v>
      </c>
      <c r="B1564" s="29" t="s">
        <v>195</v>
      </c>
      <c r="C1564" s="29" t="s">
        <v>202</v>
      </c>
      <c r="D1564" s="29" t="s">
        <v>445</v>
      </c>
      <c r="E1564" s="29" t="s">
        <v>172</v>
      </c>
      <c r="F1564" s="28" t="s">
        <v>3890</v>
      </c>
      <c r="G1564" s="28" t="s">
        <v>3890</v>
      </c>
      <c r="H1564" s="28" t="s">
        <v>174</v>
      </c>
      <c r="I1564" s="28" t="s">
        <v>174</v>
      </c>
      <c r="J1564" s="30" t="s">
        <v>174</v>
      </c>
      <c r="K1564" s="28" t="s">
        <v>769</v>
      </c>
      <c r="L1564" s="31">
        <v>42826</v>
      </c>
      <c r="M1564" s="28">
        <v>4</v>
      </c>
      <c r="N1564" s="32" t="s">
        <v>191</v>
      </c>
      <c r="O1564" s="28" t="s">
        <v>204</v>
      </c>
      <c r="P1564" s="28" t="s">
        <v>3897</v>
      </c>
      <c r="Q1564" s="28" t="s">
        <v>3186</v>
      </c>
      <c r="R1564" s="28" t="s">
        <v>3187</v>
      </c>
    </row>
    <row r="1565" spans="1:18" hidden="1">
      <c r="A1565" s="28">
        <v>12</v>
      </c>
      <c r="B1565" s="29" t="s">
        <v>195</v>
      </c>
      <c r="C1565" s="29" t="s">
        <v>202</v>
      </c>
      <c r="D1565" s="29" t="s">
        <v>445</v>
      </c>
      <c r="E1565" s="29" t="s">
        <v>172</v>
      </c>
      <c r="F1565" s="28" t="s">
        <v>3890</v>
      </c>
      <c r="G1565" s="28" t="s">
        <v>3890</v>
      </c>
      <c r="H1565" s="28" t="s">
        <v>174</v>
      </c>
      <c r="I1565" s="28" t="s">
        <v>174</v>
      </c>
      <c r="J1565" s="30" t="s">
        <v>174</v>
      </c>
      <c r="K1565" s="28" t="s">
        <v>464</v>
      </c>
      <c r="L1565" s="31">
        <v>42887</v>
      </c>
      <c r="M1565" s="28">
        <v>6</v>
      </c>
      <c r="N1565" s="32" t="s">
        <v>184</v>
      </c>
      <c r="O1565" s="28" t="s">
        <v>204</v>
      </c>
      <c r="P1565" s="28" t="s">
        <v>3898</v>
      </c>
      <c r="Q1565" s="28" t="s">
        <v>3186</v>
      </c>
      <c r="R1565" s="28" t="s">
        <v>3187</v>
      </c>
    </row>
    <row r="1566" spans="1:18" hidden="1">
      <c r="A1566" s="28">
        <v>12</v>
      </c>
      <c r="B1566" s="29" t="s">
        <v>195</v>
      </c>
      <c r="C1566" s="29" t="s">
        <v>202</v>
      </c>
      <c r="D1566" s="29" t="s">
        <v>445</v>
      </c>
      <c r="E1566" s="29" t="s">
        <v>172</v>
      </c>
      <c r="F1566" s="28" t="s">
        <v>3890</v>
      </c>
      <c r="G1566" s="28" t="s">
        <v>3890</v>
      </c>
      <c r="H1566" s="28" t="s">
        <v>174</v>
      </c>
      <c r="I1566" s="28" t="s">
        <v>174</v>
      </c>
      <c r="J1566" s="30" t="s">
        <v>174</v>
      </c>
      <c r="K1566" s="28" t="s">
        <v>1896</v>
      </c>
      <c r="L1566" s="31">
        <v>43132</v>
      </c>
      <c r="M1566" s="28">
        <v>2</v>
      </c>
      <c r="N1566" s="32" t="s">
        <v>176</v>
      </c>
      <c r="O1566" s="28" t="s">
        <v>204</v>
      </c>
      <c r="P1566" s="28" t="s">
        <v>3899</v>
      </c>
      <c r="Q1566" s="28" t="s">
        <v>3900</v>
      </c>
      <c r="R1566" s="28" t="s">
        <v>3901</v>
      </c>
    </row>
    <row r="1567" spans="1:18" hidden="1">
      <c r="A1567" s="28">
        <v>12</v>
      </c>
      <c r="B1567" s="29" t="s">
        <v>195</v>
      </c>
      <c r="C1567" s="29" t="s">
        <v>202</v>
      </c>
      <c r="D1567" s="29" t="s">
        <v>445</v>
      </c>
      <c r="E1567" s="29" t="s">
        <v>172</v>
      </c>
      <c r="F1567" s="28" t="s">
        <v>3890</v>
      </c>
      <c r="G1567" s="28" t="s">
        <v>3890</v>
      </c>
      <c r="H1567" s="28" t="s">
        <v>174</v>
      </c>
      <c r="I1567" s="28" t="s">
        <v>174</v>
      </c>
      <c r="J1567" s="30" t="s">
        <v>174</v>
      </c>
      <c r="K1567" s="28" t="s">
        <v>212</v>
      </c>
      <c r="L1567" s="31">
        <v>43313</v>
      </c>
      <c r="M1567" s="28">
        <v>8</v>
      </c>
      <c r="N1567" s="32" t="s">
        <v>184</v>
      </c>
      <c r="O1567" s="28" t="s">
        <v>204</v>
      </c>
      <c r="P1567" s="28" t="s">
        <v>3902</v>
      </c>
      <c r="Q1567" s="28" t="s">
        <v>3903</v>
      </c>
      <c r="R1567" s="28" t="s">
        <v>3904</v>
      </c>
    </row>
    <row r="1568" spans="1:18" hidden="1">
      <c r="A1568" s="28">
        <v>12</v>
      </c>
      <c r="B1568" s="29" t="s">
        <v>195</v>
      </c>
      <c r="C1568" s="29" t="s">
        <v>202</v>
      </c>
      <c r="D1568" s="29" t="s">
        <v>445</v>
      </c>
      <c r="E1568" s="29" t="s">
        <v>172</v>
      </c>
      <c r="F1568" s="28" t="s">
        <v>3890</v>
      </c>
      <c r="G1568" s="28" t="s">
        <v>3890</v>
      </c>
      <c r="H1568" s="28" t="s">
        <v>174</v>
      </c>
      <c r="I1568" s="28" t="s">
        <v>174</v>
      </c>
      <c r="J1568" s="30" t="s">
        <v>174</v>
      </c>
      <c r="K1568" s="28" t="s">
        <v>361</v>
      </c>
      <c r="L1568" s="31">
        <v>43435</v>
      </c>
      <c r="M1568" s="28">
        <v>12</v>
      </c>
      <c r="N1568" s="32" t="s">
        <v>176</v>
      </c>
      <c r="O1568" s="28" t="s">
        <v>204</v>
      </c>
      <c r="P1568" s="28" t="s">
        <v>3905</v>
      </c>
      <c r="Q1568" s="28" t="s">
        <v>3186</v>
      </c>
      <c r="R1568" s="28" t="s">
        <v>3187</v>
      </c>
    </row>
    <row r="1569" spans="1:18" hidden="1">
      <c r="A1569" s="28">
        <v>12</v>
      </c>
      <c r="B1569" s="29" t="s">
        <v>195</v>
      </c>
      <c r="C1569" s="29" t="s">
        <v>202</v>
      </c>
      <c r="D1569" s="29" t="s">
        <v>445</v>
      </c>
      <c r="E1569" s="29" t="s">
        <v>172</v>
      </c>
      <c r="F1569" s="28" t="s">
        <v>3890</v>
      </c>
      <c r="G1569" s="28" t="s">
        <v>3890</v>
      </c>
      <c r="H1569" s="28" t="s">
        <v>174</v>
      </c>
      <c r="I1569" s="28" t="s">
        <v>174</v>
      </c>
      <c r="J1569" s="30" t="s">
        <v>174</v>
      </c>
      <c r="K1569" s="28" t="s">
        <v>3906</v>
      </c>
      <c r="L1569" s="31">
        <v>43435</v>
      </c>
      <c r="M1569" s="28">
        <v>12</v>
      </c>
      <c r="N1569" s="32" t="s">
        <v>176</v>
      </c>
      <c r="O1569" s="28" t="s">
        <v>204</v>
      </c>
      <c r="P1569" s="28" t="s">
        <v>3907</v>
      </c>
      <c r="Q1569" s="28" t="s">
        <v>3908</v>
      </c>
      <c r="R1569" s="28" t="s">
        <v>3909</v>
      </c>
    </row>
    <row r="1570" spans="1:18" hidden="1">
      <c r="A1570" s="28">
        <v>12</v>
      </c>
      <c r="B1570" s="29" t="s">
        <v>195</v>
      </c>
      <c r="C1570" s="29" t="s">
        <v>202</v>
      </c>
      <c r="D1570" s="29" t="s">
        <v>445</v>
      </c>
      <c r="E1570" s="29" t="s">
        <v>172</v>
      </c>
      <c r="F1570" s="28" t="s">
        <v>3890</v>
      </c>
      <c r="G1570" s="28" t="s">
        <v>3890</v>
      </c>
      <c r="H1570" s="28" t="s">
        <v>174</v>
      </c>
      <c r="I1570" s="28" t="s">
        <v>174</v>
      </c>
      <c r="J1570" s="30" t="s">
        <v>174</v>
      </c>
      <c r="K1570" s="28" t="s">
        <v>214</v>
      </c>
      <c r="L1570" s="31">
        <v>43466</v>
      </c>
      <c r="M1570" s="28">
        <v>1</v>
      </c>
      <c r="N1570" s="32" t="s">
        <v>176</v>
      </c>
      <c r="O1570" s="28" t="s">
        <v>204</v>
      </c>
      <c r="P1570" s="28" t="s">
        <v>3910</v>
      </c>
      <c r="Q1570" s="28" t="s">
        <v>3186</v>
      </c>
      <c r="R1570" s="28" t="s">
        <v>3187</v>
      </c>
    </row>
    <row r="1571" spans="1:18" hidden="1">
      <c r="A1571" s="28">
        <v>12</v>
      </c>
      <c r="B1571" s="29" t="s">
        <v>195</v>
      </c>
      <c r="C1571" s="29" t="s">
        <v>202</v>
      </c>
      <c r="D1571" s="29" t="s">
        <v>445</v>
      </c>
      <c r="E1571" s="29" t="s">
        <v>172</v>
      </c>
      <c r="F1571" s="28" t="s">
        <v>3890</v>
      </c>
      <c r="G1571" s="28" t="s">
        <v>3890</v>
      </c>
      <c r="H1571" s="28" t="s">
        <v>174</v>
      </c>
      <c r="I1571" s="28" t="s">
        <v>174</v>
      </c>
      <c r="J1571" s="30" t="s">
        <v>174</v>
      </c>
      <c r="K1571" s="28" t="s">
        <v>278</v>
      </c>
      <c r="L1571" s="31">
        <v>43525</v>
      </c>
      <c r="M1571" s="28">
        <v>3</v>
      </c>
      <c r="N1571" s="32" t="s">
        <v>191</v>
      </c>
      <c r="O1571" s="28" t="s">
        <v>204</v>
      </c>
      <c r="P1571" s="28" t="s">
        <v>3911</v>
      </c>
      <c r="Q1571" s="28" t="s">
        <v>3186</v>
      </c>
      <c r="R1571" s="28" t="s">
        <v>3187</v>
      </c>
    </row>
    <row r="1572" spans="1:18" hidden="1">
      <c r="A1572" s="28">
        <v>12</v>
      </c>
      <c r="B1572" s="29" t="s">
        <v>195</v>
      </c>
      <c r="C1572" s="29" t="s">
        <v>202</v>
      </c>
      <c r="D1572" s="29" t="s">
        <v>445</v>
      </c>
      <c r="E1572" s="29" t="s">
        <v>172</v>
      </c>
      <c r="F1572" s="28" t="s">
        <v>3890</v>
      </c>
      <c r="G1572" s="28" t="s">
        <v>3890</v>
      </c>
      <c r="H1572" s="28" t="s">
        <v>174</v>
      </c>
      <c r="I1572" s="28" t="s">
        <v>174</v>
      </c>
      <c r="J1572" s="30" t="s">
        <v>174</v>
      </c>
      <c r="K1572" s="28" t="s">
        <v>683</v>
      </c>
      <c r="L1572" s="31">
        <v>43831</v>
      </c>
      <c r="M1572" s="28">
        <v>1</v>
      </c>
      <c r="N1572" s="32" t="s">
        <v>176</v>
      </c>
      <c r="O1572" s="28" t="s">
        <v>204</v>
      </c>
      <c r="P1572" s="28" t="s">
        <v>3912</v>
      </c>
      <c r="Q1572" s="28" t="s">
        <v>3186</v>
      </c>
      <c r="R1572" s="28" t="s">
        <v>3187</v>
      </c>
    </row>
    <row r="1573" spans="1:18" hidden="1">
      <c r="A1573" s="28">
        <v>12</v>
      </c>
      <c r="B1573" s="29" t="s">
        <v>195</v>
      </c>
      <c r="C1573" s="29" t="s">
        <v>202</v>
      </c>
      <c r="D1573" s="29" t="s">
        <v>445</v>
      </c>
      <c r="E1573" s="29" t="s">
        <v>172</v>
      </c>
      <c r="F1573" s="28" t="s">
        <v>3890</v>
      </c>
      <c r="G1573" s="28" t="s">
        <v>3890</v>
      </c>
      <c r="H1573" s="28" t="s">
        <v>174</v>
      </c>
      <c r="I1573" s="28" t="s">
        <v>174</v>
      </c>
      <c r="J1573" s="30" t="s">
        <v>174</v>
      </c>
      <c r="K1573" s="28" t="s">
        <v>218</v>
      </c>
      <c r="L1573" s="31">
        <v>44044</v>
      </c>
      <c r="M1573" s="28">
        <v>8</v>
      </c>
      <c r="N1573" s="32" t="s">
        <v>184</v>
      </c>
      <c r="O1573" s="28" t="s">
        <v>204</v>
      </c>
      <c r="P1573" s="28" t="s">
        <v>3913</v>
      </c>
      <c r="Q1573" s="28" t="s">
        <v>3186</v>
      </c>
      <c r="R1573" s="28" t="s">
        <v>3187</v>
      </c>
    </row>
    <row r="1574" spans="1:18" hidden="1">
      <c r="A1574" s="28">
        <v>12</v>
      </c>
      <c r="B1574" s="29" t="s">
        <v>195</v>
      </c>
      <c r="C1574" s="29" t="s">
        <v>202</v>
      </c>
      <c r="D1574" s="29" t="s">
        <v>445</v>
      </c>
      <c r="E1574" s="29" t="s">
        <v>172</v>
      </c>
      <c r="F1574" s="28" t="s">
        <v>3890</v>
      </c>
      <c r="G1574" s="28" t="s">
        <v>3890</v>
      </c>
      <c r="H1574" s="28" t="s">
        <v>174</v>
      </c>
      <c r="I1574" s="28" t="s">
        <v>174</v>
      </c>
      <c r="J1574" s="30" t="s">
        <v>174</v>
      </c>
      <c r="K1574" s="28" t="s">
        <v>823</v>
      </c>
      <c r="L1574" s="31">
        <v>44136</v>
      </c>
      <c r="M1574" s="28">
        <v>11</v>
      </c>
      <c r="N1574" s="32" t="s">
        <v>191</v>
      </c>
      <c r="O1574" s="28" t="s">
        <v>204</v>
      </c>
      <c r="P1574" s="28" t="s">
        <v>3914</v>
      </c>
      <c r="Q1574" s="28" t="s">
        <v>3186</v>
      </c>
      <c r="R1574" s="28" t="s">
        <v>3187</v>
      </c>
    </row>
    <row r="1575" spans="1:18" hidden="1">
      <c r="A1575" s="28">
        <v>2</v>
      </c>
      <c r="B1575" s="29" t="s">
        <v>240</v>
      </c>
      <c r="C1575" s="29" t="s">
        <v>241</v>
      </c>
      <c r="D1575" s="29" t="s">
        <v>242</v>
      </c>
      <c r="E1575" s="29" t="s">
        <v>172</v>
      </c>
      <c r="F1575" s="28" t="s">
        <v>3890</v>
      </c>
      <c r="G1575" s="28" t="s">
        <v>3890</v>
      </c>
      <c r="H1575" s="28" t="s">
        <v>174</v>
      </c>
      <c r="I1575" s="28" t="s">
        <v>174</v>
      </c>
      <c r="J1575" s="30" t="s">
        <v>174</v>
      </c>
      <c r="K1575" s="28" t="s">
        <v>489</v>
      </c>
      <c r="L1575" s="31">
        <v>42491</v>
      </c>
      <c r="M1575" s="28">
        <v>5</v>
      </c>
      <c r="N1575" s="32" t="s">
        <v>191</v>
      </c>
      <c r="O1575" s="28" t="s">
        <v>204</v>
      </c>
      <c r="P1575" s="28" t="s">
        <v>3915</v>
      </c>
      <c r="Q1575" s="28" t="s">
        <v>3916</v>
      </c>
      <c r="R1575" s="28" t="s">
        <v>3917</v>
      </c>
    </row>
    <row r="1576" spans="1:18" hidden="1">
      <c r="A1576" s="28">
        <v>4</v>
      </c>
      <c r="B1576" s="29" t="s">
        <v>306</v>
      </c>
      <c r="C1576" s="29" t="s">
        <v>312</v>
      </c>
      <c r="D1576" s="29" t="s">
        <v>313</v>
      </c>
      <c r="E1576" s="29" t="s">
        <v>172</v>
      </c>
      <c r="F1576" s="28" t="s">
        <v>3890</v>
      </c>
      <c r="G1576" s="28" t="s">
        <v>3890</v>
      </c>
      <c r="H1576" s="28" t="s">
        <v>174</v>
      </c>
      <c r="I1576" s="28" t="s">
        <v>174</v>
      </c>
      <c r="J1576" s="30" t="s">
        <v>174</v>
      </c>
      <c r="K1576" s="28" t="s">
        <v>479</v>
      </c>
      <c r="L1576" s="31">
        <v>43770</v>
      </c>
      <c r="M1576" s="28">
        <v>11</v>
      </c>
      <c r="N1576" s="32" t="s">
        <v>191</v>
      </c>
      <c r="O1576" s="28" t="s">
        <v>204</v>
      </c>
      <c r="P1576" s="28" t="s">
        <v>3918</v>
      </c>
      <c r="Q1576" s="28" t="s">
        <v>3919</v>
      </c>
      <c r="R1576" s="28" t="s">
        <v>3920</v>
      </c>
    </row>
    <row r="1577" spans="1:18" hidden="1">
      <c r="A1577" s="28">
        <v>11</v>
      </c>
      <c r="B1577" s="29" t="s">
        <v>169</v>
      </c>
      <c r="C1577" s="29" t="s">
        <v>181</v>
      </c>
      <c r="D1577" s="29" t="s">
        <v>182</v>
      </c>
      <c r="E1577" s="29" t="s">
        <v>172</v>
      </c>
      <c r="F1577" s="28" t="s">
        <v>3921</v>
      </c>
      <c r="G1577" s="28" t="s">
        <v>3921</v>
      </c>
      <c r="H1577" s="28" t="s">
        <v>174</v>
      </c>
      <c r="I1577" s="28" t="s">
        <v>174</v>
      </c>
      <c r="J1577" s="30" t="s">
        <v>174</v>
      </c>
      <c r="K1577" s="28" t="s">
        <v>3922</v>
      </c>
      <c r="L1577" s="31">
        <v>43221</v>
      </c>
      <c r="M1577" s="28">
        <v>5</v>
      </c>
      <c r="N1577" s="32" t="s">
        <v>191</v>
      </c>
      <c r="O1577" s="28" t="s">
        <v>185</v>
      </c>
      <c r="P1577" s="28" t="s">
        <v>3923</v>
      </c>
      <c r="Q1577" s="28" t="s">
        <v>187</v>
      </c>
      <c r="R1577" s="28" t="s">
        <v>188</v>
      </c>
    </row>
    <row r="1578" spans="1:18" hidden="1">
      <c r="A1578" s="28">
        <v>11</v>
      </c>
      <c r="B1578" s="29" t="s">
        <v>169</v>
      </c>
      <c r="C1578" s="29" t="s">
        <v>181</v>
      </c>
      <c r="D1578" s="29" t="s">
        <v>189</v>
      </c>
      <c r="E1578" s="29" t="s">
        <v>172</v>
      </c>
      <c r="F1578" s="28" t="s">
        <v>3921</v>
      </c>
      <c r="G1578" s="28" t="s">
        <v>3921</v>
      </c>
      <c r="H1578" s="28" t="s">
        <v>174</v>
      </c>
      <c r="I1578" s="28" t="s">
        <v>174</v>
      </c>
      <c r="J1578" s="30" t="s">
        <v>174</v>
      </c>
      <c r="K1578" s="28" t="s">
        <v>405</v>
      </c>
      <c r="L1578" s="31">
        <v>43221</v>
      </c>
      <c r="M1578" s="28">
        <v>5</v>
      </c>
      <c r="N1578" s="32" t="s">
        <v>191</v>
      </c>
      <c r="O1578" s="28" t="s">
        <v>1060</v>
      </c>
      <c r="P1578" s="28" t="s">
        <v>3924</v>
      </c>
      <c r="Q1578" s="28" t="s">
        <v>3925</v>
      </c>
      <c r="R1578" s="28" t="s">
        <v>3169</v>
      </c>
    </row>
    <row r="1579" spans="1:18" hidden="1">
      <c r="A1579" s="28">
        <v>11</v>
      </c>
      <c r="B1579" s="29" t="s">
        <v>169</v>
      </c>
      <c r="C1579" s="29" t="s">
        <v>181</v>
      </c>
      <c r="D1579" s="29" t="s">
        <v>189</v>
      </c>
      <c r="E1579" s="29" t="s">
        <v>172</v>
      </c>
      <c r="F1579" s="28" t="s">
        <v>3921</v>
      </c>
      <c r="G1579" s="28" t="s">
        <v>3921</v>
      </c>
      <c r="H1579" s="28" t="s">
        <v>174</v>
      </c>
      <c r="I1579" s="28" t="s">
        <v>174</v>
      </c>
      <c r="J1579" s="30" t="s">
        <v>174</v>
      </c>
      <c r="K1579" s="28" t="s">
        <v>559</v>
      </c>
      <c r="L1579" s="31">
        <v>43252</v>
      </c>
      <c r="M1579" s="28">
        <v>6</v>
      </c>
      <c r="N1579" s="32" t="s">
        <v>184</v>
      </c>
      <c r="O1579" s="28" t="s">
        <v>272</v>
      </c>
      <c r="P1579" s="28" t="s">
        <v>3926</v>
      </c>
      <c r="Q1579" s="28" t="s">
        <v>3927</v>
      </c>
      <c r="R1579" s="28" t="s">
        <v>3928</v>
      </c>
    </row>
    <row r="1580" spans="1:18" hidden="1">
      <c r="A1580" s="28">
        <v>11</v>
      </c>
      <c r="B1580" s="29" t="s">
        <v>169</v>
      </c>
      <c r="C1580" s="29" t="s">
        <v>181</v>
      </c>
      <c r="D1580" s="29" t="s">
        <v>189</v>
      </c>
      <c r="E1580" s="29" t="s">
        <v>172</v>
      </c>
      <c r="F1580" s="28" t="s">
        <v>3921</v>
      </c>
      <c r="G1580" s="28" t="s">
        <v>3921</v>
      </c>
      <c r="H1580" s="28" t="s">
        <v>174</v>
      </c>
      <c r="I1580" s="28" t="s">
        <v>174</v>
      </c>
      <c r="J1580" s="30" t="s">
        <v>174</v>
      </c>
      <c r="K1580" s="28" t="s">
        <v>361</v>
      </c>
      <c r="L1580" s="31">
        <v>43435</v>
      </c>
      <c r="M1580" s="28">
        <v>12</v>
      </c>
      <c r="N1580" s="32" t="s">
        <v>176</v>
      </c>
      <c r="O1580" s="28" t="s">
        <v>1060</v>
      </c>
      <c r="P1580" s="28" t="s">
        <v>3929</v>
      </c>
      <c r="Q1580" s="28" t="s">
        <v>3168</v>
      </c>
      <c r="R1580" s="28" t="s">
        <v>3169</v>
      </c>
    </row>
    <row r="1581" spans="1:18" hidden="1">
      <c r="A1581" s="28">
        <v>11</v>
      </c>
      <c r="B1581" s="29" t="s">
        <v>169</v>
      </c>
      <c r="C1581" s="29" t="s">
        <v>181</v>
      </c>
      <c r="D1581" s="29" t="s">
        <v>189</v>
      </c>
      <c r="E1581" s="29" t="s">
        <v>172</v>
      </c>
      <c r="F1581" s="28" t="s">
        <v>3921</v>
      </c>
      <c r="G1581" s="28" t="s">
        <v>3921</v>
      </c>
      <c r="H1581" s="28" t="s">
        <v>174</v>
      </c>
      <c r="I1581" s="28" t="s">
        <v>174</v>
      </c>
      <c r="J1581" s="30" t="s">
        <v>174</v>
      </c>
      <c r="K1581" s="28" t="s">
        <v>504</v>
      </c>
      <c r="L1581" s="31">
        <v>43922</v>
      </c>
      <c r="M1581" s="28">
        <v>4</v>
      </c>
      <c r="N1581" s="32" t="s">
        <v>191</v>
      </c>
      <c r="O1581" s="28" t="s">
        <v>1060</v>
      </c>
      <c r="P1581" s="28" t="s">
        <v>3930</v>
      </c>
      <c r="Q1581" s="28" t="s">
        <v>3931</v>
      </c>
      <c r="R1581" s="28" t="s">
        <v>3169</v>
      </c>
    </row>
    <row r="1582" spans="1:18" hidden="1">
      <c r="A1582" s="28">
        <v>11</v>
      </c>
      <c r="B1582" s="29" t="s">
        <v>169</v>
      </c>
      <c r="C1582" s="29" t="s">
        <v>181</v>
      </c>
      <c r="D1582" s="29" t="s">
        <v>189</v>
      </c>
      <c r="E1582" s="29" t="s">
        <v>172</v>
      </c>
      <c r="F1582" s="28" t="s">
        <v>3921</v>
      </c>
      <c r="G1582" s="28" t="s">
        <v>3921</v>
      </c>
      <c r="H1582" s="28" t="s">
        <v>174</v>
      </c>
      <c r="I1582" s="28" t="s">
        <v>174</v>
      </c>
      <c r="J1582" s="30" t="s">
        <v>174</v>
      </c>
      <c r="K1582" s="28" t="s">
        <v>643</v>
      </c>
      <c r="L1582" s="31">
        <v>44013</v>
      </c>
      <c r="M1582" s="28">
        <v>7</v>
      </c>
      <c r="N1582" s="32" t="s">
        <v>184</v>
      </c>
      <c r="O1582" s="28" t="s">
        <v>2975</v>
      </c>
      <c r="P1582" s="28" t="s">
        <v>3932</v>
      </c>
      <c r="Q1582" s="28" t="s">
        <v>3933</v>
      </c>
      <c r="R1582" s="28" t="s">
        <v>2045</v>
      </c>
    </row>
    <row r="1583" spans="1:18" hidden="1">
      <c r="A1583" s="28">
        <v>12</v>
      </c>
      <c r="B1583" s="29" t="s">
        <v>195</v>
      </c>
      <c r="C1583" s="29" t="s">
        <v>196</v>
      </c>
      <c r="D1583" s="29" t="s">
        <v>197</v>
      </c>
      <c r="E1583" s="29" t="s">
        <v>172</v>
      </c>
      <c r="F1583" s="28" t="s">
        <v>3921</v>
      </c>
      <c r="G1583" s="28" t="s">
        <v>3921</v>
      </c>
      <c r="H1583" s="28" t="s">
        <v>174</v>
      </c>
      <c r="I1583" s="28" t="s">
        <v>174</v>
      </c>
      <c r="J1583" s="30" t="s">
        <v>174</v>
      </c>
      <c r="K1583" s="28" t="s">
        <v>208</v>
      </c>
      <c r="L1583" s="31">
        <v>43101</v>
      </c>
      <c r="M1583" s="28">
        <v>1</v>
      </c>
      <c r="N1583" s="32" t="s">
        <v>176</v>
      </c>
      <c r="O1583" s="28" t="s">
        <v>177</v>
      </c>
      <c r="P1583" s="28" t="s">
        <v>3934</v>
      </c>
      <c r="Q1583" s="28" t="s">
        <v>3935</v>
      </c>
      <c r="R1583" s="28" t="s">
        <v>3936</v>
      </c>
    </row>
    <row r="1584" spans="1:18" hidden="1">
      <c r="A1584" s="28">
        <v>12</v>
      </c>
      <c r="B1584" s="29" t="s">
        <v>195</v>
      </c>
      <c r="C1584" s="29" t="s">
        <v>196</v>
      </c>
      <c r="D1584" s="29" t="s">
        <v>197</v>
      </c>
      <c r="E1584" s="29" t="s">
        <v>172</v>
      </c>
      <c r="F1584" s="28" t="s">
        <v>3921</v>
      </c>
      <c r="G1584" s="28" t="s">
        <v>3921</v>
      </c>
      <c r="H1584" s="28" t="s">
        <v>174</v>
      </c>
      <c r="I1584" s="28" t="s">
        <v>174</v>
      </c>
      <c r="J1584" s="30" t="s">
        <v>174</v>
      </c>
      <c r="K1584" s="28" t="s">
        <v>475</v>
      </c>
      <c r="L1584" s="31">
        <v>43191</v>
      </c>
      <c r="M1584" s="28">
        <v>4</v>
      </c>
      <c r="N1584" s="32" t="s">
        <v>191</v>
      </c>
      <c r="O1584" s="28" t="s">
        <v>185</v>
      </c>
      <c r="P1584" s="28" t="s">
        <v>3937</v>
      </c>
      <c r="Q1584" s="28" t="s">
        <v>200</v>
      </c>
      <c r="R1584" s="28" t="s">
        <v>201</v>
      </c>
    </row>
    <row r="1585" spans="1:18" hidden="1">
      <c r="A1585" s="28">
        <v>12</v>
      </c>
      <c r="B1585" s="29" t="s">
        <v>195</v>
      </c>
      <c r="C1585" s="29" t="s">
        <v>196</v>
      </c>
      <c r="D1585" s="29" t="s">
        <v>197</v>
      </c>
      <c r="E1585" s="29" t="s">
        <v>172</v>
      </c>
      <c r="F1585" s="28" t="s">
        <v>3921</v>
      </c>
      <c r="G1585" s="28" t="s">
        <v>3921</v>
      </c>
      <c r="H1585" s="28" t="s">
        <v>174</v>
      </c>
      <c r="I1585" s="28" t="s">
        <v>174</v>
      </c>
      <c r="J1585" s="30" t="s">
        <v>174</v>
      </c>
      <c r="K1585" s="28" t="s">
        <v>3906</v>
      </c>
      <c r="L1585" s="31">
        <v>43435</v>
      </c>
      <c r="M1585" s="28">
        <v>12</v>
      </c>
      <c r="N1585" s="32" t="s">
        <v>176</v>
      </c>
      <c r="O1585" s="28" t="s">
        <v>177</v>
      </c>
      <c r="P1585" s="28" t="s">
        <v>3938</v>
      </c>
      <c r="Q1585" s="28" t="s">
        <v>3935</v>
      </c>
      <c r="R1585" s="28" t="s">
        <v>3936</v>
      </c>
    </row>
    <row r="1586" spans="1:18" hidden="1">
      <c r="A1586" s="28">
        <v>12</v>
      </c>
      <c r="B1586" s="29" t="s">
        <v>195</v>
      </c>
      <c r="C1586" s="29" t="s">
        <v>230</v>
      </c>
      <c r="D1586" s="29" t="s">
        <v>231</v>
      </c>
      <c r="E1586" s="29" t="s">
        <v>172</v>
      </c>
      <c r="F1586" s="28" t="s">
        <v>3921</v>
      </c>
      <c r="G1586" s="28" t="s">
        <v>3921</v>
      </c>
      <c r="H1586" s="28" t="s">
        <v>174</v>
      </c>
      <c r="I1586" s="28" t="s">
        <v>174</v>
      </c>
      <c r="J1586" s="30" t="s">
        <v>174</v>
      </c>
      <c r="K1586" s="28" t="s">
        <v>651</v>
      </c>
      <c r="L1586" s="31">
        <v>42644</v>
      </c>
      <c r="M1586" s="28">
        <v>10</v>
      </c>
      <c r="N1586" s="32" t="s">
        <v>191</v>
      </c>
      <c r="O1586" s="28" t="s">
        <v>177</v>
      </c>
      <c r="P1586" s="28" t="s">
        <v>3939</v>
      </c>
      <c r="Q1586" s="28" t="s">
        <v>2102</v>
      </c>
      <c r="R1586" s="28" t="s">
        <v>2103</v>
      </c>
    </row>
    <row r="1587" spans="1:18" hidden="1">
      <c r="A1587" s="28">
        <v>5</v>
      </c>
      <c r="B1587" s="29" t="s">
        <v>349</v>
      </c>
      <c r="C1587" s="29" t="s">
        <v>355</v>
      </c>
      <c r="D1587" s="29" t="s">
        <v>356</v>
      </c>
      <c r="E1587" s="29" t="s">
        <v>172</v>
      </c>
      <c r="F1587" s="28" t="s">
        <v>3921</v>
      </c>
      <c r="G1587" s="28" t="s">
        <v>3921</v>
      </c>
      <c r="H1587" s="28" t="s">
        <v>174</v>
      </c>
      <c r="I1587" s="28" t="s">
        <v>174</v>
      </c>
      <c r="J1587" s="30" t="s">
        <v>174</v>
      </c>
      <c r="K1587" s="28" t="s">
        <v>263</v>
      </c>
      <c r="L1587" s="31">
        <v>42430</v>
      </c>
      <c r="M1587" s="28">
        <v>3</v>
      </c>
      <c r="N1587" s="32" t="s">
        <v>191</v>
      </c>
      <c r="O1587" s="28" t="s">
        <v>185</v>
      </c>
      <c r="P1587" s="28" t="s">
        <v>3940</v>
      </c>
      <c r="Q1587" s="28" t="s">
        <v>3941</v>
      </c>
      <c r="R1587" s="28" t="s">
        <v>3942</v>
      </c>
    </row>
    <row r="1588" spans="1:18" hidden="1">
      <c r="A1588" s="28">
        <v>5</v>
      </c>
      <c r="B1588" s="29" t="s">
        <v>349</v>
      </c>
      <c r="C1588" s="29" t="s">
        <v>355</v>
      </c>
      <c r="D1588" s="29" t="s">
        <v>356</v>
      </c>
      <c r="E1588" s="29" t="s">
        <v>172</v>
      </c>
      <c r="F1588" s="28" t="s">
        <v>3921</v>
      </c>
      <c r="G1588" s="28" t="s">
        <v>3921</v>
      </c>
      <c r="H1588" s="28" t="s">
        <v>174</v>
      </c>
      <c r="I1588" s="28" t="s">
        <v>174</v>
      </c>
      <c r="J1588" s="30" t="s">
        <v>174</v>
      </c>
      <c r="K1588" s="28" t="s">
        <v>646</v>
      </c>
      <c r="L1588" s="31">
        <v>44075</v>
      </c>
      <c r="M1588" s="28">
        <v>9</v>
      </c>
      <c r="N1588" s="32" t="s">
        <v>191</v>
      </c>
      <c r="O1588" s="28" t="s">
        <v>185</v>
      </c>
      <c r="P1588" s="28" t="s">
        <v>3943</v>
      </c>
      <c r="Q1588" s="28" t="s">
        <v>3944</v>
      </c>
      <c r="R1588" s="28" t="s">
        <v>3945</v>
      </c>
    </row>
    <row r="1589" spans="1:18" hidden="1">
      <c r="A1589" s="28">
        <v>5</v>
      </c>
      <c r="B1589" s="29" t="s">
        <v>349</v>
      </c>
      <c r="C1589" s="29" t="s">
        <v>355</v>
      </c>
      <c r="D1589" s="29" t="s">
        <v>360</v>
      </c>
      <c r="E1589" s="29" t="s">
        <v>172</v>
      </c>
      <c r="F1589" s="28" t="s">
        <v>3921</v>
      </c>
      <c r="G1589" s="28" t="s">
        <v>3921</v>
      </c>
      <c r="H1589" s="28" t="s">
        <v>174</v>
      </c>
      <c r="I1589" s="28" t="s">
        <v>174</v>
      </c>
      <c r="J1589" s="30" t="s">
        <v>174</v>
      </c>
      <c r="K1589" s="28" t="s">
        <v>257</v>
      </c>
      <c r="L1589" s="31">
        <v>42552</v>
      </c>
      <c r="M1589" s="28">
        <v>7</v>
      </c>
      <c r="N1589" s="32" t="s">
        <v>184</v>
      </c>
      <c r="O1589" s="28" t="s">
        <v>204</v>
      </c>
      <c r="P1589" s="28" t="s">
        <v>3946</v>
      </c>
      <c r="Q1589" s="28" t="s">
        <v>3947</v>
      </c>
      <c r="R1589" s="28" t="s">
        <v>3948</v>
      </c>
    </row>
    <row r="1590" spans="1:18" hidden="1">
      <c r="A1590" s="28">
        <v>5</v>
      </c>
      <c r="B1590" s="29" t="s">
        <v>349</v>
      </c>
      <c r="C1590" s="29" t="s">
        <v>355</v>
      </c>
      <c r="D1590" s="29" t="s">
        <v>360</v>
      </c>
      <c r="E1590" s="29" t="s">
        <v>172</v>
      </c>
      <c r="F1590" s="28" t="s">
        <v>3921</v>
      </c>
      <c r="G1590" s="28" t="s">
        <v>3921</v>
      </c>
      <c r="H1590" s="28" t="s">
        <v>174</v>
      </c>
      <c r="I1590" s="28" t="s">
        <v>174</v>
      </c>
      <c r="J1590" s="30" t="s">
        <v>174</v>
      </c>
      <c r="K1590" s="28" t="s">
        <v>496</v>
      </c>
      <c r="L1590" s="31">
        <v>42917</v>
      </c>
      <c r="M1590" s="28">
        <v>7</v>
      </c>
      <c r="N1590" s="32" t="s">
        <v>184</v>
      </c>
      <c r="O1590" s="28" t="s">
        <v>204</v>
      </c>
      <c r="P1590" s="28" t="s">
        <v>3949</v>
      </c>
      <c r="Q1590" s="28" t="s">
        <v>3950</v>
      </c>
      <c r="R1590" s="28" t="s">
        <v>3948</v>
      </c>
    </row>
    <row r="1591" spans="1:18" hidden="1">
      <c r="A1591" s="28">
        <v>5</v>
      </c>
      <c r="B1591" s="29" t="s">
        <v>349</v>
      </c>
      <c r="C1591" s="29" t="s">
        <v>355</v>
      </c>
      <c r="D1591" s="29" t="s">
        <v>360</v>
      </c>
      <c r="E1591" s="29" t="s">
        <v>172</v>
      </c>
      <c r="F1591" s="28" t="s">
        <v>3921</v>
      </c>
      <c r="G1591" s="28" t="s">
        <v>3921</v>
      </c>
      <c r="H1591" s="28" t="s">
        <v>174</v>
      </c>
      <c r="I1591" s="28" t="s">
        <v>174</v>
      </c>
      <c r="J1591" s="30" t="s">
        <v>174</v>
      </c>
      <c r="K1591" s="28" t="s">
        <v>971</v>
      </c>
      <c r="L1591" s="31">
        <v>42979</v>
      </c>
      <c r="M1591" s="28">
        <v>9</v>
      </c>
      <c r="N1591" s="32" t="s">
        <v>191</v>
      </c>
      <c r="O1591" s="28" t="s">
        <v>204</v>
      </c>
      <c r="P1591" s="28" t="s">
        <v>3951</v>
      </c>
      <c r="Q1591" s="28" t="s">
        <v>3952</v>
      </c>
      <c r="R1591" s="28" t="s">
        <v>3953</v>
      </c>
    </row>
    <row r="1592" spans="1:18" hidden="1">
      <c r="A1592" s="28">
        <v>5</v>
      </c>
      <c r="B1592" s="29" t="s">
        <v>349</v>
      </c>
      <c r="C1592" s="29" t="s">
        <v>355</v>
      </c>
      <c r="D1592" s="29" t="s">
        <v>360</v>
      </c>
      <c r="E1592" s="29" t="s">
        <v>172</v>
      </c>
      <c r="F1592" s="28" t="s">
        <v>3921</v>
      </c>
      <c r="G1592" s="28" t="s">
        <v>3921</v>
      </c>
      <c r="H1592" s="28" t="s">
        <v>174</v>
      </c>
      <c r="I1592" s="28" t="s">
        <v>174</v>
      </c>
      <c r="J1592" s="30" t="s">
        <v>174</v>
      </c>
      <c r="K1592" s="28" t="s">
        <v>361</v>
      </c>
      <c r="L1592" s="31">
        <v>43435</v>
      </c>
      <c r="M1592" s="28">
        <v>12</v>
      </c>
      <c r="N1592" s="32" t="s">
        <v>176</v>
      </c>
      <c r="O1592" s="28" t="s">
        <v>204</v>
      </c>
      <c r="P1592" s="28" t="s">
        <v>3954</v>
      </c>
      <c r="Q1592" s="28" t="s">
        <v>3955</v>
      </c>
      <c r="R1592" s="28" t="s">
        <v>719</v>
      </c>
    </row>
    <row r="1593" spans="1:18" hidden="1">
      <c r="A1593" s="28">
        <v>5</v>
      </c>
      <c r="B1593" s="29" t="s">
        <v>349</v>
      </c>
      <c r="C1593" s="29" t="s">
        <v>355</v>
      </c>
      <c r="D1593" s="29" t="s">
        <v>360</v>
      </c>
      <c r="E1593" s="29" t="s">
        <v>172</v>
      </c>
      <c r="F1593" s="28" t="s">
        <v>3921</v>
      </c>
      <c r="G1593" s="28" t="s">
        <v>3921</v>
      </c>
      <c r="H1593" s="28" t="s">
        <v>174</v>
      </c>
      <c r="I1593" s="28" t="s">
        <v>174</v>
      </c>
      <c r="J1593" s="30" t="s">
        <v>174</v>
      </c>
      <c r="K1593" s="28" t="s">
        <v>479</v>
      </c>
      <c r="L1593" s="31">
        <v>43770</v>
      </c>
      <c r="M1593" s="28">
        <v>11</v>
      </c>
      <c r="N1593" s="32" t="s">
        <v>191</v>
      </c>
      <c r="O1593" s="28" t="s">
        <v>177</v>
      </c>
      <c r="P1593" s="28" t="s">
        <v>3956</v>
      </c>
      <c r="Q1593" s="28" t="s">
        <v>3957</v>
      </c>
      <c r="R1593" s="28" t="s">
        <v>3953</v>
      </c>
    </row>
    <row r="1594" spans="1:18" hidden="1">
      <c r="A1594" s="28">
        <v>5</v>
      </c>
      <c r="B1594" s="29" t="s">
        <v>349</v>
      </c>
      <c r="C1594" s="29" t="s">
        <v>355</v>
      </c>
      <c r="D1594" s="29" t="s">
        <v>360</v>
      </c>
      <c r="E1594" s="29" t="s">
        <v>172</v>
      </c>
      <c r="F1594" s="28" t="s">
        <v>3921</v>
      </c>
      <c r="G1594" s="28" t="s">
        <v>3921</v>
      </c>
      <c r="H1594" s="28" t="s">
        <v>174</v>
      </c>
      <c r="I1594" s="28" t="s">
        <v>174</v>
      </c>
      <c r="J1594" s="30" t="s">
        <v>174</v>
      </c>
      <c r="K1594" s="28" t="s">
        <v>823</v>
      </c>
      <c r="L1594" s="31">
        <v>44136</v>
      </c>
      <c r="M1594" s="28">
        <v>11</v>
      </c>
      <c r="N1594" s="32" t="s">
        <v>191</v>
      </c>
      <c r="O1594" s="28" t="s">
        <v>177</v>
      </c>
      <c r="P1594" s="28" t="s">
        <v>3958</v>
      </c>
      <c r="Q1594" s="28" t="s">
        <v>3959</v>
      </c>
      <c r="R1594" s="28" t="s">
        <v>3960</v>
      </c>
    </row>
    <row r="1595" spans="1:18" hidden="1">
      <c r="A1595" s="28">
        <v>1</v>
      </c>
      <c r="B1595" s="29" t="s">
        <v>379</v>
      </c>
      <c r="C1595" s="29" t="s">
        <v>388</v>
      </c>
      <c r="D1595" s="29" t="s">
        <v>389</v>
      </c>
      <c r="E1595" s="29" t="s">
        <v>172</v>
      </c>
      <c r="F1595" s="28" t="s">
        <v>3961</v>
      </c>
      <c r="G1595" s="28" t="s">
        <v>3961</v>
      </c>
      <c r="H1595" s="28" t="s">
        <v>174</v>
      </c>
      <c r="I1595" s="28" t="s">
        <v>174</v>
      </c>
      <c r="J1595" s="30" t="s">
        <v>174</v>
      </c>
      <c r="K1595" s="28" t="s">
        <v>3962</v>
      </c>
      <c r="L1595" s="31">
        <v>42186</v>
      </c>
      <c r="M1595" s="28">
        <v>7</v>
      </c>
      <c r="N1595" s="32" t="s">
        <v>184</v>
      </c>
      <c r="O1595" s="28" t="s">
        <v>177</v>
      </c>
      <c r="P1595" s="28" t="s">
        <v>3963</v>
      </c>
      <c r="Q1595" s="28" t="s">
        <v>3964</v>
      </c>
      <c r="R1595" s="28" t="s">
        <v>3965</v>
      </c>
    </row>
    <row r="1596" spans="1:18" hidden="1">
      <c r="A1596" s="28">
        <v>11</v>
      </c>
      <c r="B1596" s="29" t="s">
        <v>169</v>
      </c>
      <c r="C1596" s="29" t="s">
        <v>181</v>
      </c>
      <c r="D1596" s="29" t="s">
        <v>182</v>
      </c>
      <c r="E1596" s="29" t="s">
        <v>172</v>
      </c>
      <c r="F1596" s="28" t="s">
        <v>3961</v>
      </c>
      <c r="G1596" s="28" t="s">
        <v>3961</v>
      </c>
      <c r="H1596" s="28" t="s">
        <v>174</v>
      </c>
      <c r="I1596" s="28" t="s">
        <v>174</v>
      </c>
      <c r="J1596" s="30" t="s">
        <v>174</v>
      </c>
      <c r="K1596" s="28" t="s">
        <v>813</v>
      </c>
      <c r="L1596" s="31">
        <v>43009</v>
      </c>
      <c r="M1596" s="28">
        <v>10</v>
      </c>
      <c r="N1596" s="32" t="s">
        <v>191</v>
      </c>
      <c r="O1596" s="28" t="s">
        <v>953</v>
      </c>
      <c r="P1596" s="28" t="s">
        <v>3966</v>
      </c>
      <c r="Q1596" s="28" t="s">
        <v>3967</v>
      </c>
      <c r="R1596" s="28" t="s">
        <v>3968</v>
      </c>
    </row>
    <row r="1597" spans="1:18" hidden="1">
      <c r="A1597" s="28">
        <v>11</v>
      </c>
      <c r="B1597" s="29" t="s">
        <v>169</v>
      </c>
      <c r="C1597" s="29" t="s">
        <v>181</v>
      </c>
      <c r="D1597" s="29" t="s">
        <v>182</v>
      </c>
      <c r="E1597" s="29" t="s">
        <v>172</v>
      </c>
      <c r="F1597" s="28" t="s">
        <v>3961</v>
      </c>
      <c r="G1597" s="28" t="s">
        <v>3961</v>
      </c>
      <c r="H1597" s="28" t="s">
        <v>174</v>
      </c>
      <c r="I1597" s="28" t="s">
        <v>174</v>
      </c>
      <c r="J1597" s="30" t="s">
        <v>174</v>
      </c>
      <c r="K1597" s="28" t="s">
        <v>405</v>
      </c>
      <c r="L1597" s="31">
        <v>43221</v>
      </c>
      <c r="M1597" s="28">
        <v>5</v>
      </c>
      <c r="N1597" s="32" t="s">
        <v>191</v>
      </c>
      <c r="O1597" s="28" t="s">
        <v>953</v>
      </c>
      <c r="P1597" s="28" t="s">
        <v>3969</v>
      </c>
      <c r="Q1597" s="28" t="s">
        <v>3967</v>
      </c>
      <c r="R1597" s="28" t="s">
        <v>3970</v>
      </c>
    </row>
    <row r="1598" spans="1:18" hidden="1">
      <c r="A1598" s="28">
        <v>11</v>
      </c>
      <c r="B1598" s="29" t="s">
        <v>169</v>
      </c>
      <c r="C1598" s="29" t="s">
        <v>181</v>
      </c>
      <c r="D1598" s="29" t="s">
        <v>182</v>
      </c>
      <c r="E1598" s="29" t="s">
        <v>172</v>
      </c>
      <c r="F1598" s="28" t="s">
        <v>3961</v>
      </c>
      <c r="G1598" s="28" t="s">
        <v>3961</v>
      </c>
      <c r="H1598" s="28" t="s">
        <v>174</v>
      </c>
      <c r="I1598" s="28" t="s">
        <v>174</v>
      </c>
      <c r="J1598" s="30" t="s">
        <v>174</v>
      </c>
      <c r="K1598" s="28" t="s">
        <v>844</v>
      </c>
      <c r="L1598" s="31">
        <v>43586</v>
      </c>
      <c r="M1598" s="28">
        <v>5</v>
      </c>
      <c r="N1598" s="32" t="s">
        <v>191</v>
      </c>
      <c r="O1598" s="28" t="s">
        <v>953</v>
      </c>
      <c r="P1598" s="28" t="s">
        <v>3971</v>
      </c>
      <c r="Q1598" s="28" t="s">
        <v>3967</v>
      </c>
      <c r="R1598" s="28" t="s">
        <v>3970</v>
      </c>
    </row>
    <row r="1599" spans="1:18" hidden="1">
      <c r="A1599" s="28">
        <v>11</v>
      </c>
      <c r="B1599" s="29" t="s">
        <v>169</v>
      </c>
      <c r="C1599" s="29" t="s">
        <v>181</v>
      </c>
      <c r="D1599" s="29" t="s">
        <v>182</v>
      </c>
      <c r="E1599" s="29" t="s">
        <v>172</v>
      </c>
      <c r="F1599" s="28" t="s">
        <v>3961</v>
      </c>
      <c r="G1599" s="28" t="s">
        <v>3961</v>
      </c>
      <c r="H1599" s="28" t="s">
        <v>174</v>
      </c>
      <c r="I1599" s="28" t="s">
        <v>174</v>
      </c>
      <c r="J1599" s="30" t="s">
        <v>174</v>
      </c>
      <c r="K1599" s="28" t="s">
        <v>504</v>
      </c>
      <c r="L1599" s="31">
        <v>43922</v>
      </c>
      <c r="M1599" s="28">
        <v>4</v>
      </c>
      <c r="N1599" s="32" t="s">
        <v>191</v>
      </c>
      <c r="O1599" s="28" t="s">
        <v>953</v>
      </c>
      <c r="P1599" s="28" t="s">
        <v>3972</v>
      </c>
      <c r="Q1599" s="28" t="s">
        <v>3967</v>
      </c>
      <c r="R1599" s="28" t="s">
        <v>3968</v>
      </c>
    </row>
    <row r="1600" spans="1:18" hidden="1">
      <c r="A1600" s="28">
        <v>12</v>
      </c>
      <c r="B1600" s="29" t="s">
        <v>195</v>
      </c>
      <c r="C1600" s="29" t="s">
        <v>196</v>
      </c>
      <c r="D1600" s="29" t="s">
        <v>197</v>
      </c>
      <c r="E1600" s="29" t="s">
        <v>172</v>
      </c>
      <c r="F1600" s="28" t="s">
        <v>3961</v>
      </c>
      <c r="G1600" s="28" t="s">
        <v>3961</v>
      </c>
      <c r="H1600" s="28" t="s">
        <v>174</v>
      </c>
      <c r="I1600" s="28" t="s">
        <v>174</v>
      </c>
      <c r="J1600" s="30" t="s">
        <v>174</v>
      </c>
      <c r="K1600" s="28" t="s">
        <v>263</v>
      </c>
      <c r="L1600" s="31">
        <v>42430</v>
      </c>
      <c r="M1600" s="28">
        <v>3</v>
      </c>
      <c r="N1600" s="32" t="s">
        <v>191</v>
      </c>
      <c r="O1600" s="28" t="s">
        <v>185</v>
      </c>
      <c r="P1600" s="28" t="s">
        <v>3973</v>
      </c>
      <c r="Q1600" s="28" t="s">
        <v>2062</v>
      </c>
      <c r="R1600" s="28" t="s">
        <v>2063</v>
      </c>
    </row>
    <row r="1601" spans="1:18" hidden="1">
      <c r="A1601" s="28">
        <v>12</v>
      </c>
      <c r="B1601" s="29" t="s">
        <v>195</v>
      </c>
      <c r="C1601" s="29" t="s">
        <v>196</v>
      </c>
      <c r="D1601" s="29" t="s">
        <v>197</v>
      </c>
      <c r="E1601" s="29" t="s">
        <v>172</v>
      </c>
      <c r="F1601" s="28" t="s">
        <v>3961</v>
      </c>
      <c r="G1601" s="28" t="s">
        <v>3961</v>
      </c>
      <c r="H1601" s="28" t="s">
        <v>174</v>
      </c>
      <c r="I1601" s="28" t="s">
        <v>174</v>
      </c>
      <c r="J1601" s="30" t="s">
        <v>174</v>
      </c>
      <c r="K1601" s="28" t="s">
        <v>489</v>
      </c>
      <c r="L1601" s="31">
        <v>42491</v>
      </c>
      <c r="M1601" s="28">
        <v>5</v>
      </c>
      <c r="N1601" s="32" t="s">
        <v>191</v>
      </c>
      <c r="O1601" s="28" t="s">
        <v>185</v>
      </c>
      <c r="P1601" s="28" t="s">
        <v>3974</v>
      </c>
      <c r="Q1601" s="28" t="s">
        <v>2062</v>
      </c>
      <c r="R1601" s="28" t="s">
        <v>2063</v>
      </c>
    </row>
    <row r="1602" spans="1:18" hidden="1">
      <c r="A1602" s="28">
        <v>12</v>
      </c>
      <c r="B1602" s="29" t="s">
        <v>195</v>
      </c>
      <c r="C1602" s="29" t="s">
        <v>196</v>
      </c>
      <c r="D1602" s="29" t="s">
        <v>197</v>
      </c>
      <c r="E1602" s="29" t="s">
        <v>172</v>
      </c>
      <c r="F1602" s="28" t="s">
        <v>3961</v>
      </c>
      <c r="G1602" s="28" t="s">
        <v>3961</v>
      </c>
      <c r="H1602" s="28" t="s">
        <v>174</v>
      </c>
      <c r="I1602" s="28" t="s">
        <v>174</v>
      </c>
      <c r="J1602" s="30" t="s">
        <v>174</v>
      </c>
      <c r="K1602" s="28" t="s">
        <v>257</v>
      </c>
      <c r="L1602" s="31">
        <v>42552</v>
      </c>
      <c r="M1602" s="28">
        <v>7</v>
      </c>
      <c r="N1602" s="32" t="s">
        <v>184</v>
      </c>
      <c r="O1602" s="28" t="s">
        <v>185</v>
      </c>
      <c r="P1602" s="28" t="s">
        <v>3975</v>
      </c>
      <c r="Q1602" s="28" t="s">
        <v>2052</v>
      </c>
      <c r="R1602" s="28" t="s">
        <v>2053</v>
      </c>
    </row>
    <row r="1603" spans="1:18" hidden="1">
      <c r="A1603" s="28">
        <v>12</v>
      </c>
      <c r="B1603" s="29" t="s">
        <v>195</v>
      </c>
      <c r="C1603" s="29" t="s">
        <v>196</v>
      </c>
      <c r="D1603" s="29" t="s">
        <v>197</v>
      </c>
      <c r="E1603" s="29" t="s">
        <v>172</v>
      </c>
      <c r="F1603" s="28" t="s">
        <v>3961</v>
      </c>
      <c r="G1603" s="28" t="s">
        <v>3961</v>
      </c>
      <c r="H1603" s="28" t="s">
        <v>174</v>
      </c>
      <c r="I1603" s="28" t="s">
        <v>174</v>
      </c>
      <c r="J1603" s="30" t="s">
        <v>174</v>
      </c>
      <c r="K1603" s="28" t="s">
        <v>267</v>
      </c>
      <c r="L1603" s="31">
        <v>42583</v>
      </c>
      <c r="M1603" s="28">
        <v>8</v>
      </c>
      <c r="N1603" s="32" t="s">
        <v>184</v>
      </c>
      <c r="O1603" s="28" t="s">
        <v>185</v>
      </c>
      <c r="P1603" s="28" t="s">
        <v>3976</v>
      </c>
      <c r="Q1603" s="28" t="s">
        <v>2062</v>
      </c>
      <c r="R1603" s="28" t="s">
        <v>2063</v>
      </c>
    </row>
    <row r="1604" spans="1:18" hidden="1">
      <c r="A1604" s="28">
        <v>12</v>
      </c>
      <c r="B1604" s="29" t="s">
        <v>195</v>
      </c>
      <c r="C1604" s="29" t="s">
        <v>196</v>
      </c>
      <c r="D1604" s="29" t="s">
        <v>197</v>
      </c>
      <c r="E1604" s="29" t="s">
        <v>172</v>
      </c>
      <c r="F1604" s="28" t="s">
        <v>3961</v>
      </c>
      <c r="G1604" s="28" t="s">
        <v>3961</v>
      </c>
      <c r="H1604" s="28" t="s">
        <v>174</v>
      </c>
      <c r="I1604" s="28" t="s">
        <v>174</v>
      </c>
      <c r="J1604" s="30" t="s">
        <v>174</v>
      </c>
      <c r="K1604" s="28" t="s">
        <v>267</v>
      </c>
      <c r="L1604" s="31">
        <v>42583</v>
      </c>
      <c r="M1604" s="28">
        <v>8</v>
      </c>
      <c r="N1604" s="32" t="s">
        <v>184</v>
      </c>
      <c r="O1604" s="28" t="s">
        <v>185</v>
      </c>
      <c r="P1604" s="28" t="s">
        <v>3977</v>
      </c>
      <c r="Q1604" s="28" t="s">
        <v>2052</v>
      </c>
      <c r="R1604" s="28" t="s">
        <v>2053</v>
      </c>
    </row>
    <row r="1605" spans="1:18" hidden="1">
      <c r="A1605" s="28">
        <v>12</v>
      </c>
      <c r="B1605" s="29" t="s">
        <v>195</v>
      </c>
      <c r="C1605" s="29" t="s">
        <v>196</v>
      </c>
      <c r="D1605" s="29" t="s">
        <v>197</v>
      </c>
      <c r="E1605" s="29" t="s">
        <v>172</v>
      </c>
      <c r="F1605" s="28" t="s">
        <v>3961</v>
      </c>
      <c r="G1605" s="28" t="s">
        <v>3961</v>
      </c>
      <c r="H1605" s="28" t="s">
        <v>174</v>
      </c>
      <c r="I1605" s="28" t="s">
        <v>174</v>
      </c>
      <c r="J1605" s="30" t="s">
        <v>174</v>
      </c>
      <c r="K1605" s="28" t="s">
        <v>271</v>
      </c>
      <c r="L1605" s="31">
        <v>42856</v>
      </c>
      <c r="M1605" s="28">
        <v>5</v>
      </c>
      <c r="N1605" s="32" t="s">
        <v>191</v>
      </c>
      <c r="O1605" s="28" t="s">
        <v>185</v>
      </c>
      <c r="P1605" s="28" t="s">
        <v>3978</v>
      </c>
      <c r="Q1605" s="28" t="s">
        <v>2062</v>
      </c>
      <c r="R1605" s="28" t="s">
        <v>2063</v>
      </c>
    </row>
    <row r="1606" spans="1:18" hidden="1">
      <c r="A1606" s="28">
        <v>12</v>
      </c>
      <c r="B1606" s="29" t="s">
        <v>195</v>
      </c>
      <c r="C1606" s="29" t="s">
        <v>196</v>
      </c>
      <c r="D1606" s="29" t="s">
        <v>197</v>
      </c>
      <c r="E1606" s="29" t="s">
        <v>172</v>
      </c>
      <c r="F1606" s="28" t="s">
        <v>3961</v>
      </c>
      <c r="G1606" s="28" t="s">
        <v>3961</v>
      </c>
      <c r="H1606" s="28" t="s">
        <v>174</v>
      </c>
      <c r="I1606" s="28" t="s">
        <v>174</v>
      </c>
      <c r="J1606" s="30" t="s">
        <v>174</v>
      </c>
      <c r="K1606" s="28" t="s">
        <v>271</v>
      </c>
      <c r="L1606" s="31">
        <v>42856</v>
      </c>
      <c r="M1606" s="28">
        <v>5</v>
      </c>
      <c r="N1606" s="32" t="s">
        <v>191</v>
      </c>
      <c r="O1606" s="28" t="s">
        <v>185</v>
      </c>
      <c r="P1606" s="28" t="s">
        <v>3979</v>
      </c>
      <c r="Q1606" s="28" t="s">
        <v>2062</v>
      </c>
      <c r="R1606" s="28" t="s">
        <v>2063</v>
      </c>
    </row>
    <row r="1607" spans="1:18" hidden="1">
      <c r="A1607" s="28">
        <v>12</v>
      </c>
      <c r="B1607" s="29" t="s">
        <v>195</v>
      </c>
      <c r="C1607" s="29" t="s">
        <v>196</v>
      </c>
      <c r="D1607" s="29" t="s">
        <v>197</v>
      </c>
      <c r="E1607" s="29" t="s">
        <v>172</v>
      </c>
      <c r="F1607" s="28" t="s">
        <v>3961</v>
      </c>
      <c r="G1607" s="28" t="s">
        <v>3961</v>
      </c>
      <c r="H1607" s="28" t="s">
        <v>174</v>
      </c>
      <c r="I1607" s="28" t="s">
        <v>174</v>
      </c>
      <c r="J1607" s="30" t="s">
        <v>174</v>
      </c>
      <c r="K1607" s="28" t="s">
        <v>442</v>
      </c>
      <c r="L1607" s="31">
        <v>43647</v>
      </c>
      <c r="M1607" s="28">
        <v>7</v>
      </c>
      <c r="N1607" s="32" t="s">
        <v>184</v>
      </c>
      <c r="O1607" s="28" t="s">
        <v>185</v>
      </c>
      <c r="P1607" s="28" t="s">
        <v>3980</v>
      </c>
      <c r="Q1607" s="28" t="s">
        <v>2062</v>
      </c>
      <c r="R1607" s="28" t="s">
        <v>2063</v>
      </c>
    </row>
    <row r="1608" spans="1:18" hidden="1">
      <c r="A1608" s="28">
        <v>12</v>
      </c>
      <c r="B1608" s="29" t="s">
        <v>195</v>
      </c>
      <c r="C1608" s="29" t="s">
        <v>196</v>
      </c>
      <c r="D1608" s="29" t="s">
        <v>197</v>
      </c>
      <c r="E1608" s="29" t="s">
        <v>172</v>
      </c>
      <c r="F1608" s="28" t="s">
        <v>3961</v>
      </c>
      <c r="G1608" s="28" t="s">
        <v>3961</v>
      </c>
      <c r="H1608" s="28" t="s">
        <v>174</v>
      </c>
      <c r="I1608" s="28" t="s">
        <v>174</v>
      </c>
      <c r="J1608" s="30" t="s">
        <v>174</v>
      </c>
      <c r="K1608" s="28" t="s">
        <v>479</v>
      </c>
      <c r="L1608" s="31">
        <v>43770</v>
      </c>
      <c r="M1608" s="28">
        <v>11</v>
      </c>
      <c r="N1608" s="32" t="s">
        <v>191</v>
      </c>
      <c r="O1608" s="28" t="s">
        <v>185</v>
      </c>
      <c r="P1608" s="28" t="s">
        <v>3981</v>
      </c>
      <c r="Q1608" s="28" t="s">
        <v>2062</v>
      </c>
      <c r="R1608" s="28" t="s">
        <v>2063</v>
      </c>
    </row>
    <row r="1609" spans="1:18" hidden="1">
      <c r="A1609" s="28">
        <v>12</v>
      </c>
      <c r="B1609" s="29" t="s">
        <v>195</v>
      </c>
      <c r="C1609" s="29" t="s">
        <v>196</v>
      </c>
      <c r="D1609" s="29" t="s">
        <v>197</v>
      </c>
      <c r="E1609" s="29" t="s">
        <v>172</v>
      </c>
      <c r="F1609" s="28" t="s">
        <v>3961</v>
      </c>
      <c r="G1609" s="28" t="s">
        <v>3961</v>
      </c>
      <c r="H1609" s="28" t="s">
        <v>174</v>
      </c>
      <c r="I1609" s="28" t="s">
        <v>174</v>
      </c>
      <c r="J1609" s="30" t="s">
        <v>174</v>
      </c>
      <c r="K1609" s="28" t="s">
        <v>324</v>
      </c>
      <c r="L1609" s="31">
        <v>43862</v>
      </c>
      <c r="M1609" s="28">
        <v>2</v>
      </c>
      <c r="N1609" s="32" t="s">
        <v>176</v>
      </c>
      <c r="O1609" s="28" t="s">
        <v>185</v>
      </c>
      <c r="P1609" s="28" t="s">
        <v>3982</v>
      </c>
      <c r="Q1609" s="28" t="s">
        <v>2052</v>
      </c>
      <c r="R1609" s="28" t="s">
        <v>2053</v>
      </c>
    </row>
    <row r="1610" spans="1:18" hidden="1">
      <c r="A1610" s="28">
        <v>12</v>
      </c>
      <c r="B1610" s="29" t="s">
        <v>195</v>
      </c>
      <c r="C1610" s="29" t="s">
        <v>196</v>
      </c>
      <c r="D1610" s="29" t="s">
        <v>197</v>
      </c>
      <c r="E1610" s="29" t="s">
        <v>172</v>
      </c>
      <c r="F1610" s="28" t="s">
        <v>3961</v>
      </c>
      <c r="G1610" s="28" t="s">
        <v>3961</v>
      </c>
      <c r="H1610" s="28" t="s">
        <v>174</v>
      </c>
      <c r="I1610" s="28" t="s">
        <v>174</v>
      </c>
      <c r="J1610" s="30" t="s">
        <v>174</v>
      </c>
      <c r="K1610" s="28" t="s">
        <v>643</v>
      </c>
      <c r="L1610" s="31">
        <v>44013</v>
      </c>
      <c r="M1610" s="28">
        <v>7</v>
      </c>
      <c r="N1610" s="32" t="s">
        <v>184</v>
      </c>
      <c r="O1610" s="28" t="s">
        <v>185</v>
      </c>
      <c r="P1610" s="28" t="s">
        <v>3983</v>
      </c>
      <c r="Q1610" s="28" t="s">
        <v>2052</v>
      </c>
      <c r="R1610" s="28" t="s">
        <v>2053</v>
      </c>
    </row>
    <row r="1611" spans="1:18" hidden="1">
      <c r="A1611" s="28">
        <v>12</v>
      </c>
      <c r="B1611" s="29" t="s">
        <v>195</v>
      </c>
      <c r="C1611" s="29" t="s">
        <v>196</v>
      </c>
      <c r="D1611" s="29" t="s">
        <v>197</v>
      </c>
      <c r="E1611" s="29" t="s">
        <v>172</v>
      </c>
      <c r="F1611" s="28" t="s">
        <v>3961</v>
      </c>
      <c r="G1611" s="28" t="s">
        <v>3961</v>
      </c>
      <c r="H1611" s="28" t="s">
        <v>174</v>
      </c>
      <c r="I1611" s="28" t="s">
        <v>174</v>
      </c>
      <c r="J1611" s="30" t="s">
        <v>174</v>
      </c>
      <c r="K1611" s="28" t="s">
        <v>218</v>
      </c>
      <c r="L1611" s="31">
        <v>44044</v>
      </c>
      <c r="M1611" s="28">
        <v>8</v>
      </c>
      <c r="N1611" s="32" t="s">
        <v>184</v>
      </c>
      <c r="O1611" s="28" t="s">
        <v>185</v>
      </c>
      <c r="P1611" s="28" t="s">
        <v>3984</v>
      </c>
      <c r="Q1611" s="28" t="s">
        <v>2062</v>
      </c>
      <c r="R1611" s="28" t="s">
        <v>2063</v>
      </c>
    </row>
    <row r="1612" spans="1:18" hidden="1">
      <c r="A1612" s="28">
        <v>12</v>
      </c>
      <c r="B1612" s="29" t="s">
        <v>195</v>
      </c>
      <c r="C1612" s="29" t="s">
        <v>196</v>
      </c>
      <c r="D1612" s="29" t="s">
        <v>197</v>
      </c>
      <c r="E1612" s="29" t="s">
        <v>172</v>
      </c>
      <c r="F1612" s="28" t="s">
        <v>3961</v>
      </c>
      <c r="G1612" s="28" t="s">
        <v>3961</v>
      </c>
      <c r="H1612" s="28" t="s">
        <v>174</v>
      </c>
      <c r="I1612" s="28" t="s">
        <v>174</v>
      </c>
      <c r="J1612" s="30" t="s">
        <v>174</v>
      </c>
      <c r="K1612" s="28" t="s">
        <v>430</v>
      </c>
      <c r="L1612" s="31">
        <v>44105</v>
      </c>
      <c r="M1612" s="28">
        <v>10</v>
      </c>
      <c r="N1612" s="32" t="s">
        <v>191</v>
      </c>
      <c r="O1612" s="28" t="s">
        <v>185</v>
      </c>
      <c r="P1612" s="28" t="s">
        <v>3985</v>
      </c>
      <c r="Q1612" s="28" t="s">
        <v>2062</v>
      </c>
      <c r="R1612" s="28" t="s">
        <v>2063</v>
      </c>
    </row>
    <row r="1613" spans="1:18" hidden="1">
      <c r="A1613" s="28">
        <v>12</v>
      </c>
      <c r="B1613" s="29" t="s">
        <v>195</v>
      </c>
      <c r="C1613" s="29" t="s">
        <v>196</v>
      </c>
      <c r="D1613" s="29" t="s">
        <v>197</v>
      </c>
      <c r="E1613" s="29" t="s">
        <v>172</v>
      </c>
      <c r="F1613" s="28" t="s">
        <v>3961</v>
      </c>
      <c r="G1613" s="28" t="s">
        <v>3961</v>
      </c>
      <c r="H1613" s="28" t="s">
        <v>174</v>
      </c>
      <c r="I1613" s="28" t="s">
        <v>174</v>
      </c>
      <c r="J1613" s="30" t="s">
        <v>174</v>
      </c>
      <c r="K1613" s="28" t="s">
        <v>430</v>
      </c>
      <c r="L1613" s="31">
        <v>44105</v>
      </c>
      <c r="M1613" s="28">
        <v>10</v>
      </c>
      <c r="N1613" s="32" t="s">
        <v>191</v>
      </c>
      <c r="O1613" s="28" t="s">
        <v>185</v>
      </c>
      <c r="P1613" s="28" t="s">
        <v>3986</v>
      </c>
      <c r="Q1613" s="28" t="s">
        <v>2062</v>
      </c>
      <c r="R1613" s="28" t="s">
        <v>2063</v>
      </c>
    </row>
    <row r="1614" spans="1:18" hidden="1">
      <c r="A1614" s="28">
        <v>12</v>
      </c>
      <c r="B1614" s="29" t="s">
        <v>195</v>
      </c>
      <c r="C1614" s="29" t="s">
        <v>196</v>
      </c>
      <c r="D1614" s="29" t="s">
        <v>197</v>
      </c>
      <c r="E1614" s="29" t="s">
        <v>172</v>
      </c>
      <c r="F1614" s="28" t="s">
        <v>3961</v>
      </c>
      <c r="G1614" s="28" t="s">
        <v>3961</v>
      </c>
      <c r="H1614" s="28" t="s">
        <v>174</v>
      </c>
      <c r="I1614" s="28" t="s">
        <v>174</v>
      </c>
      <c r="J1614" s="30" t="s">
        <v>174</v>
      </c>
      <c r="K1614" s="28" t="s">
        <v>823</v>
      </c>
      <c r="L1614" s="31">
        <v>44136</v>
      </c>
      <c r="M1614" s="28">
        <v>11</v>
      </c>
      <c r="N1614" s="32" t="s">
        <v>191</v>
      </c>
      <c r="O1614" s="28" t="s">
        <v>185</v>
      </c>
      <c r="P1614" s="28" t="s">
        <v>3987</v>
      </c>
      <c r="Q1614" s="28" t="s">
        <v>2062</v>
      </c>
      <c r="R1614" s="28" t="s">
        <v>2063</v>
      </c>
    </row>
    <row r="1615" spans="1:18" hidden="1">
      <c r="A1615" s="28">
        <v>12</v>
      </c>
      <c r="B1615" s="29" t="s">
        <v>195</v>
      </c>
      <c r="C1615" s="29" t="s">
        <v>196</v>
      </c>
      <c r="D1615" s="29" t="s">
        <v>197</v>
      </c>
      <c r="E1615" s="29" t="s">
        <v>172</v>
      </c>
      <c r="F1615" s="28" t="s">
        <v>3961</v>
      </c>
      <c r="G1615" s="28" t="s">
        <v>3961</v>
      </c>
      <c r="H1615" s="28" t="s">
        <v>174</v>
      </c>
      <c r="I1615" s="28" t="s">
        <v>174</v>
      </c>
      <c r="J1615" s="30" t="s">
        <v>174</v>
      </c>
      <c r="K1615" s="28" t="s">
        <v>345</v>
      </c>
      <c r="L1615" s="31">
        <v>44440</v>
      </c>
      <c r="M1615" s="28">
        <v>9</v>
      </c>
      <c r="N1615" s="32" t="s">
        <v>191</v>
      </c>
      <c r="O1615" s="28" t="s">
        <v>185</v>
      </c>
      <c r="P1615" s="28" t="s">
        <v>3988</v>
      </c>
      <c r="Q1615" s="28" t="s">
        <v>2062</v>
      </c>
      <c r="R1615" s="28" t="s">
        <v>2063</v>
      </c>
    </row>
    <row r="1616" spans="1:18" hidden="1">
      <c r="A1616" s="28">
        <v>2</v>
      </c>
      <c r="B1616" s="29" t="s">
        <v>240</v>
      </c>
      <c r="C1616" s="29" t="s">
        <v>241</v>
      </c>
      <c r="D1616" s="29" t="s">
        <v>252</v>
      </c>
      <c r="E1616" s="29" t="s">
        <v>172</v>
      </c>
      <c r="F1616" s="28" t="s">
        <v>3961</v>
      </c>
      <c r="G1616" s="28" t="s">
        <v>3961</v>
      </c>
      <c r="H1616" s="28" t="s">
        <v>174</v>
      </c>
      <c r="I1616" s="28" t="s">
        <v>174</v>
      </c>
      <c r="J1616" s="30" t="s">
        <v>174</v>
      </c>
      <c r="K1616" s="28" t="s">
        <v>460</v>
      </c>
      <c r="L1616" s="31">
        <v>42675</v>
      </c>
      <c r="M1616" s="28">
        <v>11</v>
      </c>
      <c r="N1616" s="32" t="s">
        <v>191</v>
      </c>
      <c r="O1616" s="28" t="s">
        <v>185</v>
      </c>
      <c r="P1616" s="28" t="s">
        <v>3989</v>
      </c>
      <c r="Q1616" s="28" t="s">
        <v>2626</v>
      </c>
      <c r="R1616" s="28" t="s">
        <v>2627</v>
      </c>
    </row>
    <row r="1617" spans="1:18" hidden="1">
      <c r="A1617" s="28">
        <v>2</v>
      </c>
      <c r="B1617" s="29" t="s">
        <v>240</v>
      </c>
      <c r="C1617" s="29" t="s">
        <v>241</v>
      </c>
      <c r="D1617" s="29" t="s">
        <v>252</v>
      </c>
      <c r="E1617" s="29" t="s">
        <v>172</v>
      </c>
      <c r="F1617" s="28" t="s">
        <v>3961</v>
      </c>
      <c r="G1617" s="28" t="s">
        <v>3961</v>
      </c>
      <c r="H1617" s="28" t="s">
        <v>174</v>
      </c>
      <c r="I1617" s="28" t="s">
        <v>174</v>
      </c>
      <c r="J1617" s="30" t="s">
        <v>174</v>
      </c>
      <c r="K1617" s="28" t="s">
        <v>813</v>
      </c>
      <c r="L1617" s="31">
        <v>43009</v>
      </c>
      <c r="M1617" s="28">
        <v>10</v>
      </c>
      <c r="N1617" s="32" t="s">
        <v>191</v>
      </c>
      <c r="O1617" s="28" t="s">
        <v>185</v>
      </c>
      <c r="P1617" s="28" t="s">
        <v>3990</v>
      </c>
      <c r="Q1617" s="28" t="s">
        <v>2626</v>
      </c>
      <c r="R1617" s="28" t="s">
        <v>2627</v>
      </c>
    </row>
    <row r="1618" spans="1:18" hidden="1">
      <c r="A1618" s="28">
        <v>2</v>
      </c>
      <c r="B1618" s="29" t="s">
        <v>240</v>
      </c>
      <c r="C1618" s="29" t="s">
        <v>261</v>
      </c>
      <c r="D1618" s="29" t="s">
        <v>532</v>
      </c>
      <c r="E1618" s="29" t="s">
        <v>172</v>
      </c>
      <c r="F1618" s="28" t="s">
        <v>3961</v>
      </c>
      <c r="G1618" s="28" t="s">
        <v>3961</v>
      </c>
      <c r="H1618" s="28" t="s">
        <v>174</v>
      </c>
      <c r="I1618" s="28" t="s">
        <v>174</v>
      </c>
      <c r="J1618" s="30" t="s">
        <v>174</v>
      </c>
      <c r="K1618" s="28" t="s">
        <v>460</v>
      </c>
      <c r="L1618" s="31">
        <v>42675</v>
      </c>
      <c r="M1618" s="28">
        <v>11</v>
      </c>
      <c r="N1618" s="32" t="s">
        <v>191</v>
      </c>
      <c r="O1618" s="28" t="s">
        <v>185</v>
      </c>
      <c r="P1618" s="28" t="s">
        <v>3991</v>
      </c>
      <c r="Q1618" s="28" t="s">
        <v>3992</v>
      </c>
      <c r="R1618" s="28" t="s">
        <v>3993</v>
      </c>
    </row>
    <row r="1619" spans="1:18">
      <c r="A1619" s="28">
        <v>3</v>
      </c>
      <c r="B1619" s="29" t="s">
        <v>286</v>
      </c>
      <c r="C1619" s="29" t="s">
        <v>287</v>
      </c>
      <c r="D1619" s="29" t="s">
        <v>288</v>
      </c>
      <c r="E1619" s="29" t="s">
        <v>172</v>
      </c>
      <c r="F1619" s="28" t="s">
        <v>3961</v>
      </c>
      <c r="G1619" s="28" t="s">
        <v>3961</v>
      </c>
      <c r="H1619" s="28" t="s">
        <v>174</v>
      </c>
      <c r="I1619" s="28" t="s">
        <v>174</v>
      </c>
      <c r="J1619" s="30" t="s">
        <v>174</v>
      </c>
      <c r="K1619" s="28" t="s">
        <v>271</v>
      </c>
      <c r="L1619" s="31">
        <v>42856</v>
      </c>
      <c r="M1619" s="28">
        <v>5</v>
      </c>
      <c r="N1619" s="32" t="s">
        <v>191</v>
      </c>
      <c r="O1619" s="28" t="s">
        <v>204</v>
      </c>
      <c r="P1619" s="28" t="s">
        <v>3994</v>
      </c>
      <c r="Q1619" s="28" t="s">
        <v>3995</v>
      </c>
      <c r="R1619" s="28" t="s">
        <v>3996</v>
      </c>
    </row>
    <row r="1620" spans="1:18" hidden="1">
      <c r="A1620" s="28">
        <v>4</v>
      </c>
      <c r="B1620" s="29" t="s">
        <v>306</v>
      </c>
      <c r="C1620" s="29" t="s">
        <v>307</v>
      </c>
      <c r="D1620" s="29" t="s">
        <v>604</v>
      </c>
      <c r="E1620" s="29" t="s">
        <v>172</v>
      </c>
      <c r="F1620" s="28" t="s">
        <v>3961</v>
      </c>
      <c r="G1620" s="28" t="s">
        <v>3961</v>
      </c>
      <c r="H1620" s="28" t="s">
        <v>174</v>
      </c>
      <c r="I1620" s="28" t="s">
        <v>174</v>
      </c>
      <c r="J1620" s="30" t="s">
        <v>174</v>
      </c>
      <c r="K1620" s="28" t="s">
        <v>464</v>
      </c>
      <c r="L1620" s="31">
        <v>42887</v>
      </c>
      <c r="M1620" s="28">
        <v>6</v>
      </c>
      <c r="N1620" s="32" t="s">
        <v>184</v>
      </c>
      <c r="O1620" s="28" t="s">
        <v>204</v>
      </c>
      <c r="P1620" s="28" t="s">
        <v>3997</v>
      </c>
      <c r="Q1620" s="28" t="s">
        <v>3998</v>
      </c>
      <c r="R1620" s="28" t="s">
        <v>3999</v>
      </c>
    </row>
    <row r="1621" spans="1:18" hidden="1">
      <c r="A1621" s="28">
        <v>4</v>
      </c>
      <c r="B1621" s="29" t="s">
        <v>306</v>
      </c>
      <c r="C1621" s="29" t="s">
        <v>307</v>
      </c>
      <c r="D1621" s="29" t="s">
        <v>604</v>
      </c>
      <c r="E1621" s="29" t="s">
        <v>172</v>
      </c>
      <c r="F1621" s="28" t="s">
        <v>3961</v>
      </c>
      <c r="G1621" s="28" t="s">
        <v>3961</v>
      </c>
      <c r="H1621" s="28" t="s">
        <v>174</v>
      </c>
      <c r="I1621" s="28" t="s">
        <v>174</v>
      </c>
      <c r="J1621" s="30" t="s">
        <v>174</v>
      </c>
      <c r="K1621" s="28" t="s">
        <v>643</v>
      </c>
      <c r="L1621" s="31">
        <v>44013</v>
      </c>
      <c r="M1621" s="28">
        <v>7</v>
      </c>
      <c r="N1621" s="32" t="s">
        <v>184</v>
      </c>
      <c r="O1621" s="28" t="s">
        <v>204</v>
      </c>
      <c r="P1621" s="28" t="s">
        <v>4000</v>
      </c>
      <c r="Q1621" s="28" t="s">
        <v>4001</v>
      </c>
      <c r="R1621" s="28" t="s">
        <v>2434</v>
      </c>
    </row>
    <row r="1622" spans="1:18" hidden="1">
      <c r="A1622" s="28">
        <v>4</v>
      </c>
      <c r="B1622" s="29" t="s">
        <v>306</v>
      </c>
      <c r="C1622" s="29" t="s">
        <v>307</v>
      </c>
      <c r="D1622" s="29" t="s">
        <v>308</v>
      </c>
      <c r="E1622" s="29" t="s">
        <v>172</v>
      </c>
      <c r="F1622" s="28" t="s">
        <v>3961</v>
      </c>
      <c r="G1622" s="28" t="s">
        <v>3961</v>
      </c>
      <c r="H1622" s="28" t="s">
        <v>174</v>
      </c>
      <c r="I1622" s="28" t="s">
        <v>174</v>
      </c>
      <c r="J1622" s="30" t="s">
        <v>174</v>
      </c>
      <c r="K1622" s="28" t="s">
        <v>248</v>
      </c>
      <c r="L1622" s="31">
        <v>43070</v>
      </c>
      <c r="M1622" s="28">
        <v>12</v>
      </c>
      <c r="N1622" s="32" t="s">
        <v>176</v>
      </c>
      <c r="O1622" s="28" t="s">
        <v>204</v>
      </c>
      <c r="P1622" s="28" t="s">
        <v>4002</v>
      </c>
      <c r="Q1622" s="28" t="s">
        <v>4003</v>
      </c>
      <c r="R1622" s="28" t="s">
        <v>4004</v>
      </c>
    </row>
    <row r="1623" spans="1:18" hidden="1">
      <c r="A1623" s="28">
        <v>4</v>
      </c>
      <c r="B1623" s="29" t="s">
        <v>306</v>
      </c>
      <c r="C1623" s="29" t="s">
        <v>307</v>
      </c>
      <c r="D1623" s="29" t="s">
        <v>308</v>
      </c>
      <c r="E1623" s="29" t="s">
        <v>172</v>
      </c>
      <c r="F1623" s="28" t="s">
        <v>3961</v>
      </c>
      <c r="G1623" s="28" t="s">
        <v>3961</v>
      </c>
      <c r="H1623" s="28" t="s">
        <v>174</v>
      </c>
      <c r="I1623" s="28" t="s">
        <v>174</v>
      </c>
      <c r="J1623" s="30" t="s">
        <v>174</v>
      </c>
      <c r="K1623" s="28" t="s">
        <v>479</v>
      </c>
      <c r="L1623" s="31">
        <v>43770</v>
      </c>
      <c r="M1623" s="28">
        <v>11</v>
      </c>
      <c r="N1623" s="32" t="s">
        <v>191</v>
      </c>
      <c r="O1623" s="28" t="s">
        <v>204</v>
      </c>
      <c r="P1623" s="28" t="s">
        <v>4005</v>
      </c>
      <c r="Q1623" s="28" t="s">
        <v>4006</v>
      </c>
      <c r="R1623" s="28" t="s">
        <v>4004</v>
      </c>
    </row>
    <row r="1624" spans="1:18" hidden="1">
      <c r="A1624" s="28">
        <v>4</v>
      </c>
      <c r="B1624" s="29" t="s">
        <v>306</v>
      </c>
      <c r="C1624" s="29" t="s">
        <v>649</v>
      </c>
      <c r="D1624" s="29" t="s">
        <v>650</v>
      </c>
      <c r="E1624" s="29" t="s">
        <v>172</v>
      </c>
      <c r="F1624" s="28" t="s">
        <v>3961</v>
      </c>
      <c r="G1624" s="28" t="s">
        <v>3961</v>
      </c>
      <c r="H1624" s="28" t="s">
        <v>174</v>
      </c>
      <c r="I1624" s="28" t="s">
        <v>174</v>
      </c>
      <c r="J1624" s="30" t="s">
        <v>174</v>
      </c>
      <c r="K1624" s="28" t="s">
        <v>460</v>
      </c>
      <c r="L1624" s="31">
        <v>42675</v>
      </c>
      <c r="M1624" s="28">
        <v>11</v>
      </c>
      <c r="N1624" s="32" t="s">
        <v>191</v>
      </c>
      <c r="O1624" s="28" t="s">
        <v>204</v>
      </c>
      <c r="P1624" s="28" t="s">
        <v>4007</v>
      </c>
      <c r="Q1624" s="28" t="s">
        <v>4008</v>
      </c>
      <c r="R1624" s="28" t="s">
        <v>4009</v>
      </c>
    </row>
    <row r="1625" spans="1:18" hidden="1">
      <c r="A1625" s="28">
        <v>4</v>
      </c>
      <c r="B1625" s="29" t="s">
        <v>306</v>
      </c>
      <c r="C1625" s="29" t="s">
        <v>649</v>
      </c>
      <c r="D1625" s="29" t="s">
        <v>650</v>
      </c>
      <c r="E1625" s="29" t="s">
        <v>172</v>
      </c>
      <c r="F1625" s="28" t="s">
        <v>3961</v>
      </c>
      <c r="G1625" s="28" t="s">
        <v>3961</v>
      </c>
      <c r="H1625" s="28" t="s">
        <v>174</v>
      </c>
      <c r="I1625" s="28" t="s">
        <v>174</v>
      </c>
      <c r="J1625" s="30" t="s">
        <v>174</v>
      </c>
      <c r="K1625" s="28" t="s">
        <v>289</v>
      </c>
      <c r="L1625" s="31">
        <v>42795</v>
      </c>
      <c r="M1625" s="28">
        <v>3</v>
      </c>
      <c r="N1625" s="32" t="s">
        <v>191</v>
      </c>
      <c r="O1625" s="28" t="s">
        <v>204</v>
      </c>
      <c r="P1625" s="28" t="s">
        <v>4010</v>
      </c>
      <c r="Q1625" s="28" t="s">
        <v>4011</v>
      </c>
      <c r="R1625" s="28" t="s">
        <v>3515</v>
      </c>
    </row>
    <row r="1626" spans="1:18" hidden="1">
      <c r="A1626" s="28">
        <v>4</v>
      </c>
      <c r="B1626" s="29" t="s">
        <v>306</v>
      </c>
      <c r="C1626" s="29" t="s">
        <v>649</v>
      </c>
      <c r="D1626" s="29" t="s">
        <v>650</v>
      </c>
      <c r="E1626" s="29" t="s">
        <v>172</v>
      </c>
      <c r="F1626" s="28" t="s">
        <v>3961</v>
      </c>
      <c r="G1626" s="28" t="s">
        <v>3961</v>
      </c>
      <c r="H1626" s="28" t="s">
        <v>174</v>
      </c>
      <c r="I1626" s="28" t="s">
        <v>174</v>
      </c>
      <c r="J1626" s="30" t="s">
        <v>174</v>
      </c>
      <c r="K1626" s="28" t="s">
        <v>496</v>
      </c>
      <c r="L1626" s="31">
        <v>42917</v>
      </c>
      <c r="M1626" s="28">
        <v>7</v>
      </c>
      <c r="N1626" s="32" t="s">
        <v>184</v>
      </c>
      <c r="O1626" s="28" t="s">
        <v>204</v>
      </c>
      <c r="P1626" s="28" t="s">
        <v>4012</v>
      </c>
      <c r="Q1626" s="28" t="s">
        <v>4013</v>
      </c>
      <c r="R1626" s="28" t="s">
        <v>3515</v>
      </c>
    </row>
    <row r="1627" spans="1:18" hidden="1">
      <c r="A1627" s="28">
        <v>4</v>
      </c>
      <c r="B1627" s="29" t="s">
        <v>306</v>
      </c>
      <c r="C1627" s="29" t="s">
        <v>649</v>
      </c>
      <c r="D1627" s="29" t="s">
        <v>650</v>
      </c>
      <c r="E1627" s="29" t="s">
        <v>172</v>
      </c>
      <c r="F1627" s="28" t="s">
        <v>3961</v>
      </c>
      <c r="G1627" s="28" t="s">
        <v>3961</v>
      </c>
      <c r="H1627" s="28" t="s">
        <v>174</v>
      </c>
      <c r="I1627" s="28" t="s">
        <v>174</v>
      </c>
      <c r="J1627" s="30" t="s">
        <v>174</v>
      </c>
      <c r="K1627" s="28" t="s">
        <v>435</v>
      </c>
      <c r="L1627" s="31">
        <v>43040</v>
      </c>
      <c r="M1627" s="28">
        <v>11</v>
      </c>
      <c r="N1627" s="32" t="s">
        <v>191</v>
      </c>
      <c r="O1627" s="28" t="s">
        <v>204</v>
      </c>
      <c r="P1627" s="28" t="s">
        <v>4014</v>
      </c>
      <c r="Q1627" s="28" t="s">
        <v>4015</v>
      </c>
      <c r="R1627" s="28" t="s">
        <v>4016</v>
      </c>
    </row>
    <row r="1628" spans="1:18" hidden="1">
      <c r="A1628" s="28">
        <v>4</v>
      </c>
      <c r="B1628" s="29" t="s">
        <v>306</v>
      </c>
      <c r="C1628" s="29" t="s">
        <v>333</v>
      </c>
      <c r="D1628" s="29" t="s">
        <v>673</v>
      </c>
      <c r="E1628" s="29" t="s">
        <v>172</v>
      </c>
      <c r="F1628" s="28" t="s">
        <v>3961</v>
      </c>
      <c r="G1628" s="28" t="s">
        <v>3961</v>
      </c>
      <c r="H1628" s="28" t="s">
        <v>174</v>
      </c>
      <c r="I1628" s="28" t="s">
        <v>174</v>
      </c>
      <c r="J1628" s="30" t="s">
        <v>174</v>
      </c>
      <c r="K1628" s="28" t="s">
        <v>2206</v>
      </c>
      <c r="L1628" s="31">
        <v>42887</v>
      </c>
      <c r="M1628" s="28">
        <v>6</v>
      </c>
      <c r="N1628" s="32" t="s">
        <v>184</v>
      </c>
      <c r="O1628" s="28" t="s">
        <v>204</v>
      </c>
      <c r="P1628" s="28" t="s">
        <v>4017</v>
      </c>
      <c r="Q1628" s="28" t="s">
        <v>4018</v>
      </c>
      <c r="R1628" s="28" t="s">
        <v>4019</v>
      </c>
    </row>
    <row r="1629" spans="1:18" hidden="1">
      <c r="A1629" s="28">
        <v>4</v>
      </c>
      <c r="B1629" s="29" t="s">
        <v>306</v>
      </c>
      <c r="C1629" s="29" t="s">
        <v>339</v>
      </c>
      <c r="D1629" s="29" t="s">
        <v>340</v>
      </c>
      <c r="E1629" s="29" t="s">
        <v>172</v>
      </c>
      <c r="F1629" s="28" t="s">
        <v>3961</v>
      </c>
      <c r="G1629" s="28" t="s">
        <v>3961</v>
      </c>
      <c r="H1629" s="28" t="s">
        <v>174</v>
      </c>
      <c r="I1629" s="28" t="s">
        <v>174</v>
      </c>
      <c r="J1629" s="30" t="s">
        <v>174</v>
      </c>
      <c r="K1629" s="28" t="s">
        <v>435</v>
      </c>
      <c r="L1629" s="31">
        <v>43040</v>
      </c>
      <c r="M1629" s="28">
        <v>11</v>
      </c>
      <c r="N1629" s="32" t="s">
        <v>191</v>
      </c>
      <c r="O1629" s="28" t="s">
        <v>204</v>
      </c>
      <c r="P1629" s="28" t="s">
        <v>4020</v>
      </c>
      <c r="Q1629" s="28" t="s">
        <v>4021</v>
      </c>
      <c r="R1629" s="28" t="s">
        <v>690</v>
      </c>
    </row>
    <row r="1630" spans="1:18" hidden="1">
      <c r="A1630" s="28">
        <v>4</v>
      </c>
      <c r="B1630" s="29" t="s">
        <v>306</v>
      </c>
      <c r="C1630" s="29" t="s">
        <v>339</v>
      </c>
      <c r="D1630" s="29" t="s">
        <v>340</v>
      </c>
      <c r="E1630" s="29" t="s">
        <v>172</v>
      </c>
      <c r="F1630" s="28" t="s">
        <v>3961</v>
      </c>
      <c r="G1630" s="28" t="s">
        <v>3961</v>
      </c>
      <c r="H1630" s="28" t="s">
        <v>174</v>
      </c>
      <c r="I1630" s="28" t="s">
        <v>174</v>
      </c>
      <c r="J1630" s="30" t="s">
        <v>174</v>
      </c>
      <c r="K1630" s="28" t="s">
        <v>4022</v>
      </c>
      <c r="L1630" s="31" t="s">
        <v>221</v>
      </c>
      <c r="M1630" s="28" t="e">
        <v>#VALUE!</v>
      </c>
      <c r="N1630" s="32" t="e">
        <v>#VALUE!</v>
      </c>
      <c r="O1630" s="28" t="s">
        <v>204</v>
      </c>
      <c r="P1630" s="28" t="s">
        <v>4023</v>
      </c>
      <c r="Q1630" s="28" t="s">
        <v>4024</v>
      </c>
      <c r="R1630" s="28" t="s">
        <v>690</v>
      </c>
    </row>
    <row r="1631" spans="1:18" hidden="1">
      <c r="A1631" s="28">
        <v>6</v>
      </c>
      <c r="B1631" s="29" t="s">
        <v>365</v>
      </c>
      <c r="C1631" s="29" t="s">
        <v>366</v>
      </c>
      <c r="D1631" s="29" t="s">
        <v>1887</v>
      </c>
      <c r="E1631" s="29" t="s">
        <v>172</v>
      </c>
      <c r="F1631" s="28" t="s">
        <v>3961</v>
      </c>
      <c r="G1631" s="28" t="s">
        <v>3961</v>
      </c>
      <c r="H1631" s="28" t="s">
        <v>174</v>
      </c>
      <c r="I1631" s="28" t="s">
        <v>174</v>
      </c>
      <c r="J1631" s="30" t="s">
        <v>174</v>
      </c>
      <c r="K1631" s="28" t="s">
        <v>1896</v>
      </c>
      <c r="L1631" s="31">
        <v>43132</v>
      </c>
      <c r="M1631" s="28">
        <v>2</v>
      </c>
      <c r="N1631" s="32" t="s">
        <v>176</v>
      </c>
      <c r="O1631" s="28" t="s">
        <v>185</v>
      </c>
      <c r="P1631" s="28" t="s">
        <v>4025</v>
      </c>
      <c r="Q1631" s="28" t="s">
        <v>4026</v>
      </c>
      <c r="R1631" s="28" t="s">
        <v>4027</v>
      </c>
    </row>
    <row r="1632" spans="1:18" hidden="1">
      <c r="A1632" s="28">
        <v>6</v>
      </c>
      <c r="B1632" s="29" t="s">
        <v>365</v>
      </c>
      <c r="C1632" s="29" t="s">
        <v>366</v>
      </c>
      <c r="D1632" s="29" t="s">
        <v>1887</v>
      </c>
      <c r="E1632" s="29" t="s">
        <v>172</v>
      </c>
      <c r="F1632" s="28" t="s">
        <v>3961</v>
      </c>
      <c r="G1632" s="28" t="s">
        <v>3961</v>
      </c>
      <c r="H1632" s="28" t="s">
        <v>174</v>
      </c>
      <c r="I1632" s="28" t="s">
        <v>174</v>
      </c>
      <c r="J1632" s="30" t="s">
        <v>174</v>
      </c>
      <c r="K1632" s="28" t="s">
        <v>479</v>
      </c>
      <c r="L1632" s="31">
        <v>43770</v>
      </c>
      <c r="M1632" s="28">
        <v>11</v>
      </c>
      <c r="N1632" s="32" t="s">
        <v>191</v>
      </c>
      <c r="O1632" s="28" t="s">
        <v>204</v>
      </c>
      <c r="P1632" s="28" t="s">
        <v>4028</v>
      </c>
      <c r="Q1632" s="28" t="s">
        <v>4029</v>
      </c>
      <c r="R1632" s="28" t="s">
        <v>4030</v>
      </c>
    </row>
    <row r="1633" spans="1:18" hidden="1">
      <c r="A1633" s="28">
        <v>1</v>
      </c>
      <c r="B1633" s="29" t="s">
        <v>379</v>
      </c>
      <c r="C1633" s="29" t="s">
        <v>395</v>
      </c>
      <c r="D1633" s="29" t="s">
        <v>1145</v>
      </c>
      <c r="E1633" s="29" t="s">
        <v>172</v>
      </c>
      <c r="F1633" s="28" t="s">
        <v>4031</v>
      </c>
      <c r="G1633" s="28" t="s">
        <v>4031</v>
      </c>
      <c r="H1633" s="28" t="s">
        <v>174</v>
      </c>
      <c r="I1633" s="28" t="s">
        <v>174</v>
      </c>
      <c r="J1633" s="30" t="s">
        <v>174</v>
      </c>
      <c r="K1633" s="28" t="s">
        <v>212</v>
      </c>
      <c r="L1633" s="31">
        <v>43313</v>
      </c>
      <c r="M1633" s="28">
        <v>8</v>
      </c>
      <c r="N1633" s="32" t="s">
        <v>184</v>
      </c>
      <c r="O1633" s="28" t="s">
        <v>3685</v>
      </c>
      <c r="P1633" s="28" t="s">
        <v>4032</v>
      </c>
      <c r="Q1633" s="28" t="s">
        <v>4033</v>
      </c>
      <c r="R1633" s="28" t="s">
        <v>3688</v>
      </c>
    </row>
    <row r="1634" spans="1:18" hidden="1">
      <c r="A1634" s="28">
        <v>1</v>
      </c>
      <c r="B1634" s="29" t="s">
        <v>379</v>
      </c>
      <c r="C1634" s="29" t="s">
        <v>1193</v>
      </c>
      <c r="D1634" s="29" t="s">
        <v>1203</v>
      </c>
      <c r="E1634" s="29" t="s">
        <v>172</v>
      </c>
      <c r="F1634" s="28" t="s">
        <v>4031</v>
      </c>
      <c r="G1634" s="28" t="s">
        <v>4031</v>
      </c>
      <c r="H1634" s="28" t="s">
        <v>174</v>
      </c>
      <c r="I1634" s="28" t="s">
        <v>174</v>
      </c>
      <c r="J1634" s="30" t="s">
        <v>174</v>
      </c>
      <c r="K1634" s="28" t="s">
        <v>341</v>
      </c>
      <c r="L1634" s="31">
        <v>44228</v>
      </c>
      <c r="M1634" s="28">
        <v>2</v>
      </c>
      <c r="N1634" s="32" t="s">
        <v>176</v>
      </c>
      <c r="O1634" s="28" t="s">
        <v>3685</v>
      </c>
      <c r="P1634" s="28" t="s">
        <v>4034</v>
      </c>
      <c r="Q1634" s="28" t="s">
        <v>4035</v>
      </c>
      <c r="R1634" s="28" t="s">
        <v>4036</v>
      </c>
    </row>
    <row r="1635" spans="1:18" hidden="1">
      <c r="A1635" s="28">
        <v>11</v>
      </c>
      <c r="B1635" s="29" t="s">
        <v>169</v>
      </c>
      <c r="C1635" s="29" t="s">
        <v>170</v>
      </c>
      <c r="D1635" s="29" t="s">
        <v>171</v>
      </c>
      <c r="E1635" s="29" t="s">
        <v>172</v>
      </c>
      <c r="F1635" s="28" t="s">
        <v>3685</v>
      </c>
      <c r="G1635" s="28" t="s">
        <v>3685</v>
      </c>
      <c r="H1635" s="28" t="s">
        <v>174</v>
      </c>
      <c r="I1635" s="28" t="s">
        <v>174</v>
      </c>
      <c r="J1635" s="30" t="s">
        <v>174</v>
      </c>
      <c r="K1635" s="28" t="s">
        <v>496</v>
      </c>
      <c r="L1635" s="31">
        <v>42917</v>
      </c>
      <c r="M1635" s="28">
        <v>7</v>
      </c>
      <c r="N1635" s="32" t="s">
        <v>184</v>
      </c>
      <c r="O1635" s="28" t="s">
        <v>3685</v>
      </c>
      <c r="P1635" s="28" t="s">
        <v>4037</v>
      </c>
      <c r="Q1635" s="28" t="s">
        <v>4038</v>
      </c>
      <c r="R1635" s="28" t="s">
        <v>3688</v>
      </c>
    </row>
    <row r="1636" spans="1:18" hidden="1">
      <c r="A1636" s="28">
        <v>11</v>
      </c>
      <c r="B1636" s="29" t="s">
        <v>169</v>
      </c>
      <c r="C1636" s="29" t="s">
        <v>170</v>
      </c>
      <c r="D1636" s="29" t="s">
        <v>171</v>
      </c>
      <c r="E1636" s="29" t="s">
        <v>172</v>
      </c>
      <c r="F1636" s="28" t="s">
        <v>4039</v>
      </c>
      <c r="G1636" s="28" t="s">
        <v>4039</v>
      </c>
      <c r="H1636" s="28" t="s">
        <v>174</v>
      </c>
      <c r="I1636" s="28" t="s">
        <v>174</v>
      </c>
      <c r="J1636" s="30" t="s">
        <v>174</v>
      </c>
      <c r="K1636" s="28" t="s">
        <v>248</v>
      </c>
      <c r="L1636" s="31">
        <v>43070</v>
      </c>
      <c r="M1636" s="28">
        <v>12</v>
      </c>
      <c r="N1636" s="32" t="s">
        <v>176</v>
      </c>
      <c r="O1636" s="28" t="s">
        <v>204</v>
      </c>
      <c r="P1636" s="28" t="s">
        <v>4040</v>
      </c>
      <c r="Q1636" s="28" t="s">
        <v>4041</v>
      </c>
      <c r="R1636" s="28" t="s">
        <v>4042</v>
      </c>
    </row>
    <row r="1637" spans="1:18" hidden="1">
      <c r="A1637" s="28">
        <v>11</v>
      </c>
      <c r="B1637" s="29" t="s">
        <v>169</v>
      </c>
      <c r="C1637" s="29" t="s">
        <v>4043</v>
      </c>
      <c r="D1637" s="29" t="s">
        <v>4044</v>
      </c>
      <c r="E1637" s="29" t="s">
        <v>374</v>
      </c>
      <c r="F1637" s="28" t="s">
        <v>4039</v>
      </c>
      <c r="G1637" s="28" t="s">
        <v>4039</v>
      </c>
      <c r="H1637" s="28" t="s">
        <v>174</v>
      </c>
      <c r="I1637" s="28" t="s">
        <v>174</v>
      </c>
      <c r="J1637" s="30" t="s">
        <v>174</v>
      </c>
      <c r="K1637" s="28" t="s">
        <v>559</v>
      </c>
      <c r="L1637" s="31">
        <v>43252</v>
      </c>
      <c r="M1637" s="28">
        <v>6</v>
      </c>
      <c r="N1637" s="32" t="s">
        <v>184</v>
      </c>
      <c r="O1637" s="28" t="s">
        <v>794</v>
      </c>
      <c r="P1637" s="28" t="s">
        <v>4045</v>
      </c>
      <c r="Q1637" s="28" t="s">
        <v>4046</v>
      </c>
      <c r="R1637" s="28" t="s">
        <v>4047</v>
      </c>
    </row>
    <row r="1638" spans="1:18" hidden="1">
      <c r="A1638" s="28">
        <v>12</v>
      </c>
      <c r="B1638" s="29" t="s">
        <v>195</v>
      </c>
      <c r="C1638" s="29" t="s">
        <v>225</v>
      </c>
      <c r="D1638" s="29" t="s">
        <v>1459</v>
      </c>
      <c r="E1638" s="29" t="s">
        <v>172</v>
      </c>
      <c r="F1638" s="28" t="s">
        <v>1245</v>
      </c>
      <c r="G1638" s="28" t="s">
        <v>4048</v>
      </c>
      <c r="H1638" s="28" t="s">
        <v>174</v>
      </c>
      <c r="I1638" s="28" t="s">
        <v>174</v>
      </c>
      <c r="J1638" s="30" t="s">
        <v>174</v>
      </c>
      <c r="K1638" s="28" t="s">
        <v>559</v>
      </c>
      <c r="L1638" s="31">
        <v>43252</v>
      </c>
      <c r="M1638" s="28">
        <v>6</v>
      </c>
      <c r="N1638" s="32" t="s">
        <v>184</v>
      </c>
      <c r="O1638" s="28" t="s">
        <v>185</v>
      </c>
      <c r="P1638" s="28" t="s">
        <v>4049</v>
      </c>
      <c r="Q1638" s="28" t="s">
        <v>4050</v>
      </c>
      <c r="R1638" s="28" t="s">
        <v>4051</v>
      </c>
    </row>
    <row r="1639" spans="1:18" hidden="1">
      <c r="A1639" s="28">
        <v>12</v>
      </c>
      <c r="B1639" s="29" t="s">
        <v>195</v>
      </c>
      <c r="C1639" s="29" t="s">
        <v>230</v>
      </c>
      <c r="D1639" s="29" t="s">
        <v>231</v>
      </c>
      <c r="E1639" s="29" t="s">
        <v>172</v>
      </c>
      <c r="F1639" s="28" t="s">
        <v>4052</v>
      </c>
      <c r="G1639" s="28" t="s">
        <v>4053</v>
      </c>
      <c r="H1639" s="28" t="s">
        <v>174</v>
      </c>
      <c r="I1639" s="28" t="s">
        <v>174</v>
      </c>
      <c r="J1639" s="30" t="s">
        <v>174</v>
      </c>
      <c r="K1639" s="28" t="s">
        <v>267</v>
      </c>
      <c r="L1639" s="31">
        <v>42583</v>
      </c>
      <c r="M1639" s="28">
        <v>8</v>
      </c>
      <c r="N1639" s="32" t="s">
        <v>184</v>
      </c>
      <c r="O1639" s="28" t="s">
        <v>4053</v>
      </c>
      <c r="P1639" s="28" t="s">
        <v>4054</v>
      </c>
      <c r="Q1639" s="28" t="s">
        <v>4055</v>
      </c>
      <c r="R1639" s="28" t="s">
        <v>4056</v>
      </c>
    </row>
    <row r="1640" spans="1:18" hidden="1">
      <c r="A1640" s="28">
        <v>12</v>
      </c>
      <c r="B1640" s="29" t="s">
        <v>195</v>
      </c>
      <c r="C1640" s="29" t="s">
        <v>230</v>
      </c>
      <c r="D1640" s="29" t="s">
        <v>231</v>
      </c>
      <c r="E1640" s="29" t="s">
        <v>172</v>
      </c>
      <c r="F1640" s="28" t="s">
        <v>4039</v>
      </c>
      <c r="G1640" s="28" t="s">
        <v>4039</v>
      </c>
      <c r="H1640" s="28" t="s">
        <v>174</v>
      </c>
      <c r="I1640" s="28" t="s">
        <v>174</v>
      </c>
      <c r="J1640" s="30" t="s">
        <v>174</v>
      </c>
      <c r="K1640" s="28" t="s">
        <v>198</v>
      </c>
      <c r="L1640" s="31">
        <v>42767</v>
      </c>
      <c r="M1640" s="28">
        <v>2</v>
      </c>
      <c r="N1640" s="32" t="s">
        <v>176</v>
      </c>
      <c r="O1640" s="28" t="s">
        <v>204</v>
      </c>
      <c r="P1640" s="28" t="s">
        <v>4057</v>
      </c>
      <c r="Q1640" s="28" t="s">
        <v>4058</v>
      </c>
      <c r="R1640" s="28" t="s">
        <v>4059</v>
      </c>
    </row>
    <row r="1641" spans="1:18" hidden="1">
      <c r="A1641" s="28">
        <v>12</v>
      </c>
      <c r="B1641" s="29" t="s">
        <v>195</v>
      </c>
      <c r="C1641" s="29" t="s">
        <v>230</v>
      </c>
      <c r="D1641" s="29" t="s">
        <v>231</v>
      </c>
      <c r="E1641" s="29" t="s">
        <v>172</v>
      </c>
      <c r="F1641" s="28" t="s">
        <v>3685</v>
      </c>
      <c r="G1641" s="28" t="s">
        <v>3685</v>
      </c>
      <c r="H1641" s="28" t="s">
        <v>174</v>
      </c>
      <c r="I1641" s="28" t="s">
        <v>174</v>
      </c>
      <c r="J1641" s="30" t="s">
        <v>174</v>
      </c>
      <c r="K1641" s="28" t="s">
        <v>742</v>
      </c>
      <c r="L1641" s="31">
        <v>42948</v>
      </c>
      <c r="M1641" s="28">
        <v>8</v>
      </c>
      <c r="N1641" s="32" t="s">
        <v>184</v>
      </c>
      <c r="O1641" s="28" t="s">
        <v>3685</v>
      </c>
      <c r="P1641" s="28" t="s">
        <v>4060</v>
      </c>
      <c r="Q1641" s="28" t="s">
        <v>4061</v>
      </c>
      <c r="R1641" s="28" t="s">
        <v>3688</v>
      </c>
    </row>
    <row r="1642" spans="1:18" hidden="1">
      <c r="A1642" s="28">
        <v>12</v>
      </c>
      <c r="B1642" s="29" t="s">
        <v>195</v>
      </c>
      <c r="C1642" s="29" t="s">
        <v>230</v>
      </c>
      <c r="D1642" s="29" t="s">
        <v>231</v>
      </c>
      <c r="E1642" s="29" t="s">
        <v>172</v>
      </c>
      <c r="F1642" s="28" t="s">
        <v>4062</v>
      </c>
      <c r="G1642" s="28" t="s">
        <v>4063</v>
      </c>
      <c r="H1642" s="28" t="s">
        <v>4064</v>
      </c>
      <c r="I1642" s="28" t="s">
        <v>174</v>
      </c>
      <c r="J1642" s="30" t="s">
        <v>174</v>
      </c>
      <c r="K1642" s="28" t="s">
        <v>813</v>
      </c>
      <c r="L1642" s="31">
        <v>43009</v>
      </c>
      <c r="M1642" s="28">
        <v>10</v>
      </c>
      <c r="N1642" s="32" t="s">
        <v>191</v>
      </c>
      <c r="O1642" s="28" t="s">
        <v>204</v>
      </c>
      <c r="P1642" s="28" t="s">
        <v>4065</v>
      </c>
      <c r="Q1642" s="28" t="s">
        <v>4058</v>
      </c>
      <c r="R1642" s="28" t="s">
        <v>4059</v>
      </c>
    </row>
    <row r="1643" spans="1:18" hidden="1">
      <c r="A1643" s="28">
        <v>12</v>
      </c>
      <c r="B1643" s="29" t="s">
        <v>195</v>
      </c>
      <c r="C1643" s="29" t="s">
        <v>230</v>
      </c>
      <c r="D1643" s="29" t="s">
        <v>231</v>
      </c>
      <c r="E1643" s="29" t="s">
        <v>172</v>
      </c>
      <c r="F1643" s="28" t="s">
        <v>4039</v>
      </c>
      <c r="G1643" s="28" t="s">
        <v>4039</v>
      </c>
      <c r="H1643" s="28" t="s">
        <v>174</v>
      </c>
      <c r="I1643" s="28" t="s">
        <v>174</v>
      </c>
      <c r="J1643" s="30" t="s">
        <v>174</v>
      </c>
      <c r="K1643" s="28" t="s">
        <v>208</v>
      </c>
      <c r="L1643" s="31">
        <v>43101</v>
      </c>
      <c r="M1643" s="28">
        <v>1</v>
      </c>
      <c r="N1643" s="32" t="s">
        <v>176</v>
      </c>
      <c r="O1643" s="28" t="s">
        <v>204</v>
      </c>
      <c r="P1643" s="28" t="s">
        <v>4066</v>
      </c>
      <c r="Q1643" s="28" t="s">
        <v>4058</v>
      </c>
      <c r="R1643" s="28" t="s">
        <v>4059</v>
      </c>
    </row>
    <row r="1644" spans="1:18" hidden="1">
      <c r="A1644" s="28">
        <v>12</v>
      </c>
      <c r="B1644" s="29" t="s">
        <v>195</v>
      </c>
      <c r="C1644" s="29" t="s">
        <v>230</v>
      </c>
      <c r="D1644" s="29" t="s">
        <v>231</v>
      </c>
      <c r="E1644" s="29" t="s">
        <v>172</v>
      </c>
      <c r="F1644" s="28" t="s">
        <v>4031</v>
      </c>
      <c r="G1644" s="28" t="s">
        <v>3685</v>
      </c>
      <c r="H1644" s="28" t="s">
        <v>174</v>
      </c>
      <c r="I1644" s="28" t="s">
        <v>174</v>
      </c>
      <c r="J1644" s="30" t="s">
        <v>174</v>
      </c>
      <c r="K1644" s="28" t="s">
        <v>475</v>
      </c>
      <c r="L1644" s="31">
        <v>43191</v>
      </c>
      <c r="M1644" s="28">
        <v>4</v>
      </c>
      <c r="N1644" s="32" t="s">
        <v>191</v>
      </c>
      <c r="O1644" s="28" t="s">
        <v>3685</v>
      </c>
      <c r="P1644" s="28" t="s">
        <v>4067</v>
      </c>
      <c r="Q1644" s="28" t="s">
        <v>4061</v>
      </c>
      <c r="R1644" s="28" t="s">
        <v>3688</v>
      </c>
    </row>
    <row r="1645" spans="1:18" hidden="1">
      <c r="A1645" s="28">
        <v>12</v>
      </c>
      <c r="B1645" s="29" t="s">
        <v>195</v>
      </c>
      <c r="C1645" s="29" t="s">
        <v>230</v>
      </c>
      <c r="D1645" s="29" t="s">
        <v>231</v>
      </c>
      <c r="E1645" s="29" t="s">
        <v>172</v>
      </c>
      <c r="F1645" s="28" t="s">
        <v>4052</v>
      </c>
      <c r="G1645" s="28" t="s">
        <v>4053</v>
      </c>
      <c r="H1645" s="28" t="s">
        <v>174</v>
      </c>
      <c r="I1645" s="28" t="s">
        <v>174</v>
      </c>
      <c r="J1645" s="30" t="s">
        <v>174</v>
      </c>
      <c r="K1645" s="28" t="s">
        <v>302</v>
      </c>
      <c r="L1645" s="31">
        <v>43282</v>
      </c>
      <c r="M1645" s="28">
        <v>7</v>
      </c>
      <c r="N1645" s="32" t="s">
        <v>184</v>
      </c>
      <c r="O1645" s="28" t="s">
        <v>4053</v>
      </c>
      <c r="P1645" s="28" t="s">
        <v>4068</v>
      </c>
      <c r="Q1645" s="28" t="s">
        <v>4055</v>
      </c>
      <c r="R1645" s="28" t="s">
        <v>4056</v>
      </c>
    </row>
    <row r="1646" spans="1:18" hidden="1">
      <c r="A1646" s="28">
        <v>12</v>
      </c>
      <c r="B1646" s="29" t="s">
        <v>195</v>
      </c>
      <c r="C1646" s="29" t="s">
        <v>230</v>
      </c>
      <c r="D1646" s="29" t="s">
        <v>231</v>
      </c>
      <c r="E1646" s="29" t="s">
        <v>172</v>
      </c>
      <c r="F1646" s="28" t="s">
        <v>4052</v>
      </c>
      <c r="G1646" s="28" t="s">
        <v>4053</v>
      </c>
      <c r="H1646" s="28" t="s">
        <v>174</v>
      </c>
      <c r="I1646" s="28" t="s">
        <v>174</v>
      </c>
      <c r="J1646" s="30" t="s">
        <v>174</v>
      </c>
      <c r="K1646" s="28" t="s">
        <v>212</v>
      </c>
      <c r="L1646" s="31">
        <v>43313</v>
      </c>
      <c r="M1646" s="28">
        <v>8</v>
      </c>
      <c r="N1646" s="32" t="s">
        <v>184</v>
      </c>
      <c r="O1646" s="28" t="s">
        <v>4053</v>
      </c>
      <c r="P1646" s="28" t="s">
        <v>4069</v>
      </c>
      <c r="Q1646" s="28" t="s">
        <v>4070</v>
      </c>
      <c r="R1646" s="28" t="s">
        <v>4071</v>
      </c>
    </row>
    <row r="1647" spans="1:18" hidden="1">
      <c r="A1647" s="28">
        <v>12</v>
      </c>
      <c r="B1647" s="29" t="s">
        <v>195</v>
      </c>
      <c r="C1647" s="29" t="s">
        <v>230</v>
      </c>
      <c r="D1647" s="29" t="s">
        <v>231</v>
      </c>
      <c r="E1647" s="29" t="s">
        <v>172</v>
      </c>
      <c r="F1647" s="28" t="s">
        <v>4039</v>
      </c>
      <c r="G1647" s="28" t="s">
        <v>4039</v>
      </c>
      <c r="H1647" s="28" t="s">
        <v>174</v>
      </c>
      <c r="I1647" s="28" t="s">
        <v>174</v>
      </c>
      <c r="J1647" s="30" t="s">
        <v>174</v>
      </c>
      <c r="K1647" s="28" t="s">
        <v>212</v>
      </c>
      <c r="L1647" s="31">
        <v>43313</v>
      </c>
      <c r="M1647" s="28">
        <v>8</v>
      </c>
      <c r="N1647" s="32" t="s">
        <v>184</v>
      </c>
      <c r="O1647" s="28" t="s">
        <v>2054</v>
      </c>
      <c r="P1647" s="28" t="s">
        <v>4072</v>
      </c>
      <c r="Q1647" s="28" t="s">
        <v>4073</v>
      </c>
      <c r="R1647" s="28" t="s">
        <v>4074</v>
      </c>
    </row>
    <row r="1648" spans="1:18" hidden="1">
      <c r="A1648" s="28">
        <v>12</v>
      </c>
      <c r="B1648" s="29" t="s">
        <v>195</v>
      </c>
      <c r="C1648" s="29" t="s">
        <v>230</v>
      </c>
      <c r="D1648" s="29" t="s">
        <v>231</v>
      </c>
      <c r="E1648" s="29" t="s">
        <v>172</v>
      </c>
      <c r="F1648" s="28" t="s">
        <v>4052</v>
      </c>
      <c r="G1648" s="28" t="s">
        <v>4053</v>
      </c>
      <c r="H1648" s="28" t="s">
        <v>174</v>
      </c>
      <c r="I1648" s="28" t="s">
        <v>174</v>
      </c>
      <c r="J1648" s="30" t="s">
        <v>174</v>
      </c>
      <c r="K1648" s="28" t="s">
        <v>212</v>
      </c>
      <c r="L1648" s="31">
        <v>43313</v>
      </c>
      <c r="M1648" s="28">
        <v>8</v>
      </c>
      <c r="N1648" s="32" t="s">
        <v>184</v>
      </c>
      <c r="O1648" s="28" t="s">
        <v>4053</v>
      </c>
      <c r="P1648" s="28" t="s">
        <v>4075</v>
      </c>
      <c r="Q1648" s="28" t="s">
        <v>4055</v>
      </c>
      <c r="R1648" s="28" t="s">
        <v>4056</v>
      </c>
    </row>
    <row r="1649" spans="1:18" hidden="1">
      <c r="A1649" s="28">
        <v>12</v>
      </c>
      <c r="B1649" s="29" t="s">
        <v>195</v>
      </c>
      <c r="C1649" s="29" t="s">
        <v>230</v>
      </c>
      <c r="D1649" s="29" t="s">
        <v>231</v>
      </c>
      <c r="E1649" s="29" t="s">
        <v>172</v>
      </c>
      <c r="F1649" s="28" t="s">
        <v>4039</v>
      </c>
      <c r="G1649" s="28" t="s">
        <v>4039</v>
      </c>
      <c r="H1649" s="28" t="s">
        <v>174</v>
      </c>
      <c r="I1649" s="28" t="s">
        <v>174</v>
      </c>
      <c r="J1649" s="30" t="s">
        <v>174</v>
      </c>
      <c r="K1649" s="28" t="s">
        <v>278</v>
      </c>
      <c r="L1649" s="31">
        <v>43525</v>
      </c>
      <c r="M1649" s="28">
        <v>3</v>
      </c>
      <c r="N1649" s="32" t="s">
        <v>191</v>
      </c>
      <c r="O1649" s="28" t="s">
        <v>204</v>
      </c>
      <c r="P1649" s="28" t="s">
        <v>4076</v>
      </c>
      <c r="Q1649" s="28" t="s">
        <v>4058</v>
      </c>
      <c r="R1649" s="28" t="s">
        <v>4059</v>
      </c>
    </row>
    <row r="1650" spans="1:18" hidden="1">
      <c r="A1650" s="28">
        <v>12</v>
      </c>
      <c r="B1650" s="29" t="s">
        <v>195</v>
      </c>
      <c r="C1650" s="29" t="s">
        <v>230</v>
      </c>
      <c r="D1650" s="29" t="s">
        <v>231</v>
      </c>
      <c r="E1650" s="29" t="s">
        <v>172</v>
      </c>
      <c r="F1650" s="28" t="s">
        <v>3685</v>
      </c>
      <c r="G1650" s="28" t="s">
        <v>3685</v>
      </c>
      <c r="H1650" s="28" t="s">
        <v>174</v>
      </c>
      <c r="I1650" s="28" t="s">
        <v>174</v>
      </c>
      <c r="J1650" s="30" t="s">
        <v>174</v>
      </c>
      <c r="K1650" s="28" t="s">
        <v>844</v>
      </c>
      <c r="L1650" s="31">
        <v>43586</v>
      </c>
      <c r="M1650" s="28">
        <v>5</v>
      </c>
      <c r="N1650" s="32" t="s">
        <v>191</v>
      </c>
      <c r="O1650" s="28" t="s">
        <v>3685</v>
      </c>
      <c r="P1650" s="28" t="s">
        <v>4077</v>
      </c>
      <c r="Q1650" s="28" t="s">
        <v>4061</v>
      </c>
      <c r="R1650" s="28" t="s">
        <v>3688</v>
      </c>
    </row>
    <row r="1651" spans="1:18" hidden="1">
      <c r="A1651" s="28">
        <v>12</v>
      </c>
      <c r="B1651" s="29" t="s">
        <v>195</v>
      </c>
      <c r="C1651" s="29" t="s">
        <v>230</v>
      </c>
      <c r="D1651" s="29" t="s">
        <v>231</v>
      </c>
      <c r="E1651" s="29" t="s">
        <v>172</v>
      </c>
      <c r="F1651" s="28" t="s">
        <v>3685</v>
      </c>
      <c r="G1651" s="28" t="s">
        <v>3685</v>
      </c>
      <c r="H1651" s="28" t="s">
        <v>174</v>
      </c>
      <c r="I1651" s="28" t="s">
        <v>174</v>
      </c>
      <c r="J1651" s="30" t="s">
        <v>174</v>
      </c>
      <c r="K1651" s="28" t="s">
        <v>752</v>
      </c>
      <c r="L1651" s="31">
        <v>43709</v>
      </c>
      <c r="M1651" s="28">
        <v>9</v>
      </c>
      <c r="N1651" s="32" t="s">
        <v>191</v>
      </c>
      <c r="O1651" s="28" t="s">
        <v>3685</v>
      </c>
      <c r="P1651" s="28" t="s">
        <v>4078</v>
      </c>
      <c r="Q1651" s="28" t="s">
        <v>4061</v>
      </c>
      <c r="R1651" s="28" t="s">
        <v>3688</v>
      </c>
    </row>
    <row r="1652" spans="1:18" hidden="1">
      <c r="A1652" s="28">
        <v>12</v>
      </c>
      <c r="B1652" s="29" t="s">
        <v>195</v>
      </c>
      <c r="C1652" s="29" t="s">
        <v>230</v>
      </c>
      <c r="D1652" s="29" t="s">
        <v>231</v>
      </c>
      <c r="E1652" s="29" t="s">
        <v>172</v>
      </c>
      <c r="F1652" s="28" t="s">
        <v>4052</v>
      </c>
      <c r="G1652" s="28" t="s">
        <v>4053</v>
      </c>
      <c r="H1652" s="28" t="s">
        <v>174</v>
      </c>
      <c r="I1652" s="28" t="s">
        <v>174</v>
      </c>
      <c r="J1652" s="30" t="s">
        <v>174</v>
      </c>
      <c r="K1652" s="28" t="s">
        <v>218</v>
      </c>
      <c r="L1652" s="31">
        <v>44044</v>
      </c>
      <c r="M1652" s="28">
        <v>8</v>
      </c>
      <c r="N1652" s="32" t="s">
        <v>184</v>
      </c>
      <c r="O1652" s="28" t="s">
        <v>4053</v>
      </c>
      <c r="P1652" s="28" t="s">
        <v>4079</v>
      </c>
      <c r="Q1652" s="28" t="s">
        <v>4055</v>
      </c>
      <c r="R1652" s="28" t="s">
        <v>4056</v>
      </c>
    </row>
    <row r="1653" spans="1:18" hidden="1">
      <c r="A1653" s="28">
        <v>12</v>
      </c>
      <c r="B1653" s="29" t="s">
        <v>195</v>
      </c>
      <c r="C1653" s="29" t="s">
        <v>230</v>
      </c>
      <c r="D1653" s="29" t="s">
        <v>231</v>
      </c>
      <c r="E1653" s="29" t="s">
        <v>172</v>
      </c>
      <c r="F1653" s="28" t="s">
        <v>4039</v>
      </c>
      <c r="G1653" s="28" t="s">
        <v>4039</v>
      </c>
      <c r="H1653" s="28" t="s">
        <v>174</v>
      </c>
      <c r="I1653" s="28" t="s">
        <v>174</v>
      </c>
      <c r="J1653" s="30" t="s">
        <v>174</v>
      </c>
      <c r="K1653" s="28" t="s">
        <v>430</v>
      </c>
      <c r="L1653" s="31">
        <v>44105</v>
      </c>
      <c r="M1653" s="28">
        <v>10</v>
      </c>
      <c r="N1653" s="32" t="s">
        <v>191</v>
      </c>
      <c r="O1653" s="28" t="s">
        <v>1060</v>
      </c>
      <c r="P1653" s="28" t="s">
        <v>4080</v>
      </c>
      <c r="Q1653" s="28" t="s">
        <v>4081</v>
      </c>
      <c r="R1653" s="28" t="s">
        <v>4082</v>
      </c>
    </row>
    <row r="1654" spans="1:18" hidden="1">
      <c r="A1654" s="28">
        <v>12</v>
      </c>
      <c r="B1654" s="29" t="s">
        <v>195</v>
      </c>
      <c r="C1654" s="29" t="s">
        <v>230</v>
      </c>
      <c r="D1654" s="29" t="s">
        <v>231</v>
      </c>
      <c r="E1654" s="29" t="s">
        <v>172</v>
      </c>
      <c r="F1654" s="28" t="s">
        <v>4039</v>
      </c>
      <c r="G1654" s="28" t="s">
        <v>4039</v>
      </c>
      <c r="H1654" s="28" t="s">
        <v>174</v>
      </c>
      <c r="I1654" s="28" t="s">
        <v>174</v>
      </c>
      <c r="J1654" s="30" t="s">
        <v>174</v>
      </c>
      <c r="K1654" s="28" t="s">
        <v>341</v>
      </c>
      <c r="L1654" s="31">
        <v>44228</v>
      </c>
      <c r="M1654" s="28">
        <v>2</v>
      </c>
      <c r="N1654" s="32" t="s">
        <v>176</v>
      </c>
      <c r="O1654" s="28" t="s">
        <v>204</v>
      </c>
      <c r="P1654" s="28" t="s">
        <v>4083</v>
      </c>
      <c r="Q1654" s="28" t="s">
        <v>4058</v>
      </c>
      <c r="R1654" s="28" t="s">
        <v>4059</v>
      </c>
    </row>
    <row r="1655" spans="1:18" hidden="1">
      <c r="A1655" s="28">
        <v>12</v>
      </c>
      <c r="B1655" s="29" t="s">
        <v>195</v>
      </c>
      <c r="C1655" s="29" t="s">
        <v>230</v>
      </c>
      <c r="D1655" s="29" t="s">
        <v>231</v>
      </c>
      <c r="E1655" s="29" t="s">
        <v>172</v>
      </c>
      <c r="F1655" s="28" t="s">
        <v>4052</v>
      </c>
      <c r="G1655" s="28" t="s">
        <v>4053</v>
      </c>
      <c r="H1655" s="28" t="s">
        <v>174</v>
      </c>
      <c r="I1655" s="28" t="s">
        <v>174</v>
      </c>
      <c r="J1655" s="30" t="s">
        <v>174</v>
      </c>
      <c r="K1655" s="28" t="s">
        <v>632</v>
      </c>
      <c r="L1655" s="31">
        <v>44378</v>
      </c>
      <c r="M1655" s="28">
        <v>7</v>
      </c>
      <c r="N1655" s="32" t="s">
        <v>184</v>
      </c>
      <c r="O1655" s="28" t="s">
        <v>4053</v>
      </c>
      <c r="P1655" s="28" t="s">
        <v>4084</v>
      </c>
      <c r="Q1655" s="28" t="s">
        <v>4055</v>
      </c>
      <c r="R1655" s="28" t="s">
        <v>4056</v>
      </c>
    </row>
    <row r="1656" spans="1:18" hidden="1">
      <c r="A1656" s="28">
        <v>2</v>
      </c>
      <c r="B1656" s="29" t="s">
        <v>240</v>
      </c>
      <c r="C1656" s="29" t="s">
        <v>241</v>
      </c>
      <c r="D1656" s="29" t="s">
        <v>242</v>
      </c>
      <c r="E1656" s="29" t="s">
        <v>172</v>
      </c>
      <c r="F1656" s="28" t="s">
        <v>4052</v>
      </c>
      <c r="G1656" s="28" t="s">
        <v>4053</v>
      </c>
      <c r="H1656" s="28" t="s">
        <v>174</v>
      </c>
      <c r="I1656" s="28" t="s">
        <v>174</v>
      </c>
      <c r="J1656" s="30" t="s">
        <v>174</v>
      </c>
      <c r="K1656" s="28" t="s">
        <v>496</v>
      </c>
      <c r="L1656" s="31">
        <v>42917</v>
      </c>
      <c r="M1656" s="28">
        <v>7</v>
      </c>
      <c r="N1656" s="32" t="s">
        <v>184</v>
      </c>
      <c r="O1656" s="28" t="s">
        <v>4053</v>
      </c>
      <c r="P1656" s="28" t="s">
        <v>4085</v>
      </c>
      <c r="Q1656" s="28" t="s">
        <v>4086</v>
      </c>
      <c r="R1656" s="28" t="s">
        <v>4087</v>
      </c>
    </row>
    <row r="1657" spans="1:18" hidden="1">
      <c r="A1657" s="28">
        <v>2</v>
      </c>
      <c r="B1657" s="29" t="s">
        <v>240</v>
      </c>
      <c r="C1657" s="29" t="s">
        <v>241</v>
      </c>
      <c r="D1657" s="29" t="s">
        <v>509</v>
      </c>
      <c r="E1657" s="29" t="s">
        <v>172</v>
      </c>
      <c r="F1657" s="28" t="s">
        <v>3685</v>
      </c>
      <c r="G1657" s="28" t="s">
        <v>3685</v>
      </c>
      <c r="H1657" s="28" t="s">
        <v>174</v>
      </c>
      <c r="I1657" s="28" t="s">
        <v>174</v>
      </c>
      <c r="J1657" s="30" t="s">
        <v>174</v>
      </c>
      <c r="K1657" s="28" t="s">
        <v>587</v>
      </c>
      <c r="L1657" s="31">
        <v>42736</v>
      </c>
      <c r="M1657" s="28">
        <v>1</v>
      </c>
      <c r="N1657" s="32" t="s">
        <v>176</v>
      </c>
      <c r="O1657" s="28" t="s">
        <v>3685</v>
      </c>
      <c r="P1657" s="28" t="s">
        <v>4088</v>
      </c>
      <c r="Q1657" s="28" t="s">
        <v>4089</v>
      </c>
      <c r="R1657" s="28" t="s">
        <v>3688</v>
      </c>
    </row>
    <row r="1658" spans="1:18" hidden="1">
      <c r="A1658" s="28">
        <v>2</v>
      </c>
      <c r="B1658" s="29" t="s">
        <v>240</v>
      </c>
      <c r="C1658" s="29" t="s">
        <v>241</v>
      </c>
      <c r="D1658" s="29" t="s">
        <v>509</v>
      </c>
      <c r="E1658" s="29" t="s">
        <v>172</v>
      </c>
      <c r="F1658" s="28" t="s">
        <v>3685</v>
      </c>
      <c r="G1658" s="28" t="s">
        <v>3685</v>
      </c>
      <c r="H1658" s="28" t="s">
        <v>174</v>
      </c>
      <c r="I1658" s="28" t="s">
        <v>174</v>
      </c>
      <c r="J1658" s="30" t="s">
        <v>174</v>
      </c>
      <c r="K1658" s="28" t="s">
        <v>483</v>
      </c>
      <c r="L1658" s="31">
        <v>44197</v>
      </c>
      <c r="M1658" s="28">
        <v>1</v>
      </c>
      <c r="N1658" s="32" t="s">
        <v>176</v>
      </c>
      <c r="O1658" s="28" t="s">
        <v>3685</v>
      </c>
      <c r="P1658" s="28" t="s">
        <v>4090</v>
      </c>
      <c r="Q1658" s="28" t="s">
        <v>4091</v>
      </c>
      <c r="R1658" s="28" t="s">
        <v>3688</v>
      </c>
    </row>
    <row r="1659" spans="1:18" hidden="1">
      <c r="A1659" s="28">
        <v>2</v>
      </c>
      <c r="B1659" s="29" t="s">
        <v>240</v>
      </c>
      <c r="C1659" s="29" t="s">
        <v>241</v>
      </c>
      <c r="D1659" s="29" t="s">
        <v>252</v>
      </c>
      <c r="E1659" s="29" t="s">
        <v>172</v>
      </c>
      <c r="F1659" s="28" t="s">
        <v>4039</v>
      </c>
      <c r="G1659" s="28" t="s">
        <v>4039</v>
      </c>
      <c r="H1659" s="28" t="s">
        <v>174</v>
      </c>
      <c r="I1659" s="28" t="s">
        <v>174</v>
      </c>
      <c r="J1659" s="30" t="s">
        <v>174</v>
      </c>
      <c r="K1659" s="28" t="s">
        <v>813</v>
      </c>
      <c r="L1659" s="31">
        <v>43009</v>
      </c>
      <c r="M1659" s="28">
        <v>10</v>
      </c>
      <c r="N1659" s="32" t="s">
        <v>191</v>
      </c>
      <c r="O1659" s="28" t="s">
        <v>177</v>
      </c>
      <c r="P1659" s="28" t="s">
        <v>4092</v>
      </c>
      <c r="Q1659" s="28" t="s">
        <v>4093</v>
      </c>
      <c r="R1659" s="28" t="s">
        <v>4094</v>
      </c>
    </row>
    <row r="1660" spans="1:18" hidden="1">
      <c r="A1660" s="28">
        <v>2</v>
      </c>
      <c r="B1660" s="29" t="s">
        <v>240</v>
      </c>
      <c r="C1660" s="29" t="s">
        <v>261</v>
      </c>
      <c r="D1660" s="29" t="s">
        <v>532</v>
      </c>
      <c r="E1660" s="29" t="s">
        <v>172</v>
      </c>
      <c r="F1660" s="28" t="s">
        <v>4039</v>
      </c>
      <c r="G1660" s="28" t="s">
        <v>4039</v>
      </c>
      <c r="H1660" s="28" t="s">
        <v>174</v>
      </c>
      <c r="I1660" s="28" t="s">
        <v>174</v>
      </c>
      <c r="J1660" s="30" t="s">
        <v>174</v>
      </c>
      <c r="K1660" s="28" t="s">
        <v>278</v>
      </c>
      <c r="L1660" s="31">
        <v>43525</v>
      </c>
      <c r="M1660" s="28">
        <v>3</v>
      </c>
      <c r="N1660" s="32" t="s">
        <v>191</v>
      </c>
      <c r="O1660" s="28" t="s">
        <v>272</v>
      </c>
      <c r="P1660" s="28" t="s">
        <v>4095</v>
      </c>
      <c r="Q1660" s="28" t="s">
        <v>4096</v>
      </c>
      <c r="R1660" s="28" t="s">
        <v>4097</v>
      </c>
    </row>
    <row r="1661" spans="1:18" hidden="1">
      <c r="A1661" s="28">
        <v>2</v>
      </c>
      <c r="B1661" s="29" t="s">
        <v>240</v>
      </c>
      <c r="C1661" s="29" t="s">
        <v>261</v>
      </c>
      <c r="D1661" s="29" t="s">
        <v>532</v>
      </c>
      <c r="E1661" s="29" t="s">
        <v>172</v>
      </c>
      <c r="F1661" s="28" t="s">
        <v>4052</v>
      </c>
      <c r="G1661" s="28" t="s">
        <v>4053</v>
      </c>
      <c r="H1661" s="28" t="s">
        <v>174</v>
      </c>
      <c r="I1661" s="28" t="s">
        <v>174</v>
      </c>
      <c r="J1661" s="30" t="s">
        <v>174</v>
      </c>
      <c r="K1661" s="28" t="s">
        <v>218</v>
      </c>
      <c r="L1661" s="31">
        <v>44044</v>
      </c>
      <c r="M1661" s="28">
        <v>8</v>
      </c>
      <c r="N1661" s="32" t="s">
        <v>184</v>
      </c>
      <c r="O1661" s="28" t="s">
        <v>4053</v>
      </c>
      <c r="P1661" s="28" t="s">
        <v>4098</v>
      </c>
      <c r="Q1661" s="28" t="s">
        <v>4099</v>
      </c>
      <c r="R1661" s="28" t="s">
        <v>4100</v>
      </c>
    </row>
    <row r="1662" spans="1:18" hidden="1">
      <c r="A1662" s="28">
        <v>2</v>
      </c>
      <c r="B1662" s="29" t="s">
        <v>240</v>
      </c>
      <c r="C1662" s="29" t="s">
        <v>276</v>
      </c>
      <c r="D1662" s="29" t="s">
        <v>536</v>
      </c>
      <c r="E1662" s="29" t="s">
        <v>172</v>
      </c>
      <c r="F1662" s="28" t="s">
        <v>4052</v>
      </c>
      <c r="G1662" s="28" t="s">
        <v>4053</v>
      </c>
      <c r="H1662" s="28" t="s">
        <v>174</v>
      </c>
      <c r="I1662" s="28" t="s">
        <v>174</v>
      </c>
      <c r="J1662" s="30" t="s">
        <v>174</v>
      </c>
      <c r="K1662" s="28" t="s">
        <v>632</v>
      </c>
      <c r="L1662" s="31">
        <v>44378</v>
      </c>
      <c r="M1662" s="28">
        <v>7</v>
      </c>
      <c r="N1662" s="32" t="s">
        <v>184</v>
      </c>
      <c r="O1662" s="28" t="s">
        <v>4053</v>
      </c>
      <c r="P1662" s="28" t="s">
        <v>4101</v>
      </c>
      <c r="Q1662" s="28" t="s">
        <v>4102</v>
      </c>
      <c r="R1662" s="28" t="s">
        <v>4100</v>
      </c>
    </row>
    <row r="1663" spans="1:18" hidden="1">
      <c r="A1663" s="28">
        <v>2</v>
      </c>
      <c r="B1663" s="29" t="s">
        <v>240</v>
      </c>
      <c r="C1663" s="29" t="s">
        <v>276</v>
      </c>
      <c r="D1663" s="29" t="s">
        <v>277</v>
      </c>
      <c r="E1663" s="29" t="s">
        <v>172</v>
      </c>
      <c r="F1663" s="28" t="s">
        <v>3685</v>
      </c>
      <c r="G1663" s="28" t="s">
        <v>4039</v>
      </c>
      <c r="H1663" s="28" t="s">
        <v>174</v>
      </c>
      <c r="I1663" s="28" t="s">
        <v>174</v>
      </c>
      <c r="J1663" s="30" t="s">
        <v>174</v>
      </c>
      <c r="K1663" s="28" t="s">
        <v>302</v>
      </c>
      <c r="L1663" s="31">
        <v>43282</v>
      </c>
      <c r="M1663" s="28">
        <v>7</v>
      </c>
      <c r="N1663" s="32" t="s">
        <v>184</v>
      </c>
      <c r="O1663" s="28" t="s">
        <v>3685</v>
      </c>
      <c r="P1663" s="28" t="s">
        <v>4103</v>
      </c>
      <c r="Q1663" s="28" t="s">
        <v>4104</v>
      </c>
      <c r="R1663" s="28" t="s">
        <v>4105</v>
      </c>
    </row>
    <row r="1664" spans="1:18" hidden="1">
      <c r="A1664" s="28">
        <v>2</v>
      </c>
      <c r="B1664" s="29" t="s">
        <v>240</v>
      </c>
      <c r="C1664" s="29" t="s">
        <v>276</v>
      </c>
      <c r="D1664" s="29" t="s">
        <v>282</v>
      </c>
      <c r="E1664" s="29" t="s">
        <v>172</v>
      </c>
      <c r="F1664" s="28" t="s">
        <v>3685</v>
      </c>
      <c r="G1664" s="28" t="s">
        <v>3685</v>
      </c>
      <c r="H1664" s="28" t="s">
        <v>174</v>
      </c>
      <c r="I1664" s="28" t="s">
        <v>174</v>
      </c>
      <c r="J1664" s="30" t="s">
        <v>174</v>
      </c>
      <c r="K1664" s="28" t="s">
        <v>218</v>
      </c>
      <c r="L1664" s="31">
        <v>44044</v>
      </c>
      <c r="M1664" s="28">
        <v>8</v>
      </c>
      <c r="N1664" s="32" t="s">
        <v>184</v>
      </c>
      <c r="O1664" s="28" t="s">
        <v>3685</v>
      </c>
      <c r="P1664" s="28" t="s">
        <v>4106</v>
      </c>
      <c r="Q1664" s="28" t="s">
        <v>4107</v>
      </c>
      <c r="R1664" s="28" t="s">
        <v>4108</v>
      </c>
    </row>
    <row r="1665" spans="1:18" hidden="1">
      <c r="A1665" s="28">
        <v>4</v>
      </c>
      <c r="B1665" s="29" t="s">
        <v>306</v>
      </c>
      <c r="C1665" s="29" t="s">
        <v>312</v>
      </c>
      <c r="D1665" s="29" t="s">
        <v>313</v>
      </c>
      <c r="E1665" s="29" t="s">
        <v>172</v>
      </c>
      <c r="F1665" s="28" t="s">
        <v>3685</v>
      </c>
      <c r="G1665" s="28" t="s">
        <v>3685</v>
      </c>
      <c r="H1665" s="28" t="s">
        <v>174</v>
      </c>
      <c r="I1665" s="28" t="s">
        <v>174</v>
      </c>
      <c r="J1665" s="30" t="s">
        <v>174</v>
      </c>
      <c r="K1665" s="28" t="s">
        <v>324</v>
      </c>
      <c r="L1665" s="31">
        <v>43862</v>
      </c>
      <c r="M1665" s="28">
        <v>2</v>
      </c>
      <c r="N1665" s="32" t="s">
        <v>176</v>
      </c>
      <c r="O1665" s="28" t="s">
        <v>3685</v>
      </c>
      <c r="P1665" s="28" t="s">
        <v>4109</v>
      </c>
      <c r="Q1665" s="28" t="s">
        <v>4110</v>
      </c>
      <c r="R1665" s="28" t="s">
        <v>4111</v>
      </c>
    </row>
    <row r="1666" spans="1:18" hidden="1">
      <c r="A1666" s="28">
        <v>4</v>
      </c>
      <c r="B1666" s="29" t="s">
        <v>306</v>
      </c>
      <c r="C1666" s="29" t="s">
        <v>624</v>
      </c>
      <c r="D1666" s="29" t="s">
        <v>625</v>
      </c>
      <c r="E1666" s="29" t="s">
        <v>172</v>
      </c>
      <c r="F1666" s="28" t="s">
        <v>4039</v>
      </c>
      <c r="G1666" s="28" t="s">
        <v>4039</v>
      </c>
      <c r="H1666" s="28" t="s">
        <v>174</v>
      </c>
      <c r="I1666" s="28" t="s">
        <v>174</v>
      </c>
      <c r="J1666" s="30" t="s">
        <v>174</v>
      </c>
      <c r="K1666" s="28" t="s">
        <v>248</v>
      </c>
      <c r="L1666" s="31">
        <v>43070</v>
      </c>
      <c r="M1666" s="28">
        <v>12</v>
      </c>
      <c r="N1666" s="32" t="s">
        <v>176</v>
      </c>
      <c r="O1666" s="28" t="s">
        <v>204</v>
      </c>
      <c r="P1666" s="28" t="s">
        <v>4112</v>
      </c>
      <c r="Q1666" s="28" t="s">
        <v>4113</v>
      </c>
      <c r="R1666" s="28" t="s">
        <v>4114</v>
      </c>
    </row>
    <row r="1667" spans="1:18" hidden="1">
      <c r="A1667" s="28">
        <v>4</v>
      </c>
      <c r="B1667" s="29" t="s">
        <v>306</v>
      </c>
      <c r="C1667" s="29" t="s">
        <v>333</v>
      </c>
      <c r="D1667" s="29" t="s">
        <v>334</v>
      </c>
      <c r="E1667" s="29" t="s">
        <v>172</v>
      </c>
      <c r="F1667" s="28" t="s">
        <v>4039</v>
      </c>
      <c r="G1667" s="28" t="s">
        <v>4039</v>
      </c>
      <c r="H1667" s="28" t="s">
        <v>174</v>
      </c>
      <c r="I1667" s="28" t="s">
        <v>174</v>
      </c>
      <c r="J1667" s="30" t="s">
        <v>174</v>
      </c>
      <c r="K1667" s="28" t="s">
        <v>683</v>
      </c>
      <c r="L1667" s="31">
        <v>43831</v>
      </c>
      <c r="M1667" s="28">
        <v>1</v>
      </c>
      <c r="N1667" s="32" t="s">
        <v>176</v>
      </c>
      <c r="O1667" s="28" t="s">
        <v>204</v>
      </c>
      <c r="P1667" s="28" t="s">
        <v>4115</v>
      </c>
      <c r="Q1667" s="28" t="s">
        <v>4116</v>
      </c>
      <c r="R1667" s="28" t="s">
        <v>4117</v>
      </c>
    </row>
    <row r="1668" spans="1:18" hidden="1">
      <c r="A1668" s="28">
        <v>4</v>
      </c>
      <c r="B1668" s="29" t="s">
        <v>306</v>
      </c>
      <c r="C1668" s="29" t="s">
        <v>333</v>
      </c>
      <c r="D1668" s="29" t="s">
        <v>673</v>
      </c>
      <c r="E1668" s="29" t="s">
        <v>172</v>
      </c>
      <c r="F1668" s="28" t="s">
        <v>4039</v>
      </c>
      <c r="G1668" s="28" t="s">
        <v>4039</v>
      </c>
      <c r="H1668" s="28" t="s">
        <v>174</v>
      </c>
      <c r="I1668" s="28" t="s">
        <v>174</v>
      </c>
      <c r="J1668" s="30" t="s">
        <v>174</v>
      </c>
      <c r="K1668" s="28" t="s">
        <v>742</v>
      </c>
      <c r="L1668" s="31">
        <v>42948</v>
      </c>
      <c r="M1668" s="28">
        <v>8</v>
      </c>
      <c r="N1668" s="32" t="s">
        <v>184</v>
      </c>
      <c r="O1668" s="28" t="s">
        <v>2054</v>
      </c>
      <c r="P1668" s="28" t="s">
        <v>4118</v>
      </c>
      <c r="Q1668" s="28" t="s">
        <v>4119</v>
      </c>
      <c r="R1668" s="28" t="s">
        <v>4120</v>
      </c>
    </row>
    <row r="1669" spans="1:18" hidden="1">
      <c r="A1669" s="28">
        <v>4</v>
      </c>
      <c r="B1669" s="29" t="s">
        <v>306</v>
      </c>
      <c r="C1669" s="29" t="s">
        <v>339</v>
      </c>
      <c r="D1669" s="29" t="s">
        <v>340</v>
      </c>
      <c r="E1669" s="29" t="s">
        <v>172</v>
      </c>
      <c r="F1669" s="28" t="s">
        <v>4039</v>
      </c>
      <c r="G1669" s="28" t="s">
        <v>4039</v>
      </c>
      <c r="H1669" s="28" t="s">
        <v>174</v>
      </c>
      <c r="I1669" s="28" t="s">
        <v>174</v>
      </c>
      <c r="J1669" s="30" t="s">
        <v>174</v>
      </c>
      <c r="K1669" s="28" t="s">
        <v>397</v>
      </c>
      <c r="L1669" s="31">
        <v>43739</v>
      </c>
      <c r="M1669" s="28">
        <v>10</v>
      </c>
      <c r="N1669" s="32" t="s">
        <v>191</v>
      </c>
      <c r="O1669" s="28" t="s">
        <v>2537</v>
      </c>
      <c r="P1669" s="28" t="s">
        <v>4121</v>
      </c>
      <c r="Q1669" s="28" t="s">
        <v>4122</v>
      </c>
      <c r="R1669" s="28" t="s">
        <v>4123</v>
      </c>
    </row>
    <row r="1670" spans="1:18" hidden="1">
      <c r="A1670" s="28">
        <v>5</v>
      </c>
      <c r="B1670" s="29" t="s">
        <v>349</v>
      </c>
      <c r="C1670" s="29" t="s">
        <v>350</v>
      </c>
      <c r="D1670" s="29" t="s">
        <v>716</v>
      </c>
      <c r="E1670" s="29" t="s">
        <v>172</v>
      </c>
      <c r="F1670" s="28" t="s">
        <v>3685</v>
      </c>
      <c r="G1670" s="28" t="s">
        <v>3685</v>
      </c>
      <c r="H1670" s="28" t="s">
        <v>174</v>
      </c>
      <c r="I1670" s="28" t="s">
        <v>174</v>
      </c>
      <c r="J1670" s="30" t="s">
        <v>174</v>
      </c>
      <c r="K1670" s="28" t="s">
        <v>479</v>
      </c>
      <c r="L1670" s="31">
        <v>43770</v>
      </c>
      <c r="M1670" s="28">
        <v>11</v>
      </c>
      <c r="N1670" s="32" t="s">
        <v>191</v>
      </c>
      <c r="O1670" s="28" t="s">
        <v>3685</v>
      </c>
      <c r="P1670" s="28" t="s">
        <v>4124</v>
      </c>
      <c r="Q1670" s="28" t="s">
        <v>4125</v>
      </c>
      <c r="R1670" s="28" t="s">
        <v>4036</v>
      </c>
    </row>
    <row r="1671" spans="1:18" hidden="1">
      <c r="A1671" s="28">
        <v>5</v>
      </c>
      <c r="B1671" s="29" t="s">
        <v>349</v>
      </c>
      <c r="C1671" s="29" t="s">
        <v>355</v>
      </c>
      <c r="D1671" s="29" t="s">
        <v>360</v>
      </c>
      <c r="E1671" s="29" t="s">
        <v>172</v>
      </c>
      <c r="F1671" s="28" t="s">
        <v>4039</v>
      </c>
      <c r="G1671" s="28" t="s">
        <v>4039</v>
      </c>
      <c r="H1671" s="28" t="s">
        <v>174</v>
      </c>
      <c r="I1671" s="28" t="s">
        <v>174</v>
      </c>
      <c r="J1671" s="30" t="s">
        <v>174</v>
      </c>
      <c r="K1671" s="28" t="s">
        <v>183</v>
      </c>
      <c r="L1671" s="31">
        <v>43983</v>
      </c>
      <c r="M1671" s="28">
        <v>6</v>
      </c>
      <c r="N1671" s="32" t="s">
        <v>184</v>
      </c>
      <c r="O1671" s="28" t="s">
        <v>4126</v>
      </c>
      <c r="P1671" s="28" t="s">
        <v>4127</v>
      </c>
      <c r="Q1671" s="28" t="s">
        <v>4128</v>
      </c>
      <c r="R1671" s="28" t="s">
        <v>4036</v>
      </c>
    </row>
    <row r="1672" spans="1:18" hidden="1">
      <c r="A1672" s="28">
        <v>5</v>
      </c>
      <c r="B1672" s="29" t="s">
        <v>349</v>
      </c>
      <c r="C1672" s="29" t="s">
        <v>761</v>
      </c>
      <c r="D1672" s="29" t="s">
        <v>762</v>
      </c>
      <c r="E1672" s="29" t="s">
        <v>172</v>
      </c>
      <c r="F1672" s="28" t="s">
        <v>4039</v>
      </c>
      <c r="G1672" s="28" t="s">
        <v>4039</v>
      </c>
      <c r="H1672" s="28" t="s">
        <v>174</v>
      </c>
      <c r="I1672" s="28" t="s">
        <v>174</v>
      </c>
      <c r="J1672" s="30" t="s">
        <v>174</v>
      </c>
      <c r="K1672" s="28" t="s">
        <v>496</v>
      </c>
      <c r="L1672" s="31">
        <v>42917</v>
      </c>
      <c r="M1672" s="28">
        <v>7</v>
      </c>
      <c r="N1672" s="32" t="s">
        <v>184</v>
      </c>
      <c r="O1672" s="28" t="s">
        <v>204</v>
      </c>
      <c r="P1672" s="28" t="s">
        <v>4129</v>
      </c>
      <c r="Q1672" s="28" t="s">
        <v>4130</v>
      </c>
      <c r="R1672" s="28" t="s">
        <v>4131</v>
      </c>
    </row>
    <row r="1673" spans="1:18" hidden="1">
      <c r="A1673" s="28">
        <v>6</v>
      </c>
      <c r="B1673" s="29" t="s">
        <v>365</v>
      </c>
      <c r="C1673" s="29" t="s">
        <v>366</v>
      </c>
      <c r="D1673" s="29" t="s">
        <v>1887</v>
      </c>
      <c r="E1673" s="29" t="s">
        <v>172</v>
      </c>
      <c r="F1673" s="28" t="s">
        <v>4039</v>
      </c>
      <c r="G1673" s="28" t="s">
        <v>4039</v>
      </c>
      <c r="H1673" s="28" t="s">
        <v>174</v>
      </c>
      <c r="I1673" s="28" t="s">
        <v>174</v>
      </c>
      <c r="J1673" s="30" t="s">
        <v>174</v>
      </c>
      <c r="K1673" s="28" t="s">
        <v>435</v>
      </c>
      <c r="L1673" s="31">
        <v>43040</v>
      </c>
      <c r="M1673" s="28">
        <v>11</v>
      </c>
      <c r="N1673" s="32" t="s">
        <v>191</v>
      </c>
      <c r="O1673" s="28" t="s">
        <v>2054</v>
      </c>
      <c r="P1673" s="28" t="s">
        <v>4132</v>
      </c>
      <c r="Q1673" s="28" t="s">
        <v>4133</v>
      </c>
      <c r="R1673" s="28" t="s">
        <v>4134</v>
      </c>
    </row>
    <row r="1674" spans="1:18" hidden="1">
      <c r="A1674" s="28">
        <v>11</v>
      </c>
      <c r="B1674" s="29" t="s">
        <v>169</v>
      </c>
      <c r="C1674" s="29" t="s">
        <v>170</v>
      </c>
      <c r="D1674" s="29" t="s">
        <v>171</v>
      </c>
      <c r="E1674" s="29" t="s">
        <v>172</v>
      </c>
      <c r="F1674" s="28" t="s">
        <v>3776</v>
      </c>
      <c r="G1674" s="28" t="s">
        <v>3776</v>
      </c>
      <c r="H1674" s="28" t="s">
        <v>384</v>
      </c>
      <c r="I1674" s="28">
        <v>4</v>
      </c>
      <c r="J1674" s="30">
        <v>6.9000000000000006E-2</v>
      </c>
      <c r="K1674" s="28" t="s">
        <v>243</v>
      </c>
      <c r="L1674" s="31">
        <v>42461</v>
      </c>
      <c r="M1674" s="28">
        <v>4</v>
      </c>
      <c r="N1674" s="32" t="s">
        <v>191</v>
      </c>
      <c r="O1674" s="28" t="s">
        <v>204</v>
      </c>
      <c r="P1674" s="28" t="s">
        <v>4135</v>
      </c>
      <c r="Q1674" s="28" t="s">
        <v>4136</v>
      </c>
      <c r="R1674" s="28" t="s">
        <v>4137</v>
      </c>
    </row>
    <row r="1675" spans="1:18" hidden="1">
      <c r="A1675" s="28">
        <v>12</v>
      </c>
      <c r="B1675" s="29" t="s">
        <v>195</v>
      </c>
      <c r="C1675" s="29" t="s">
        <v>196</v>
      </c>
      <c r="D1675" s="29" t="s">
        <v>197</v>
      </c>
      <c r="E1675" s="29" t="s">
        <v>172</v>
      </c>
      <c r="F1675" s="28" t="s">
        <v>3776</v>
      </c>
      <c r="G1675" s="28" t="s">
        <v>3776</v>
      </c>
      <c r="H1675" s="28" t="s">
        <v>384</v>
      </c>
      <c r="I1675" s="28">
        <v>4</v>
      </c>
      <c r="J1675" s="30">
        <v>6.9000000000000006E-2</v>
      </c>
      <c r="K1675" s="28" t="s">
        <v>415</v>
      </c>
      <c r="L1675" s="31">
        <v>43952</v>
      </c>
      <c r="M1675" s="28">
        <v>5</v>
      </c>
      <c r="N1675" s="32" t="s">
        <v>191</v>
      </c>
      <c r="O1675" s="28" t="s">
        <v>204</v>
      </c>
      <c r="P1675" s="28" t="s">
        <v>4138</v>
      </c>
      <c r="Q1675" s="28" t="s">
        <v>4139</v>
      </c>
      <c r="R1675" s="28" t="s">
        <v>4140</v>
      </c>
    </row>
    <row r="1676" spans="1:18" hidden="1">
      <c r="A1676" s="28">
        <v>12</v>
      </c>
      <c r="B1676" s="29" t="s">
        <v>195</v>
      </c>
      <c r="C1676" s="29" t="s">
        <v>202</v>
      </c>
      <c r="D1676" s="29" t="s">
        <v>2087</v>
      </c>
      <c r="E1676" s="29" t="s">
        <v>172</v>
      </c>
      <c r="F1676" s="28" t="s">
        <v>3776</v>
      </c>
      <c r="G1676" s="28" t="s">
        <v>3776</v>
      </c>
      <c r="H1676" s="28" t="s">
        <v>384</v>
      </c>
      <c r="I1676" s="28">
        <v>4</v>
      </c>
      <c r="J1676" s="30">
        <v>6.9000000000000006E-2</v>
      </c>
      <c r="K1676" s="28" t="s">
        <v>442</v>
      </c>
      <c r="L1676" s="31">
        <v>43647</v>
      </c>
      <c r="M1676" s="28">
        <v>7</v>
      </c>
      <c r="N1676" s="32" t="s">
        <v>184</v>
      </c>
      <c r="O1676" s="28" t="s">
        <v>204</v>
      </c>
      <c r="P1676" s="28" t="s">
        <v>4141</v>
      </c>
      <c r="Q1676" s="28" t="s">
        <v>4142</v>
      </c>
      <c r="R1676" s="28" t="s">
        <v>4143</v>
      </c>
    </row>
    <row r="1677" spans="1:18" hidden="1">
      <c r="A1677" s="28">
        <v>12</v>
      </c>
      <c r="B1677" s="29" t="s">
        <v>195</v>
      </c>
      <c r="C1677" s="29" t="s">
        <v>202</v>
      </c>
      <c r="D1677" s="29" t="s">
        <v>434</v>
      </c>
      <c r="E1677" s="29" t="s">
        <v>172</v>
      </c>
      <c r="F1677" s="28" t="s">
        <v>3776</v>
      </c>
      <c r="G1677" s="28" t="s">
        <v>3776</v>
      </c>
      <c r="H1677" s="28" t="s">
        <v>384</v>
      </c>
      <c r="I1677" s="28">
        <v>4</v>
      </c>
      <c r="J1677" s="30">
        <v>6.9000000000000006E-2</v>
      </c>
      <c r="K1677" s="28" t="s">
        <v>2331</v>
      </c>
      <c r="L1677" s="31">
        <v>43344</v>
      </c>
      <c r="M1677" s="28">
        <v>9</v>
      </c>
      <c r="N1677" s="32" t="s">
        <v>191</v>
      </c>
      <c r="O1677" s="28" t="s">
        <v>953</v>
      </c>
      <c r="P1677" s="28" t="s">
        <v>4144</v>
      </c>
      <c r="Q1677" s="28" t="s">
        <v>4145</v>
      </c>
      <c r="R1677" s="28" t="s">
        <v>4146</v>
      </c>
    </row>
    <row r="1678" spans="1:18" hidden="1">
      <c r="A1678" s="28">
        <v>12</v>
      </c>
      <c r="B1678" s="29" t="s">
        <v>195</v>
      </c>
      <c r="C1678" s="29" t="s">
        <v>202</v>
      </c>
      <c r="D1678" s="29" t="s">
        <v>434</v>
      </c>
      <c r="E1678" s="29" t="s">
        <v>172</v>
      </c>
      <c r="F1678" s="28" t="s">
        <v>3776</v>
      </c>
      <c r="G1678" s="28" t="s">
        <v>3776</v>
      </c>
      <c r="H1678" s="28" t="s">
        <v>384</v>
      </c>
      <c r="I1678" s="28">
        <v>4</v>
      </c>
      <c r="J1678" s="30">
        <v>6.9000000000000006E-2</v>
      </c>
      <c r="K1678" s="28" t="s">
        <v>328</v>
      </c>
      <c r="L1678" s="31">
        <v>43891</v>
      </c>
      <c r="M1678" s="28">
        <v>3</v>
      </c>
      <c r="N1678" s="32" t="s">
        <v>191</v>
      </c>
      <c r="O1678" s="28" t="s">
        <v>204</v>
      </c>
      <c r="P1678" s="28" t="s">
        <v>4147</v>
      </c>
      <c r="Q1678" s="28" t="s">
        <v>4148</v>
      </c>
      <c r="R1678" s="28" t="s">
        <v>4149</v>
      </c>
    </row>
    <row r="1679" spans="1:18" hidden="1">
      <c r="A1679" s="28">
        <v>12</v>
      </c>
      <c r="B1679" s="29" t="s">
        <v>195</v>
      </c>
      <c r="C1679" s="29" t="s">
        <v>202</v>
      </c>
      <c r="D1679" s="29" t="s">
        <v>203</v>
      </c>
      <c r="E1679" s="29" t="s">
        <v>172</v>
      </c>
      <c r="F1679" s="28" t="s">
        <v>3776</v>
      </c>
      <c r="G1679" s="28" t="s">
        <v>3776</v>
      </c>
      <c r="H1679" s="28" t="s">
        <v>384</v>
      </c>
      <c r="I1679" s="28">
        <v>4</v>
      </c>
      <c r="J1679" s="30">
        <v>6.9000000000000006E-2</v>
      </c>
      <c r="K1679" s="28" t="s">
        <v>4150</v>
      </c>
      <c r="L1679" s="31">
        <v>42036</v>
      </c>
      <c r="M1679" s="28">
        <v>2</v>
      </c>
      <c r="N1679" s="32" t="s">
        <v>176</v>
      </c>
      <c r="O1679" s="28" t="s">
        <v>204</v>
      </c>
      <c r="P1679" s="28" t="s">
        <v>4151</v>
      </c>
      <c r="Q1679" s="28" t="s">
        <v>4152</v>
      </c>
      <c r="R1679" s="28" t="s">
        <v>4153</v>
      </c>
    </row>
    <row r="1680" spans="1:18" hidden="1">
      <c r="A1680" s="28">
        <v>12</v>
      </c>
      <c r="B1680" s="29" t="s">
        <v>195</v>
      </c>
      <c r="C1680" s="29" t="s">
        <v>202</v>
      </c>
      <c r="D1680" s="29" t="s">
        <v>203</v>
      </c>
      <c r="E1680" s="29" t="s">
        <v>172</v>
      </c>
      <c r="F1680" s="28" t="s">
        <v>3776</v>
      </c>
      <c r="G1680" s="28" t="s">
        <v>3776</v>
      </c>
      <c r="H1680" s="28" t="s">
        <v>384</v>
      </c>
      <c r="I1680" s="28">
        <v>4</v>
      </c>
      <c r="J1680" s="30">
        <v>6.9000000000000006E-2</v>
      </c>
      <c r="K1680" s="28" t="s">
        <v>243</v>
      </c>
      <c r="L1680" s="31">
        <v>42461</v>
      </c>
      <c r="M1680" s="28">
        <v>4</v>
      </c>
      <c r="N1680" s="32" t="s">
        <v>191</v>
      </c>
      <c r="O1680" s="28" t="s">
        <v>204</v>
      </c>
      <c r="P1680" s="28" t="s">
        <v>4154</v>
      </c>
      <c r="Q1680" s="28" t="s">
        <v>4155</v>
      </c>
      <c r="R1680" s="28" t="s">
        <v>4153</v>
      </c>
    </row>
    <row r="1681" spans="1:18" hidden="1">
      <c r="A1681" s="28">
        <v>12</v>
      </c>
      <c r="B1681" s="29" t="s">
        <v>195</v>
      </c>
      <c r="C1681" s="29" t="s">
        <v>202</v>
      </c>
      <c r="D1681" s="29" t="s">
        <v>203</v>
      </c>
      <c r="E1681" s="29" t="s">
        <v>172</v>
      </c>
      <c r="F1681" s="28" t="s">
        <v>3776</v>
      </c>
      <c r="G1681" s="28" t="s">
        <v>3776</v>
      </c>
      <c r="H1681" s="28" t="s">
        <v>384</v>
      </c>
      <c r="I1681" s="28">
        <v>4</v>
      </c>
      <c r="J1681" s="30">
        <v>6.9000000000000006E-2</v>
      </c>
      <c r="K1681" s="28" t="s">
        <v>243</v>
      </c>
      <c r="L1681" s="31">
        <v>42461</v>
      </c>
      <c r="M1681" s="28">
        <v>4</v>
      </c>
      <c r="N1681" s="32" t="s">
        <v>191</v>
      </c>
      <c r="O1681" s="28" t="s">
        <v>204</v>
      </c>
      <c r="P1681" s="28" t="s">
        <v>4156</v>
      </c>
      <c r="Q1681" s="28" t="s">
        <v>4152</v>
      </c>
      <c r="R1681" s="28" t="s">
        <v>4153</v>
      </c>
    </row>
    <row r="1682" spans="1:18" hidden="1">
      <c r="A1682" s="28">
        <v>12</v>
      </c>
      <c r="B1682" s="29" t="s">
        <v>195</v>
      </c>
      <c r="C1682" s="29" t="s">
        <v>202</v>
      </c>
      <c r="D1682" s="29" t="s">
        <v>203</v>
      </c>
      <c r="E1682" s="29" t="s">
        <v>172</v>
      </c>
      <c r="F1682" s="28" t="s">
        <v>3776</v>
      </c>
      <c r="G1682" s="28" t="s">
        <v>3776</v>
      </c>
      <c r="H1682" s="28" t="s">
        <v>384</v>
      </c>
      <c r="I1682" s="28">
        <v>4</v>
      </c>
      <c r="J1682" s="30">
        <v>6.9000000000000006E-2</v>
      </c>
      <c r="K1682" s="28" t="s">
        <v>489</v>
      </c>
      <c r="L1682" s="31">
        <v>42491</v>
      </c>
      <c r="M1682" s="28">
        <v>5</v>
      </c>
      <c r="N1682" s="32" t="s">
        <v>191</v>
      </c>
      <c r="O1682" s="28" t="s">
        <v>204</v>
      </c>
      <c r="P1682" s="28" t="s">
        <v>4157</v>
      </c>
      <c r="Q1682" s="28" t="s">
        <v>4152</v>
      </c>
      <c r="R1682" s="28" t="s">
        <v>4153</v>
      </c>
    </row>
    <row r="1683" spans="1:18" hidden="1">
      <c r="A1683" s="28">
        <v>12</v>
      </c>
      <c r="B1683" s="29" t="s">
        <v>195</v>
      </c>
      <c r="C1683" s="29" t="s">
        <v>202</v>
      </c>
      <c r="D1683" s="29" t="s">
        <v>203</v>
      </c>
      <c r="E1683" s="29" t="s">
        <v>172</v>
      </c>
      <c r="F1683" s="28" t="s">
        <v>3776</v>
      </c>
      <c r="G1683" s="28" t="s">
        <v>3776</v>
      </c>
      <c r="H1683" s="28" t="s">
        <v>384</v>
      </c>
      <c r="I1683" s="28">
        <v>4</v>
      </c>
      <c r="J1683" s="30">
        <v>6.9000000000000006E-2</v>
      </c>
      <c r="K1683" s="28" t="s">
        <v>489</v>
      </c>
      <c r="L1683" s="31">
        <v>42491</v>
      </c>
      <c r="M1683" s="28">
        <v>5</v>
      </c>
      <c r="N1683" s="32" t="s">
        <v>191</v>
      </c>
      <c r="O1683" s="28" t="s">
        <v>204</v>
      </c>
      <c r="P1683" s="28" t="s">
        <v>4158</v>
      </c>
      <c r="Q1683" s="28" t="s">
        <v>4152</v>
      </c>
      <c r="R1683" s="28" t="s">
        <v>4153</v>
      </c>
    </row>
    <row r="1684" spans="1:18" hidden="1">
      <c r="A1684" s="28">
        <v>12</v>
      </c>
      <c r="B1684" s="29" t="s">
        <v>195</v>
      </c>
      <c r="C1684" s="29" t="s">
        <v>202</v>
      </c>
      <c r="D1684" s="29" t="s">
        <v>203</v>
      </c>
      <c r="E1684" s="29" t="s">
        <v>172</v>
      </c>
      <c r="F1684" s="28" t="s">
        <v>3776</v>
      </c>
      <c r="G1684" s="28" t="s">
        <v>3776</v>
      </c>
      <c r="H1684" s="28" t="s">
        <v>384</v>
      </c>
      <c r="I1684" s="28">
        <v>4</v>
      </c>
      <c r="J1684" s="30">
        <v>6.9000000000000006E-2</v>
      </c>
      <c r="K1684" s="28" t="s">
        <v>335</v>
      </c>
      <c r="L1684" s="31">
        <v>42614</v>
      </c>
      <c r="M1684" s="28">
        <v>9</v>
      </c>
      <c r="N1684" s="32" t="s">
        <v>191</v>
      </c>
      <c r="O1684" s="28" t="s">
        <v>204</v>
      </c>
      <c r="P1684" s="28" t="s">
        <v>4159</v>
      </c>
      <c r="Q1684" s="28" t="s">
        <v>4152</v>
      </c>
      <c r="R1684" s="28" t="s">
        <v>4153</v>
      </c>
    </row>
    <row r="1685" spans="1:18" hidden="1">
      <c r="A1685" s="28">
        <v>12</v>
      </c>
      <c r="B1685" s="29" t="s">
        <v>195</v>
      </c>
      <c r="C1685" s="29" t="s">
        <v>202</v>
      </c>
      <c r="D1685" s="29" t="s">
        <v>203</v>
      </c>
      <c r="E1685" s="29" t="s">
        <v>172</v>
      </c>
      <c r="F1685" s="28" t="s">
        <v>3776</v>
      </c>
      <c r="G1685" s="28" t="s">
        <v>3776</v>
      </c>
      <c r="H1685" s="28" t="s">
        <v>384</v>
      </c>
      <c r="I1685" s="28">
        <v>4</v>
      </c>
      <c r="J1685" s="30">
        <v>6.9000000000000006E-2</v>
      </c>
      <c r="K1685" s="28" t="s">
        <v>651</v>
      </c>
      <c r="L1685" s="31">
        <v>42644</v>
      </c>
      <c r="M1685" s="28">
        <v>10</v>
      </c>
      <c r="N1685" s="32" t="s">
        <v>191</v>
      </c>
      <c r="O1685" s="28" t="s">
        <v>204</v>
      </c>
      <c r="P1685" s="28" t="s">
        <v>4160</v>
      </c>
      <c r="Q1685" s="28" t="s">
        <v>4152</v>
      </c>
      <c r="R1685" s="28" t="s">
        <v>4153</v>
      </c>
    </row>
    <row r="1686" spans="1:18" hidden="1">
      <c r="A1686" s="28">
        <v>12</v>
      </c>
      <c r="B1686" s="29" t="s">
        <v>195</v>
      </c>
      <c r="C1686" s="29" t="s">
        <v>202</v>
      </c>
      <c r="D1686" s="29" t="s">
        <v>203</v>
      </c>
      <c r="E1686" s="29" t="s">
        <v>172</v>
      </c>
      <c r="F1686" s="28" t="s">
        <v>3776</v>
      </c>
      <c r="G1686" s="28" t="s">
        <v>3776</v>
      </c>
      <c r="H1686" s="28" t="s">
        <v>384</v>
      </c>
      <c r="I1686" s="28">
        <v>4</v>
      </c>
      <c r="J1686" s="30">
        <v>6.9000000000000006E-2</v>
      </c>
      <c r="K1686" s="28" t="s">
        <v>401</v>
      </c>
      <c r="L1686" s="31">
        <v>42705</v>
      </c>
      <c r="M1686" s="28">
        <v>12</v>
      </c>
      <c r="N1686" s="32" t="s">
        <v>176</v>
      </c>
      <c r="O1686" s="28" t="s">
        <v>204</v>
      </c>
      <c r="P1686" s="28" t="s">
        <v>4161</v>
      </c>
      <c r="Q1686" s="28" t="s">
        <v>4152</v>
      </c>
      <c r="R1686" s="28" t="s">
        <v>4153</v>
      </c>
    </row>
    <row r="1687" spans="1:18" hidden="1">
      <c r="A1687" s="28">
        <v>12</v>
      </c>
      <c r="B1687" s="29" t="s">
        <v>195</v>
      </c>
      <c r="C1687" s="29" t="s">
        <v>202</v>
      </c>
      <c r="D1687" s="29" t="s">
        <v>203</v>
      </c>
      <c r="E1687" s="29" t="s">
        <v>172</v>
      </c>
      <c r="F1687" s="28" t="s">
        <v>3776</v>
      </c>
      <c r="G1687" s="28" t="s">
        <v>3776</v>
      </c>
      <c r="H1687" s="28" t="s">
        <v>384</v>
      </c>
      <c r="I1687" s="28">
        <v>4</v>
      </c>
      <c r="J1687" s="30">
        <v>6.9000000000000006E-2</v>
      </c>
      <c r="K1687" s="28" t="s">
        <v>401</v>
      </c>
      <c r="L1687" s="31">
        <v>42705</v>
      </c>
      <c r="M1687" s="28">
        <v>12</v>
      </c>
      <c r="N1687" s="32" t="s">
        <v>176</v>
      </c>
      <c r="O1687" s="28" t="s">
        <v>204</v>
      </c>
      <c r="P1687" s="28" t="s">
        <v>4162</v>
      </c>
      <c r="Q1687" s="28" t="s">
        <v>4152</v>
      </c>
      <c r="R1687" s="28" t="s">
        <v>4153</v>
      </c>
    </row>
    <row r="1688" spans="1:18" hidden="1">
      <c r="A1688" s="28">
        <v>12</v>
      </c>
      <c r="B1688" s="29" t="s">
        <v>195</v>
      </c>
      <c r="C1688" s="29" t="s">
        <v>202</v>
      </c>
      <c r="D1688" s="29" t="s">
        <v>203</v>
      </c>
      <c r="E1688" s="29" t="s">
        <v>172</v>
      </c>
      <c r="F1688" s="28" t="s">
        <v>3776</v>
      </c>
      <c r="G1688" s="28" t="s">
        <v>3776</v>
      </c>
      <c r="H1688" s="28" t="s">
        <v>384</v>
      </c>
      <c r="I1688" s="28">
        <v>4</v>
      </c>
      <c r="J1688" s="30">
        <v>6.9000000000000006E-2</v>
      </c>
      <c r="K1688" s="28" t="s">
        <v>587</v>
      </c>
      <c r="L1688" s="31">
        <v>42736</v>
      </c>
      <c r="M1688" s="28">
        <v>1</v>
      </c>
      <c r="N1688" s="32" t="s">
        <v>176</v>
      </c>
      <c r="O1688" s="28" t="s">
        <v>204</v>
      </c>
      <c r="P1688" s="28" t="s">
        <v>4163</v>
      </c>
      <c r="Q1688" s="28" t="s">
        <v>4152</v>
      </c>
      <c r="R1688" s="28" t="s">
        <v>4153</v>
      </c>
    </row>
    <row r="1689" spans="1:18" hidden="1">
      <c r="A1689" s="28">
        <v>12</v>
      </c>
      <c r="B1689" s="29" t="s">
        <v>195</v>
      </c>
      <c r="C1689" s="29" t="s">
        <v>202</v>
      </c>
      <c r="D1689" s="29" t="s">
        <v>203</v>
      </c>
      <c r="E1689" s="29" t="s">
        <v>172</v>
      </c>
      <c r="F1689" s="28" t="s">
        <v>3776</v>
      </c>
      <c r="G1689" s="28" t="s">
        <v>3776</v>
      </c>
      <c r="H1689" s="28" t="s">
        <v>384</v>
      </c>
      <c r="I1689" s="28">
        <v>4</v>
      </c>
      <c r="J1689" s="30">
        <v>6.9000000000000006E-2</v>
      </c>
      <c r="K1689" s="28" t="s">
        <v>769</v>
      </c>
      <c r="L1689" s="31">
        <v>42826</v>
      </c>
      <c r="M1689" s="28">
        <v>4</v>
      </c>
      <c r="N1689" s="32" t="s">
        <v>191</v>
      </c>
      <c r="O1689" s="28" t="s">
        <v>204</v>
      </c>
      <c r="P1689" s="28" t="s">
        <v>4164</v>
      </c>
      <c r="Q1689" s="28" t="s">
        <v>4152</v>
      </c>
      <c r="R1689" s="28" t="s">
        <v>4153</v>
      </c>
    </row>
    <row r="1690" spans="1:18" hidden="1">
      <c r="A1690" s="28">
        <v>12</v>
      </c>
      <c r="B1690" s="29" t="s">
        <v>195</v>
      </c>
      <c r="C1690" s="29" t="s">
        <v>202</v>
      </c>
      <c r="D1690" s="29" t="s">
        <v>203</v>
      </c>
      <c r="E1690" s="29" t="s">
        <v>172</v>
      </c>
      <c r="F1690" s="28" t="s">
        <v>3776</v>
      </c>
      <c r="G1690" s="28" t="s">
        <v>3776</v>
      </c>
      <c r="H1690" s="28" t="s">
        <v>384</v>
      </c>
      <c r="I1690" s="28">
        <v>4</v>
      </c>
      <c r="J1690" s="30">
        <v>6.9000000000000006E-2</v>
      </c>
      <c r="K1690" s="28" t="s">
        <v>464</v>
      </c>
      <c r="L1690" s="31">
        <v>42887</v>
      </c>
      <c r="M1690" s="28">
        <v>6</v>
      </c>
      <c r="N1690" s="32" t="s">
        <v>184</v>
      </c>
      <c r="O1690" s="28" t="s">
        <v>204</v>
      </c>
      <c r="P1690" s="28" t="s">
        <v>4165</v>
      </c>
      <c r="Q1690" s="28" t="s">
        <v>4152</v>
      </c>
      <c r="R1690" s="28" t="s">
        <v>4153</v>
      </c>
    </row>
    <row r="1691" spans="1:18" hidden="1">
      <c r="A1691" s="28">
        <v>12</v>
      </c>
      <c r="B1691" s="29" t="s">
        <v>195</v>
      </c>
      <c r="C1691" s="29" t="s">
        <v>202</v>
      </c>
      <c r="D1691" s="29" t="s">
        <v>203</v>
      </c>
      <c r="E1691" s="29" t="s">
        <v>172</v>
      </c>
      <c r="F1691" s="28" t="s">
        <v>3776</v>
      </c>
      <c r="G1691" s="28" t="s">
        <v>3776</v>
      </c>
      <c r="H1691" s="28" t="s">
        <v>384</v>
      </c>
      <c r="I1691" s="28">
        <v>4</v>
      </c>
      <c r="J1691" s="30">
        <v>6.9000000000000006E-2</v>
      </c>
      <c r="K1691" s="28" t="s">
        <v>496</v>
      </c>
      <c r="L1691" s="31">
        <v>42917</v>
      </c>
      <c r="M1691" s="28">
        <v>7</v>
      </c>
      <c r="N1691" s="32" t="s">
        <v>184</v>
      </c>
      <c r="O1691" s="28" t="s">
        <v>272</v>
      </c>
      <c r="P1691" s="28" t="s">
        <v>4166</v>
      </c>
      <c r="Q1691" s="28" t="s">
        <v>4167</v>
      </c>
      <c r="R1691" s="28" t="s">
        <v>4168</v>
      </c>
    </row>
    <row r="1692" spans="1:18" hidden="1">
      <c r="A1692" s="28">
        <v>12</v>
      </c>
      <c r="B1692" s="29" t="s">
        <v>195</v>
      </c>
      <c r="C1692" s="29" t="s">
        <v>202</v>
      </c>
      <c r="D1692" s="29" t="s">
        <v>203</v>
      </c>
      <c r="E1692" s="29" t="s">
        <v>172</v>
      </c>
      <c r="F1692" s="28" t="s">
        <v>3776</v>
      </c>
      <c r="G1692" s="28" t="s">
        <v>3776</v>
      </c>
      <c r="H1692" s="28" t="s">
        <v>384</v>
      </c>
      <c r="I1692" s="28">
        <v>4</v>
      </c>
      <c r="J1692" s="30">
        <v>6.9000000000000006E-2</v>
      </c>
      <c r="K1692" s="28" t="s">
        <v>742</v>
      </c>
      <c r="L1692" s="31">
        <v>42948</v>
      </c>
      <c r="M1692" s="28">
        <v>8</v>
      </c>
      <c r="N1692" s="32" t="s">
        <v>184</v>
      </c>
      <c r="O1692" s="28" t="s">
        <v>204</v>
      </c>
      <c r="P1692" s="28" t="s">
        <v>4169</v>
      </c>
      <c r="Q1692" s="28" t="s">
        <v>4170</v>
      </c>
      <c r="R1692" s="28" t="s">
        <v>4171</v>
      </c>
    </row>
    <row r="1693" spans="1:18" hidden="1">
      <c r="A1693" s="28">
        <v>12</v>
      </c>
      <c r="B1693" s="29" t="s">
        <v>195</v>
      </c>
      <c r="C1693" s="29" t="s">
        <v>202</v>
      </c>
      <c r="D1693" s="29" t="s">
        <v>203</v>
      </c>
      <c r="E1693" s="29" t="s">
        <v>172</v>
      </c>
      <c r="F1693" s="28" t="s">
        <v>3776</v>
      </c>
      <c r="G1693" s="28" t="s">
        <v>3776</v>
      </c>
      <c r="H1693" s="28" t="s">
        <v>384</v>
      </c>
      <c r="I1693" s="28">
        <v>4</v>
      </c>
      <c r="J1693" s="30">
        <v>6.9000000000000006E-2</v>
      </c>
      <c r="K1693" s="28" t="s">
        <v>742</v>
      </c>
      <c r="L1693" s="31">
        <v>42948</v>
      </c>
      <c r="M1693" s="28">
        <v>8</v>
      </c>
      <c r="N1693" s="32" t="s">
        <v>184</v>
      </c>
      <c r="O1693" s="28" t="s">
        <v>204</v>
      </c>
      <c r="P1693" s="28" t="s">
        <v>4172</v>
      </c>
      <c r="Q1693" s="28" t="s">
        <v>4152</v>
      </c>
      <c r="R1693" s="28" t="s">
        <v>4153</v>
      </c>
    </row>
    <row r="1694" spans="1:18" hidden="1">
      <c r="A1694" s="28">
        <v>12</v>
      </c>
      <c r="B1694" s="29" t="s">
        <v>195</v>
      </c>
      <c r="C1694" s="29" t="s">
        <v>202</v>
      </c>
      <c r="D1694" s="29" t="s">
        <v>203</v>
      </c>
      <c r="E1694" s="29" t="s">
        <v>172</v>
      </c>
      <c r="F1694" s="28" t="s">
        <v>3776</v>
      </c>
      <c r="G1694" s="28" t="s">
        <v>3776</v>
      </c>
      <c r="H1694" s="28" t="s">
        <v>384</v>
      </c>
      <c r="I1694" s="28">
        <v>4</v>
      </c>
      <c r="J1694" s="30">
        <v>6.9000000000000006E-2</v>
      </c>
      <c r="K1694" s="28" t="s">
        <v>742</v>
      </c>
      <c r="L1694" s="31">
        <v>42948</v>
      </c>
      <c r="M1694" s="28">
        <v>8</v>
      </c>
      <c r="N1694" s="32" t="s">
        <v>184</v>
      </c>
      <c r="O1694" s="28" t="s">
        <v>204</v>
      </c>
      <c r="P1694" s="28" t="s">
        <v>4173</v>
      </c>
      <c r="Q1694" s="28" t="s">
        <v>4152</v>
      </c>
      <c r="R1694" s="28" t="s">
        <v>4153</v>
      </c>
    </row>
    <row r="1695" spans="1:18" hidden="1">
      <c r="A1695" s="28">
        <v>12</v>
      </c>
      <c r="B1695" s="29" t="s">
        <v>195</v>
      </c>
      <c r="C1695" s="29" t="s">
        <v>202</v>
      </c>
      <c r="D1695" s="29" t="s">
        <v>203</v>
      </c>
      <c r="E1695" s="29" t="s">
        <v>172</v>
      </c>
      <c r="F1695" s="28" t="s">
        <v>3776</v>
      </c>
      <c r="G1695" s="28" t="s">
        <v>3776</v>
      </c>
      <c r="H1695" s="28" t="s">
        <v>384</v>
      </c>
      <c r="I1695" s="28">
        <v>4</v>
      </c>
      <c r="J1695" s="30">
        <v>6.9000000000000006E-2</v>
      </c>
      <c r="K1695" s="28" t="s">
        <v>742</v>
      </c>
      <c r="L1695" s="31">
        <v>42948</v>
      </c>
      <c r="M1695" s="28">
        <v>8</v>
      </c>
      <c r="N1695" s="32" t="s">
        <v>184</v>
      </c>
      <c r="O1695" s="28" t="s">
        <v>204</v>
      </c>
      <c r="P1695" s="28" t="s">
        <v>4174</v>
      </c>
      <c r="Q1695" s="28" t="s">
        <v>4175</v>
      </c>
      <c r="R1695" s="28" t="s">
        <v>4153</v>
      </c>
    </row>
    <row r="1696" spans="1:18" hidden="1">
      <c r="A1696" s="28">
        <v>12</v>
      </c>
      <c r="B1696" s="29" t="s">
        <v>195</v>
      </c>
      <c r="C1696" s="29" t="s">
        <v>202</v>
      </c>
      <c r="D1696" s="29" t="s">
        <v>203</v>
      </c>
      <c r="E1696" s="29" t="s">
        <v>172</v>
      </c>
      <c r="F1696" s="28" t="s">
        <v>3776</v>
      </c>
      <c r="G1696" s="28" t="s">
        <v>3776</v>
      </c>
      <c r="H1696" s="28" t="s">
        <v>384</v>
      </c>
      <c r="I1696" s="28">
        <v>4</v>
      </c>
      <c r="J1696" s="30">
        <v>6.9000000000000006E-2</v>
      </c>
      <c r="K1696" s="28" t="s">
        <v>208</v>
      </c>
      <c r="L1696" s="31">
        <v>43101</v>
      </c>
      <c r="M1696" s="28">
        <v>1</v>
      </c>
      <c r="N1696" s="32" t="s">
        <v>176</v>
      </c>
      <c r="O1696" s="28" t="s">
        <v>204</v>
      </c>
      <c r="P1696" s="28" t="s">
        <v>4176</v>
      </c>
      <c r="Q1696" s="28" t="s">
        <v>4152</v>
      </c>
      <c r="R1696" s="28" t="s">
        <v>4153</v>
      </c>
    </row>
    <row r="1697" spans="1:18" hidden="1">
      <c r="A1697" s="28">
        <v>12</v>
      </c>
      <c r="B1697" s="29" t="s">
        <v>195</v>
      </c>
      <c r="C1697" s="29" t="s">
        <v>202</v>
      </c>
      <c r="D1697" s="29" t="s">
        <v>203</v>
      </c>
      <c r="E1697" s="29" t="s">
        <v>172</v>
      </c>
      <c r="F1697" s="28" t="s">
        <v>3776</v>
      </c>
      <c r="G1697" s="28" t="s">
        <v>3776</v>
      </c>
      <c r="H1697" s="28" t="s">
        <v>384</v>
      </c>
      <c r="I1697" s="28">
        <v>4</v>
      </c>
      <c r="J1697" s="30">
        <v>6.9000000000000006E-2</v>
      </c>
      <c r="K1697" s="28" t="s">
        <v>208</v>
      </c>
      <c r="L1697" s="31">
        <v>43101</v>
      </c>
      <c r="M1697" s="28">
        <v>1</v>
      </c>
      <c r="N1697" s="32" t="s">
        <v>176</v>
      </c>
      <c r="O1697" s="28" t="s">
        <v>204</v>
      </c>
      <c r="P1697" s="28" t="s">
        <v>4177</v>
      </c>
      <c r="Q1697" s="28" t="s">
        <v>4175</v>
      </c>
      <c r="R1697" s="28" t="s">
        <v>4153</v>
      </c>
    </row>
    <row r="1698" spans="1:18" hidden="1">
      <c r="A1698" s="28">
        <v>12</v>
      </c>
      <c r="B1698" s="29" t="s">
        <v>195</v>
      </c>
      <c r="C1698" s="29" t="s">
        <v>202</v>
      </c>
      <c r="D1698" s="29" t="s">
        <v>203</v>
      </c>
      <c r="E1698" s="29" t="s">
        <v>172</v>
      </c>
      <c r="F1698" s="28" t="s">
        <v>3776</v>
      </c>
      <c r="G1698" s="28" t="s">
        <v>3776</v>
      </c>
      <c r="H1698" s="28" t="s">
        <v>384</v>
      </c>
      <c r="I1698" s="28">
        <v>4</v>
      </c>
      <c r="J1698" s="30">
        <v>6.9000000000000006E-2</v>
      </c>
      <c r="K1698" s="28" t="s">
        <v>405</v>
      </c>
      <c r="L1698" s="31">
        <v>43221</v>
      </c>
      <c r="M1698" s="28">
        <v>5</v>
      </c>
      <c r="N1698" s="32" t="s">
        <v>191</v>
      </c>
      <c r="O1698" s="28" t="s">
        <v>204</v>
      </c>
      <c r="P1698" s="28" t="s">
        <v>4178</v>
      </c>
      <c r="Q1698" s="28" t="s">
        <v>4175</v>
      </c>
      <c r="R1698" s="28" t="s">
        <v>4153</v>
      </c>
    </row>
    <row r="1699" spans="1:18" hidden="1">
      <c r="A1699" s="28">
        <v>12</v>
      </c>
      <c r="B1699" s="29" t="s">
        <v>195</v>
      </c>
      <c r="C1699" s="29" t="s">
        <v>202</v>
      </c>
      <c r="D1699" s="29" t="s">
        <v>203</v>
      </c>
      <c r="E1699" s="29" t="s">
        <v>172</v>
      </c>
      <c r="F1699" s="28" t="s">
        <v>3776</v>
      </c>
      <c r="G1699" s="28" t="s">
        <v>3776</v>
      </c>
      <c r="H1699" s="28" t="s">
        <v>384</v>
      </c>
      <c r="I1699" s="28">
        <v>4</v>
      </c>
      <c r="J1699" s="30">
        <v>6.9000000000000006E-2</v>
      </c>
      <c r="K1699" s="28" t="s">
        <v>559</v>
      </c>
      <c r="L1699" s="31">
        <v>43252</v>
      </c>
      <c r="M1699" s="28">
        <v>6</v>
      </c>
      <c r="N1699" s="32" t="s">
        <v>184</v>
      </c>
      <c r="O1699" s="28" t="s">
        <v>204</v>
      </c>
      <c r="P1699" s="28" t="s">
        <v>4179</v>
      </c>
      <c r="Q1699" s="28" t="s">
        <v>4152</v>
      </c>
      <c r="R1699" s="28" t="s">
        <v>4153</v>
      </c>
    </row>
    <row r="1700" spans="1:18" hidden="1">
      <c r="A1700" s="28">
        <v>12</v>
      </c>
      <c r="B1700" s="29" t="s">
        <v>195</v>
      </c>
      <c r="C1700" s="29" t="s">
        <v>202</v>
      </c>
      <c r="D1700" s="29" t="s">
        <v>203</v>
      </c>
      <c r="E1700" s="29" t="s">
        <v>172</v>
      </c>
      <c r="F1700" s="28" t="s">
        <v>3776</v>
      </c>
      <c r="G1700" s="28" t="s">
        <v>3776</v>
      </c>
      <c r="H1700" s="28" t="s">
        <v>384</v>
      </c>
      <c r="I1700" s="28">
        <v>4</v>
      </c>
      <c r="J1700" s="30">
        <v>6.9000000000000006E-2</v>
      </c>
      <c r="K1700" s="28" t="s">
        <v>559</v>
      </c>
      <c r="L1700" s="31">
        <v>43252</v>
      </c>
      <c r="M1700" s="28">
        <v>6</v>
      </c>
      <c r="N1700" s="32" t="s">
        <v>184</v>
      </c>
      <c r="O1700" s="28" t="s">
        <v>204</v>
      </c>
      <c r="P1700" s="28" t="s">
        <v>4180</v>
      </c>
      <c r="Q1700" s="28" t="s">
        <v>4152</v>
      </c>
      <c r="R1700" s="28" t="s">
        <v>4153</v>
      </c>
    </row>
    <row r="1701" spans="1:18" hidden="1">
      <c r="A1701" s="28">
        <v>12</v>
      </c>
      <c r="B1701" s="29" t="s">
        <v>195</v>
      </c>
      <c r="C1701" s="29" t="s">
        <v>202</v>
      </c>
      <c r="D1701" s="29" t="s">
        <v>203</v>
      </c>
      <c r="E1701" s="29" t="s">
        <v>172</v>
      </c>
      <c r="F1701" s="28" t="s">
        <v>3776</v>
      </c>
      <c r="G1701" s="28" t="s">
        <v>3776</v>
      </c>
      <c r="H1701" s="28" t="s">
        <v>384</v>
      </c>
      <c r="I1701" s="28">
        <v>4</v>
      </c>
      <c r="J1701" s="30">
        <v>6.9000000000000006E-2</v>
      </c>
      <c r="K1701" s="28" t="s">
        <v>212</v>
      </c>
      <c r="L1701" s="31">
        <v>43313</v>
      </c>
      <c r="M1701" s="28">
        <v>8</v>
      </c>
      <c r="N1701" s="32" t="s">
        <v>184</v>
      </c>
      <c r="O1701" s="28" t="s">
        <v>204</v>
      </c>
      <c r="P1701" s="28" t="s">
        <v>4181</v>
      </c>
      <c r="Q1701" s="28" t="s">
        <v>4152</v>
      </c>
      <c r="R1701" s="28" t="s">
        <v>4153</v>
      </c>
    </row>
    <row r="1702" spans="1:18" hidden="1">
      <c r="A1702" s="28">
        <v>12</v>
      </c>
      <c r="B1702" s="29" t="s">
        <v>195</v>
      </c>
      <c r="C1702" s="29" t="s">
        <v>202</v>
      </c>
      <c r="D1702" s="29" t="s">
        <v>203</v>
      </c>
      <c r="E1702" s="29" t="s">
        <v>172</v>
      </c>
      <c r="F1702" s="28" t="s">
        <v>3776</v>
      </c>
      <c r="G1702" s="28" t="s">
        <v>3776</v>
      </c>
      <c r="H1702" s="28" t="s">
        <v>384</v>
      </c>
      <c r="I1702" s="28">
        <v>4</v>
      </c>
      <c r="J1702" s="30">
        <v>6.9000000000000006E-2</v>
      </c>
      <c r="K1702" s="28" t="s">
        <v>214</v>
      </c>
      <c r="L1702" s="31">
        <v>43466</v>
      </c>
      <c r="M1702" s="28">
        <v>1</v>
      </c>
      <c r="N1702" s="32" t="s">
        <v>176</v>
      </c>
      <c r="O1702" s="28" t="s">
        <v>204</v>
      </c>
      <c r="P1702" s="28" t="s">
        <v>4182</v>
      </c>
      <c r="Q1702" s="28" t="s">
        <v>4183</v>
      </c>
      <c r="R1702" s="28" t="s">
        <v>4184</v>
      </c>
    </row>
    <row r="1703" spans="1:18" hidden="1">
      <c r="A1703" s="28">
        <v>12</v>
      </c>
      <c r="B1703" s="29" t="s">
        <v>195</v>
      </c>
      <c r="C1703" s="29" t="s">
        <v>202</v>
      </c>
      <c r="D1703" s="29" t="s">
        <v>203</v>
      </c>
      <c r="E1703" s="29" t="s">
        <v>172</v>
      </c>
      <c r="F1703" s="28" t="s">
        <v>3776</v>
      </c>
      <c r="G1703" s="28" t="s">
        <v>3776</v>
      </c>
      <c r="H1703" s="28" t="s">
        <v>384</v>
      </c>
      <c r="I1703" s="28">
        <v>4</v>
      </c>
      <c r="J1703" s="30">
        <v>6.9000000000000006E-2</v>
      </c>
      <c r="K1703" s="28" t="s">
        <v>214</v>
      </c>
      <c r="L1703" s="31">
        <v>43466</v>
      </c>
      <c r="M1703" s="28">
        <v>1</v>
      </c>
      <c r="N1703" s="32" t="s">
        <v>176</v>
      </c>
      <c r="O1703" s="28" t="s">
        <v>204</v>
      </c>
      <c r="P1703" s="28" t="s">
        <v>4185</v>
      </c>
      <c r="Q1703" s="28" t="s">
        <v>4152</v>
      </c>
      <c r="R1703" s="28" t="s">
        <v>4153</v>
      </c>
    </row>
    <row r="1704" spans="1:18" hidden="1">
      <c r="A1704" s="28">
        <v>12</v>
      </c>
      <c r="B1704" s="29" t="s">
        <v>195</v>
      </c>
      <c r="C1704" s="29" t="s">
        <v>202</v>
      </c>
      <c r="D1704" s="29" t="s">
        <v>203</v>
      </c>
      <c r="E1704" s="29" t="s">
        <v>172</v>
      </c>
      <c r="F1704" s="28" t="s">
        <v>3776</v>
      </c>
      <c r="G1704" s="28" t="s">
        <v>3776</v>
      </c>
      <c r="H1704" s="28" t="s">
        <v>384</v>
      </c>
      <c r="I1704" s="28">
        <v>4</v>
      </c>
      <c r="J1704" s="30">
        <v>6.9000000000000006E-2</v>
      </c>
      <c r="K1704" s="28" t="s">
        <v>214</v>
      </c>
      <c r="L1704" s="31">
        <v>43466</v>
      </c>
      <c r="M1704" s="28">
        <v>1</v>
      </c>
      <c r="N1704" s="32" t="s">
        <v>176</v>
      </c>
      <c r="O1704" s="28" t="s">
        <v>204</v>
      </c>
      <c r="P1704" s="28" t="s">
        <v>4186</v>
      </c>
      <c r="Q1704" s="28" t="s">
        <v>4152</v>
      </c>
      <c r="R1704" s="28" t="s">
        <v>4153</v>
      </c>
    </row>
    <row r="1705" spans="1:18" hidden="1">
      <c r="A1705" s="28">
        <v>12</v>
      </c>
      <c r="B1705" s="29" t="s">
        <v>195</v>
      </c>
      <c r="C1705" s="29" t="s">
        <v>202</v>
      </c>
      <c r="D1705" s="29" t="s">
        <v>203</v>
      </c>
      <c r="E1705" s="29" t="s">
        <v>172</v>
      </c>
      <c r="F1705" s="28" t="s">
        <v>3776</v>
      </c>
      <c r="G1705" s="28" t="s">
        <v>3776</v>
      </c>
      <c r="H1705" s="28" t="s">
        <v>384</v>
      </c>
      <c r="I1705" s="28">
        <v>4</v>
      </c>
      <c r="J1705" s="30">
        <v>6.9000000000000006E-2</v>
      </c>
      <c r="K1705" s="28" t="s">
        <v>278</v>
      </c>
      <c r="L1705" s="31">
        <v>43525</v>
      </c>
      <c r="M1705" s="28">
        <v>3</v>
      </c>
      <c r="N1705" s="32" t="s">
        <v>191</v>
      </c>
      <c r="O1705" s="28" t="s">
        <v>204</v>
      </c>
      <c r="P1705" s="28" t="s">
        <v>4187</v>
      </c>
      <c r="Q1705" s="28" t="s">
        <v>4152</v>
      </c>
      <c r="R1705" s="28" t="s">
        <v>4153</v>
      </c>
    </row>
    <row r="1706" spans="1:18" hidden="1">
      <c r="A1706" s="28">
        <v>12</v>
      </c>
      <c r="B1706" s="29" t="s">
        <v>195</v>
      </c>
      <c r="C1706" s="29" t="s">
        <v>202</v>
      </c>
      <c r="D1706" s="29" t="s">
        <v>203</v>
      </c>
      <c r="E1706" s="29" t="s">
        <v>172</v>
      </c>
      <c r="F1706" s="28" t="s">
        <v>3776</v>
      </c>
      <c r="G1706" s="28" t="s">
        <v>3776</v>
      </c>
      <c r="H1706" s="28" t="s">
        <v>384</v>
      </c>
      <c r="I1706" s="28">
        <v>4</v>
      </c>
      <c r="J1706" s="30">
        <v>6.9000000000000006E-2</v>
      </c>
      <c r="K1706" s="28" t="s">
        <v>411</v>
      </c>
      <c r="L1706" s="31">
        <v>43556</v>
      </c>
      <c r="M1706" s="28">
        <v>4</v>
      </c>
      <c r="N1706" s="32" t="s">
        <v>191</v>
      </c>
      <c r="O1706" s="28" t="s">
        <v>204</v>
      </c>
      <c r="P1706" s="28" t="s">
        <v>4188</v>
      </c>
      <c r="Q1706" s="28" t="s">
        <v>4152</v>
      </c>
      <c r="R1706" s="28" t="s">
        <v>4153</v>
      </c>
    </row>
    <row r="1707" spans="1:18" hidden="1">
      <c r="A1707" s="28">
        <v>12</v>
      </c>
      <c r="B1707" s="29" t="s">
        <v>195</v>
      </c>
      <c r="C1707" s="29" t="s">
        <v>202</v>
      </c>
      <c r="D1707" s="29" t="s">
        <v>203</v>
      </c>
      <c r="E1707" s="29" t="s">
        <v>172</v>
      </c>
      <c r="F1707" s="28" t="s">
        <v>3776</v>
      </c>
      <c r="G1707" s="28" t="s">
        <v>3776</v>
      </c>
      <c r="H1707" s="28" t="s">
        <v>384</v>
      </c>
      <c r="I1707" s="28">
        <v>4</v>
      </c>
      <c r="J1707" s="30">
        <v>6.9000000000000006E-2</v>
      </c>
      <c r="K1707" s="28" t="s">
        <v>236</v>
      </c>
      <c r="L1707" s="31">
        <v>43617</v>
      </c>
      <c r="M1707" s="28">
        <v>6</v>
      </c>
      <c r="N1707" s="32" t="s">
        <v>184</v>
      </c>
      <c r="O1707" s="28" t="s">
        <v>204</v>
      </c>
      <c r="P1707" s="28" t="s">
        <v>4189</v>
      </c>
      <c r="Q1707" s="28" t="s">
        <v>4152</v>
      </c>
      <c r="R1707" s="28" t="s">
        <v>4153</v>
      </c>
    </row>
    <row r="1708" spans="1:18" hidden="1">
      <c r="A1708" s="28">
        <v>12</v>
      </c>
      <c r="B1708" s="29" t="s">
        <v>195</v>
      </c>
      <c r="C1708" s="29" t="s">
        <v>202</v>
      </c>
      <c r="D1708" s="29" t="s">
        <v>203</v>
      </c>
      <c r="E1708" s="29" t="s">
        <v>172</v>
      </c>
      <c r="F1708" s="28" t="s">
        <v>3776</v>
      </c>
      <c r="G1708" s="28" t="s">
        <v>3776</v>
      </c>
      <c r="H1708" s="28" t="s">
        <v>384</v>
      </c>
      <c r="I1708" s="28">
        <v>4</v>
      </c>
      <c r="J1708" s="30">
        <v>6.9000000000000006E-2</v>
      </c>
      <c r="K1708" s="28" t="s">
        <v>236</v>
      </c>
      <c r="L1708" s="31">
        <v>43617</v>
      </c>
      <c r="M1708" s="28">
        <v>6</v>
      </c>
      <c r="N1708" s="32" t="s">
        <v>184</v>
      </c>
      <c r="O1708" s="28" t="s">
        <v>204</v>
      </c>
      <c r="P1708" s="28" t="s">
        <v>4190</v>
      </c>
      <c r="Q1708" s="28" t="s">
        <v>4175</v>
      </c>
      <c r="R1708" s="28" t="s">
        <v>4153</v>
      </c>
    </row>
    <row r="1709" spans="1:18" hidden="1">
      <c r="A1709" s="28">
        <v>12</v>
      </c>
      <c r="B1709" s="29" t="s">
        <v>195</v>
      </c>
      <c r="C1709" s="29" t="s">
        <v>202</v>
      </c>
      <c r="D1709" s="29" t="s">
        <v>203</v>
      </c>
      <c r="E1709" s="29" t="s">
        <v>172</v>
      </c>
      <c r="F1709" s="28" t="s">
        <v>3776</v>
      </c>
      <c r="G1709" s="28" t="s">
        <v>3776</v>
      </c>
      <c r="H1709" s="28" t="s">
        <v>384</v>
      </c>
      <c r="I1709" s="28">
        <v>4</v>
      </c>
      <c r="J1709" s="30">
        <v>6.9000000000000006E-2</v>
      </c>
      <c r="K1709" s="28" t="s">
        <v>442</v>
      </c>
      <c r="L1709" s="31">
        <v>43647</v>
      </c>
      <c r="M1709" s="28">
        <v>7</v>
      </c>
      <c r="N1709" s="32" t="s">
        <v>184</v>
      </c>
      <c r="O1709" s="28" t="s">
        <v>204</v>
      </c>
      <c r="P1709" s="28" t="s">
        <v>4191</v>
      </c>
      <c r="Q1709" s="28" t="s">
        <v>4152</v>
      </c>
      <c r="R1709" s="28" t="s">
        <v>4153</v>
      </c>
    </row>
    <row r="1710" spans="1:18" hidden="1">
      <c r="A1710" s="28">
        <v>12</v>
      </c>
      <c r="B1710" s="29" t="s">
        <v>195</v>
      </c>
      <c r="C1710" s="29" t="s">
        <v>202</v>
      </c>
      <c r="D1710" s="29" t="s">
        <v>203</v>
      </c>
      <c r="E1710" s="29" t="s">
        <v>172</v>
      </c>
      <c r="F1710" s="28" t="s">
        <v>3776</v>
      </c>
      <c r="G1710" s="28" t="s">
        <v>3776</v>
      </c>
      <c r="H1710" s="28" t="s">
        <v>384</v>
      </c>
      <c r="I1710" s="28">
        <v>4</v>
      </c>
      <c r="J1710" s="30">
        <v>6.9000000000000006E-2</v>
      </c>
      <c r="K1710" s="28" t="s">
        <v>397</v>
      </c>
      <c r="L1710" s="31">
        <v>43739</v>
      </c>
      <c r="M1710" s="28">
        <v>10</v>
      </c>
      <c r="N1710" s="32" t="s">
        <v>191</v>
      </c>
      <c r="O1710" s="28" t="s">
        <v>204</v>
      </c>
      <c r="P1710" s="28" t="s">
        <v>4192</v>
      </c>
      <c r="Q1710" s="28" t="s">
        <v>4193</v>
      </c>
      <c r="R1710" s="28" t="s">
        <v>4194</v>
      </c>
    </row>
    <row r="1711" spans="1:18" hidden="1">
      <c r="A1711" s="28">
        <v>12</v>
      </c>
      <c r="B1711" s="29" t="s">
        <v>195</v>
      </c>
      <c r="C1711" s="29" t="s">
        <v>202</v>
      </c>
      <c r="D1711" s="29" t="s">
        <v>203</v>
      </c>
      <c r="E1711" s="29" t="s">
        <v>172</v>
      </c>
      <c r="F1711" s="28" t="s">
        <v>3776</v>
      </c>
      <c r="G1711" s="28" t="s">
        <v>3776</v>
      </c>
      <c r="H1711" s="28" t="s">
        <v>384</v>
      </c>
      <c r="I1711" s="28">
        <v>4</v>
      </c>
      <c r="J1711" s="30">
        <v>6.9000000000000006E-2</v>
      </c>
      <c r="K1711" s="28" t="s">
        <v>479</v>
      </c>
      <c r="L1711" s="31">
        <v>43770</v>
      </c>
      <c r="M1711" s="28">
        <v>11</v>
      </c>
      <c r="N1711" s="32" t="s">
        <v>191</v>
      </c>
      <c r="O1711" s="28" t="s">
        <v>204</v>
      </c>
      <c r="P1711" s="28" t="s">
        <v>4195</v>
      </c>
      <c r="Q1711" s="28" t="s">
        <v>4152</v>
      </c>
      <c r="R1711" s="28" t="s">
        <v>4153</v>
      </c>
    </row>
    <row r="1712" spans="1:18" hidden="1">
      <c r="A1712" s="28">
        <v>12</v>
      </c>
      <c r="B1712" s="29" t="s">
        <v>195</v>
      </c>
      <c r="C1712" s="29" t="s">
        <v>202</v>
      </c>
      <c r="D1712" s="29" t="s">
        <v>203</v>
      </c>
      <c r="E1712" s="29" t="s">
        <v>172</v>
      </c>
      <c r="F1712" s="28" t="s">
        <v>3776</v>
      </c>
      <c r="G1712" s="28" t="s">
        <v>3776</v>
      </c>
      <c r="H1712" s="28" t="s">
        <v>384</v>
      </c>
      <c r="I1712" s="28">
        <v>4</v>
      </c>
      <c r="J1712" s="30">
        <v>6.9000000000000006E-2</v>
      </c>
      <c r="K1712" s="28" t="s">
        <v>520</v>
      </c>
      <c r="L1712" s="31">
        <v>43800</v>
      </c>
      <c r="M1712" s="28">
        <v>12</v>
      </c>
      <c r="N1712" s="32" t="s">
        <v>176</v>
      </c>
      <c r="O1712" s="28" t="s">
        <v>204</v>
      </c>
      <c r="P1712" s="28" t="s">
        <v>4196</v>
      </c>
      <c r="Q1712" s="28" t="s">
        <v>4152</v>
      </c>
      <c r="R1712" s="28" t="s">
        <v>4197</v>
      </c>
    </row>
    <row r="1713" spans="1:18" hidden="1">
      <c r="A1713" s="28">
        <v>12</v>
      </c>
      <c r="B1713" s="29" t="s">
        <v>195</v>
      </c>
      <c r="C1713" s="29" t="s">
        <v>202</v>
      </c>
      <c r="D1713" s="29" t="s">
        <v>203</v>
      </c>
      <c r="E1713" s="29" t="s">
        <v>172</v>
      </c>
      <c r="F1713" s="28" t="s">
        <v>3776</v>
      </c>
      <c r="G1713" s="28" t="s">
        <v>3776</v>
      </c>
      <c r="H1713" s="28" t="s">
        <v>384</v>
      </c>
      <c r="I1713" s="28">
        <v>4</v>
      </c>
      <c r="J1713" s="30">
        <v>6.9000000000000006E-2</v>
      </c>
      <c r="K1713" s="28" t="s">
        <v>324</v>
      </c>
      <c r="L1713" s="31">
        <v>43862</v>
      </c>
      <c r="M1713" s="28">
        <v>2</v>
      </c>
      <c r="N1713" s="32" t="s">
        <v>176</v>
      </c>
      <c r="O1713" s="28" t="s">
        <v>204</v>
      </c>
      <c r="P1713" s="28" t="s">
        <v>4198</v>
      </c>
      <c r="Q1713" s="28" t="s">
        <v>4175</v>
      </c>
      <c r="R1713" s="28" t="s">
        <v>4153</v>
      </c>
    </row>
    <row r="1714" spans="1:18" hidden="1">
      <c r="A1714" s="28">
        <v>12</v>
      </c>
      <c r="B1714" s="29" t="s">
        <v>195</v>
      </c>
      <c r="C1714" s="29" t="s">
        <v>202</v>
      </c>
      <c r="D1714" s="29" t="s">
        <v>203</v>
      </c>
      <c r="E1714" s="29" t="s">
        <v>172</v>
      </c>
      <c r="F1714" s="28" t="s">
        <v>3776</v>
      </c>
      <c r="G1714" s="28" t="s">
        <v>3776</v>
      </c>
      <c r="H1714" s="28" t="s">
        <v>384</v>
      </c>
      <c r="I1714" s="28">
        <v>4</v>
      </c>
      <c r="J1714" s="30">
        <v>6.9000000000000006E-2</v>
      </c>
      <c r="K1714" s="28" t="s">
        <v>183</v>
      </c>
      <c r="L1714" s="31">
        <v>43983</v>
      </c>
      <c r="M1714" s="28">
        <v>6</v>
      </c>
      <c r="N1714" s="32" t="s">
        <v>184</v>
      </c>
      <c r="O1714" s="28" t="s">
        <v>204</v>
      </c>
      <c r="P1714" s="28" t="s">
        <v>4199</v>
      </c>
      <c r="Q1714" s="28" t="s">
        <v>4152</v>
      </c>
      <c r="R1714" s="28" t="s">
        <v>4153</v>
      </c>
    </row>
    <row r="1715" spans="1:18" hidden="1">
      <c r="A1715" s="28">
        <v>12</v>
      </c>
      <c r="B1715" s="29" t="s">
        <v>195</v>
      </c>
      <c r="C1715" s="29" t="s">
        <v>202</v>
      </c>
      <c r="D1715" s="29" t="s">
        <v>203</v>
      </c>
      <c r="E1715" s="29" t="s">
        <v>172</v>
      </c>
      <c r="F1715" s="28" t="s">
        <v>3776</v>
      </c>
      <c r="G1715" s="28" t="s">
        <v>3776</v>
      </c>
      <c r="H1715" s="28" t="s">
        <v>384</v>
      </c>
      <c r="I1715" s="28">
        <v>4</v>
      </c>
      <c r="J1715" s="30">
        <v>6.9000000000000006E-2</v>
      </c>
      <c r="K1715" s="28" t="s">
        <v>341</v>
      </c>
      <c r="L1715" s="31">
        <v>44228</v>
      </c>
      <c r="M1715" s="28">
        <v>2</v>
      </c>
      <c r="N1715" s="32" t="s">
        <v>176</v>
      </c>
      <c r="O1715" s="28" t="s">
        <v>204</v>
      </c>
      <c r="P1715" s="28" t="s">
        <v>4200</v>
      </c>
      <c r="Q1715" s="28" t="s">
        <v>4152</v>
      </c>
      <c r="R1715" s="28" t="s">
        <v>4153</v>
      </c>
    </row>
    <row r="1716" spans="1:18" hidden="1">
      <c r="A1716" s="28">
        <v>12</v>
      </c>
      <c r="B1716" s="29" t="s">
        <v>195</v>
      </c>
      <c r="C1716" s="29" t="s">
        <v>202</v>
      </c>
      <c r="D1716" s="29" t="s">
        <v>203</v>
      </c>
      <c r="E1716" s="29" t="s">
        <v>172</v>
      </c>
      <c r="F1716" s="28" t="s">
        <v>3776</v>
      </c>
      <c r="G1716" s="28" t="s">
        <v>3776</v>
      </c>
      <c r="H1716" s="28" t="s">
        <v>384</v>
      </c>
      <c r="I1716" s="28">
        <v>4</v>
      </c>
      <c r="J1716" s="30">
        <v>6.9000000000000006E-2</v>
      </c>
      <c r="K1716" s="28" t="s">
        <v>190</v>
      </c>
      <c r="L1716" s="31">
        <v>44287</v>
      </c>
      <c r="M1716" s="28">
        <v>4</v>
      </c>
      <c r="N1716" s="32" t="s">
        <v>191</v>
      </c>
      <c r="O1716" s="28" t="s">
        <v>204</v>
      </c>
      <c r="P1716" s="28" t="s">
        <v>4201</v>
      </c>
      <c r="Q1716" s="28" t="s">
        <v>4152</v>
      </c>
      <c r="R1716" s="28" t="s">
        <v>4153</v>
      </c>
    </row>
    <row r="1717" spans="1:18" hidden="1">
      <c r="A1717" s="28">
        <v>12</v>
      </c>
      <c r="B1717" s="29" t="s">
        <v>195</v>
      </c>
      <c r="C1717" s="29" t="s">
        <v>202</v>
      </c>
      <c r="D1717" s="29" t="s">
        <v>203</v>
      </c>
      <c r="E1717" s="29" t="s">
        <v>172</v>
      </c>
      <c r="F1717" s="28" t="s">
        <v>3776</v>
      </c>
      <c r="G1717" s="28" t="s">
        <v>3776</v>
      </c>
      <c r="H1717" s="28" t="s">
        <v>384</v>
      </c>
      <c r="I1717" s="28">
        <v>4</v>
      </c>
      <c r="J1717" s="30">
        <v>6.9000000000000006E-2</v>
      </c>
      <c r="K1717" s="28" t="s">
        <v>962</v>
      </c>
      <c r="L1717" s="31">
        <v>44348</v>
      </c>
      <c r="M1717" s="28">
        <v>6</v>
      </c>
      <c r="N1717" s="32" t="s">
        <v>184</v>
      </c>
      <c r="O1717" s="28" t="s">
        <v>204</v>
      </c>
      <c r="P1717" s="28" t="s">
        <v>4202</v>
      </c>
      <c r="Q1717" s="28" t="s">
        <v>4203</v>
      </c>
      <c r="R1717" s="28" t="s">
        <v>4204</v>
      </c>
    </row>
    <row r="1718" spans="1:18" hidden="1">
      <c r="A1718" s="28">
        <v>12</v>
      </c>
      <c r="B1718" s="29" t="s">
        <v>195</v>
      </c>
      <c r="C1718" s="29" t="s">
        <v>202</v>
      </c>
      <c r="D1718" s="29" t="s">
        <v>203</v>
      </c>
      <c r="E1718" s="29" t="s">
        <v>172</v>
      </c>
      <c r="F1718" s="28" t="s">
        <v>3776</v>
      </c>
      <c r="G1718" s="28" t="s">
        <v>3776</v>
      </c>
      <c r="H1718" s="28" t="s">
        <v>384</v>
      </c>
      <c r="I1718" s="28">
        <v>4</v>
      </c>
      <c r="J1718" s="30">
        <v>6.9000000000000006E-2</v>
      </c>
      <c r="K1718" s="28" t="s">
        <v>297</v>
      </c>
      <c r="L1718" s="31">
        <v>44409</v>
      </c>
      <c r="M1718" s="28">
        <v>8</v>
      </c>
      <c r="N1718" s="32" t="s">
        <v>184</v>
      </c>
      <c r="O1718" s="28" t="s">
        <v>204</v>
      </c>
      <c r="P1718" s="28" t="s">
        <v>4205</v>
      </c>
      <c r="Q1718" s="28" t="s">
        <v>4152</v>
      </c>
      <c r="R1718" s="28" t="s">
        <v>4153</v>
      </c>
    </row>
    <row r="1719" spans="1:18" hidden="1">
      <c r="A1719" s="28">
        <v>12</v>
      </c>
      <c r="B1719" s="29" t="s">
        <v>195</v>
      </c>
      <c r="C1719" s="29" t="s">
        <v>202</v>
      </c>
      <c r="D1719" s="29" t="s">
        <v>203</v>
      </c>
      <c r="E1719" s="29" t="s">
        <v>172</v>
      </c>
      <c r="F1719" s="28" t="s">
        <v>3776</v>
      </c>
      <c r="G1719" s="28" t="s">
        <v>3776</v>
      </c>
      <c r="H1719" s="28" t="s">
        <v>384</v>
      </c>
      <c r="I1719" s="28">
        <v>4</v>
      </c>
      <c r="J1719" s="30">
        <v>6.9000000000000006E-2</v>
      </c>
      <c r="K1719" s="28" t="s">
        <v>297</v>
      </c>
      <c r="L1719" s="31">
        <v>44409</v>
      </c>
      <c r="M1719" s="28">
        <v>8</v>
      </c>
      <c r="N1719" s="32" t="s">
        <v>184</v>
      </c>
      <c r="O1719" s="28" t="s">
        <v>204</v>
      </c>
      <c r="P1719" s="28" t="s">
        <v>4206</v>
      </c>
      <c r="Q1719" s="28" t="s">
        <v>4152</v>
      </c>
      <c r="R1719" s="28" t="s">
        <v>4153</v>
      </c>
    </row>
    <row r="1720" spans="1:18" hidden="1">
      <c r="A1720" s="28">
        <v>12</v>
      </c>
      <c r="B1720" s="29" t="s">
        <v>195</v>
      </c>
      <c r="C1720" s="29" t="s">
        <v>202</v>
      </c>
      <c r="D1720" s="29" t="s">
        <v>203</v>
      </c>
      <c r="E1720" s="29" t="s">
        <v>172</v>
      </c>
      <c r="F1720" s="28" t="s">
        <v>3776</v>
      </c>
      <c r="G1720" s="28" t="s">
        <v>3776</v>
      </c>
      <c r="H1720" s="28" t="s">
        <v>384</v>
      </c>
      <c r="I1720" s="28">
        <v>4</v>
      </c>
      <c r="J1720" s="30">
        <v>6.9000000000000006E-2</v>
      </c>
      <c r="K1720" s="28" t="s">
        <v>345</v>
      </c>
      <c r="L1720" s="31">
        <v>44440</v>
      </c>
      <c r="M1720" s="28">
        <v>9</v>
      </c>
      <c r="N1720" s="32" t="s">
        <v>191</v>
      </c>
      <c r="O1720" s="28" t="s">
        <v>204</v>
      </c>
      <c r="P1720" s="28" t="s">
        <v>4207</v>
      </c>
      <c r="Q1720" s="28" t="s">
        <v>4152</v>
      </c>
      <c r="R1720" s="28" t="s">
        <v>4153</v>
      </c>
    </row>
    <row r="1721" spans="1:18" hidden="1">
      <c r="A1721" s="28">
        <v>12</v>
      </c>
      <c r="B1721" s="29" t="s">
        <v>195</v>
      </c>
      <c r="C1721" s="29" t="s">
        <v>202</v>
      </c>
      <c r="D1721" s="29" t="s">
        <v>203</v>
      </c>
      <c r="E1721" s="29" t="s">
        <v>172</v>
      </c>
      <c r="F1721" s="28" t="s">
        <v>3776</v>
      </c>
      <c r="G1721" s="28" t="s">
        <v>3776</v>
      </c>
      <c r="H1721" s="28" t="s">
        <v>384</v>
      </c>
      <c r="I1721" s="28">
        <v>4</v>
      </c>
      <c r="J1721" s="30">
        <v>6.9000000000000006E-2</v>
      </c>
      <c r="K1721" s="28" t="s">
        <v>345</v>
      </c>
      <c r="L1721" s="31">
        <v>44440</v>
      </c>
      <c r="M1721" s="28">
        <v>9</v>
      </c>
      <c r="N1721" s="32" t="s">
        <v>191</v>
      </c>
      <c r="O1721" s="28" t="s">
        <v>204</v>
      </c>
      <c r="P1721" s="28" t="s">
        <v>4208</v>
      </c>
      <c r="Q1721" s="28" t="s">
        <v>4152</v>
      </c>
      <c r="R1721" s="28" t="s">
        <v>4153</v>
      </c>
    </row>
    <row r="1722" spans="1:18" hidden="1">
      <c r="A1722" s="28">
        <v>12</v>
      </c>
      <c r="B1722" s="29" t="s">
        <v>195</v>
      </c>
      <c r="C1722" s="29" t="s">
        <v>202</v>
      </c>
      <c r="D1722" s="29" t="s">
        <v>203</v>
      </c>
      <c r="E1722" s="29" t="s">
        <v>172</v>
      </c>
      <c r="F1722" s="28" t="s">
        <v>3776</v>
      </c>
      <c r="G1722" s="28" t="s">
        <v>3776</v>
      </c>
      <c r="H1722" s="28" t="s">
        <v>384</v>
      </c>
      <c r="I1722" s="28">
        <v>4</v>
      </c>
      <c r="J1722" s="30">
        <v>6.9000000000000006E-2</v>
      </c>
      <c r="K1722" s="28" t="s">
        <v>4209</v>
      </c>
      <c r="L1722" s="31" t="s">
        <v>221</v>
      </c>
      <c r="M1722" s="28" t="e">
        <v>#VALUE!</v>
      </c>
      <c r="N1722" s="32" t="e">
        <v>#VALUE!</v>
      </c>
      <c r="O1722" s="28" t="s">
        <v>204</v>
      </c>
      <c r="P1722" s="28" t="s">
        <v>4210</v>
      </c>
      <c r="Q1722" s="28" t="s">
        <v>4152</v>
      </c>
      <c r="R1722" s="28" t="s">
        <v>4153</v>
      </c>
    </row>
    <row r="1723" spans="1:18" hidden="1">
      <c r="A1723" s="28">
        <v>12</v>
      </c>
      <c r="B1723" s="29" t="s">
        <v>195</v>
      </c>
      <c r="C1723" s="29" t="s">
        <v>202</v>
      </c>
      <c r="D1723" s="29" t="s">
        <v>4211</v>
      </c>
      <c r="E1723" s="29" t="s">
        <v>172</v>
      </c>
      <c r="F1723" s="28" t="s">
        <v>3776</v>
      </c>
      <c r="G1723" s="28" t="s">
        <v>3776</v>
      </c>
      <c r="H1723" s="28" t="s">
        <v>384</v>
      </c>
      <c r="I1723" s="28">
        <v>4</v>
      </c>
      <c r="J1723" s="30">
        <v>6.9000000000000006E-2</v>
      </c>
      <c r="K1723" s="28" t="s">
        <v>243</v>
      </c>
      <c r="L1723" s="31">
        <v>42461</v>
      </c>
      <c r="M1723" s="28">
        <v>4</v>
      </c>
      <c r="N1723" s="32" t="s">
        <v>191</v>
      </c>
      <c r="O1723" s="28" t="s">
        <v>204</v>
      </c>
      <c r="P1723" s="28" t="s">
        <v>4212</v>
      </c>
      <c r="Q1723" s="28" t="s">
        <v>4152</v>
      </c>
      <c r="R1723" s="28" t="s">
        <v>4153</v>
      </c>
    </row>
    <row r="1724" spans="1:18" hidden="1">
      <c r="A1724" s="28">
        <v>12</v>
      </c>
      <c r="B1724" s="29" t="s">
        <v>195</v>
      </c>
      <c r="C1724" s="29" t="s">
        <v>202</v>
      </c>
      <c r="D1724" s="29" t="s">
        <v>4211</v>
      </c>
      <c r="E1724" s="29" t="s">
        <v>172</v>
      </c>
      <c r="F1724" s="28" t="s">
        <v>3776</v>
      </c>
      <c r="G1724" s="28" t="s">
        <v>4213</v>
      </c>
      <c r="H1724" s="28" t="s">
        <v>384</v>
      </c>
      <c r="I1724" s="28">
        <v>8</v>
      </c>
      <c r="J1724" s="30">
        <v>3.6999999999999998E-2</v>
      </c>
      <c r="K1724" s="28" t="s">
        <v>971</v>
      </c>
      <c r="L1724" s="31">
        <v>42979</v>
      </c>
      <c r="M1724" s="28">
        <v>9</v>
      </c>
      <c r="N1724" s="32" t="s">
        <v>191</v>
      </c>
      <c r="O1724" s="28" t="s">
        <v>204</v>
      </c>
      <c r="P1724" s="28" t="s">
        <v>4214</v>
      </c>
      <c r="Q1724" s="28" t="s">
        <v>4215</v>
      </c>
      <c r="R1724" s="28" t="s">
        <v>4216</v>
      </c>
    </row>
    <row r="1725" spans="1:18" hidden="1">
      <c r="A1725" s="28">
        <v>12</v>
      </c>
      <c r="B1725" s="29" t="s">
        <v>195</v>
      </c>
      <c r="C1725" s="29" t="s">
        <v>202</v>
      </c>
      <c r="D1725" s="29" t="s">
        <v>4211</v>
      </c>
      <c r="E1725" s="29" t="s">
        <v>172</v>
      </c>
      <c r="F1725" s="28" t="s">
        <v>3776</v>
      </c>
      <c r="G1725" s="28" t="s">
        <v>4213</v>
      </c>
      <c r="H1725" s="28" t="s">
        <v>384</v>
      </c>
      <c r="I1725" s="28">
        <v>8</v>
      </c>
      <c r="J1725" s="30">
        <v>3.6999999999999998E-2</v>
      </c>
      <c r="K1725" s="28" t="s">
        <v>678</v>
      </c>
      <c r="L1725" s="31">
        <v>43344</v>
      </c>
      <c r="M1725" s="28">
        <v>9</v>
      </c>
      <c r="N1725" s="32" t="s">
        <v>191</v>
      </c>
      <c r="O1725" s="28" t="s">
        <v>204</v>
      </c>
      <c r="P1725" s="28" t="s">
        <v>4217</v>
      </c>
      <c r="Q1725" s="28" t="s">
        <v>4218</v>
      </c>
      <c r="R1725" s="28" t="s">
        <v>4219</v>
      </c>
    </row>
    <row r="1726" spans="1:18" hidden="1">
      <c r="A1726" s="28">
        <v>12</v>
      </c>
      <c r="B1726" s="29" t="s">
        <v>195</v>
      </c>
      <c r="C1726" s="29" t="s">
        <v>202</v>
      </c>
      <c r="D1726" s="29" t="s">
        <v>3889</v>
      </c>
      <c r="E1726" s="29" t="s">
        <v>172</v>
      </c>
      <c r="F1726" s="28" t="s">
        <v>3776</v>
      </c>
      <c r="G1726" s="28" t="s">
        <v>3776</v>
      </c>
      <c r="H1726" s="28" t="s">
        <v>384</v>
      </c>
      <c r="I1726" s="28">
        <v>4</v>
      </c>
      <c r="J1726" s="30">
        <v>6.9000000000000006E-2</v>
      </c>
      <c r="K1726" s="28" t="s">
        <v>271</v>
      </c>
      <c r="L1726" s="31">
        <v>42856</v>
      </c>
      <c r="M1726" s="28">
        <v>5</v>
      </c>
      <c r="N1726" s="32" t="s">
        <v>191</v>
      </c>
      <c r="O1726" s="28" t="s">
        <v>204</v>
      </c>
      <c r="P1726" s="28" t="s">
        <v>4220</v>
      </c>
      <c r="Q1726" s="28" t="s">
        <v>3892</v>
      </c>
      <c r="R1726" s="28" t="s">
        <v>3893</v>
      </c>
    </row>
    <row r="1727" spans="1:18" hidden="1">
      <c r="A1727" s="28">
        <v>12</v>
      </c>
      <c r="B1727" s="29" t="s">
        <v>195</v>
      </c>
      <c r="C1727" s="29" t="s">
        <v>202</v>
      </c>
      <c r="D1727" s="29" t="s">
        <v>4221</v>
      </c>
      <c r="E1727" s="29" t="s">
        <v>172</v>
      </c>
      <c r="F1727" s="28" t="s">
        <v>3776</v>
      </c>
      <c r="G1727" s="28" t="s">
        <v>3776</v>
      </c>
      <c r="H1727" s="28" t="s">
        <v>384</v>
      </c>
      <c r="I1727" s="28">
        <v>4</v>
      </c>
      <c r="J1727" s="30">
        <v>6.9000000000000006E-2</v>
      </c>
      <c r="K1727" s="28" t="s">
        <v>302</v>
      </c>
      <c r="L1727" s="31">
        <v>43282</v>
      </c>
      <c r="M1727" s="28">
        <v>7</v>
      </c>
      <c r="N1727" s="32" t="s">
        <v>184</v>
      </c>
      <c r="O1727" s="28" t="s">
        <v>204</v>
      </c>
      <c r="P1727" s="28" t="s">
        <v>4222</v>
      </c>
      <c r="Q1727" s="28" t="s">
        <v>4142</v>
      </c>
      <c r="R1727" s="28" t="s">
        <v>4143</v>
      </c>
    </row>
    <row r="1728" spans="1:18" hidden="1">
      <c r="A1728" s="28">
        <v>12</v>
      </c>
      <c r="B1728" s="29" t="s">
        <v>195</v>
      </c>
      <c r="C1728" s="29" t="s">
        <v>230</v>
      </c>
      <c r="D1728" s="29" t="s">
        <v>231</v>
      </c>
      <c r="E1728" s="29" t="s">
        <v>172</v>
      </c>
      <c r="F1728" s="28" t="s">
        <v>3776</v>
      </c>
      <c r="G1728" s="28" t="s">
        <v>3776</v>
      </c>
      <c r="H1728" s="28" t="s">
        <v>384</v>
      </c>
      <c r="I1728" s="28">
        <v>4</v>
      </c>
      <c r="J1728" s="30">
        <v>6.9000000000000006E-2</v>
      </c>
      <c r="K1728" s="28" t="s">
        <v>971</v>
      </c>
      <c r="L1728" s="31">
        <v>42979</v>
      </c>
      <c r="M1728" s="28">
        <v>9</v>
      </c>
      <c r="N1728" s="32" t="s">
        <v>191</v>
      </c>
      <c r="O1728" s="28" t="s">
        <v>204</v>
      </c>
      <c r="P1728" s="28" t="s">
        <v>4223</v>
      </c>
      <c r="Q1728" s="28" t="s">
        <v>4224</v>
      </c>
      <c r="R1728" s="28" t="s">
        <v>4225</v>
      </c>
    </row>
    <row r="1729" spans="1:18" hidden="1">
      <c r="A1729" s="28">
        <v>12</v>
      </c>
      <c r="B1729" s="29" t="s">
        <v>195</v>
      </c>
      <c r="C1729" s="29" t="s">
        <v>230</v>
      </c>
      <c r="D1729" s="29" t="s">
        <v>231</v>
      </c>
      <c r="E1729" s="29" t="s">
        <v>172</v>
      </c>
      <c r="F1729" s="28" t="s">
        <v>3776</v>
      </c>
      <c r="G1729" s="28" t="s">
        <v>3776</v>
      </c>
      <c r="H1729" s="28" t="s">
        <v>384</v>
      </c>
      <c r="I1729" s="28">
        <v>4</v>
      </c>
      <c r="J1729" s="30">
        <v>6.9000000000000006E-2</v>
      </c>
      <c r="K1729" s="28" t="s">
        <v>1896</v>
      </c>
      <c r="L1729" s="31">
        <v>43132</v>
      </c>
      <c r="M1729" s="28">
        <v>2</v>
      </c>
      <c r="N1729" s="32" t="s">
        <v>176</v>
      </c>
      <c r="O1729" s="28" t="s">
        <v>204</v>
      </c>
      <c r="P1729" s="28" t="s">
        <v>4226</v>
      </c>
      <c r="Q1729" s="28" t="s">
        <v>4227</v>
      </c>
      <c r="R1729" s="28" t="s">
        <v>4228</v>
      </c>
    </row>
    <row r="1730" spans="1:18" hidden="1">
      <c r="A1730" s="28">
        <v>12</v>
      </c>
      <c r="B1730" s="29" t="s">
        <v>195</v>
      </c>
      <c r="C1730" s="29" t="s">
        <v>230</v>
      </c>
      <c r="D1730" s="29" t="s">
        <v>231</v>
      </c>
      <c r="E1730" s="29" t="s">
        <v>172</v>
      </c>
      <c r="F1730" s="28" t="s">
        <v>3776</v>
      </c>
      <c r="G1730" s="28" t="s">
        <v>3776</v>
      </c>
      <c r="H1730" s="28" t="s">
        <v>384</v>
      </c>
      <c r="I1730" s="28">
        <v>4</v>
      </c>
      <c r="J1730" s="30">
        <v>6.9000000000000006E-2</v>
      </c>
      <c r="K1730" s="28" t="s">
        <v>962</v>
      </c>
      <c r="L1730" s="31">
        <v>44348</v>
      </c>
      <c r="M1730" s="28">
        <v>6</v>
      </c>
      <c r="N1730" s="32" t="s">
        <v>184</v>
      </c>
      <c r="O1730" s="28" t="s">
        <v>204</v>
      </c>
      <c r="P1730" s="28" t="s">
        <v>4229</v>
      </c>
      <c r="Q1730" s="28" t="s">
        <v>4230</v>
      </c>
      <c r="R1730" s="28" t="s">
        <v>4231</v>
      </c>
    </row>
    <row r="1731" spans="1:18" hidden="1">
      <c r="A1731" s="28">
        <v>2</v>
      </c>
      <c r="B1731" s="29" t="s">
        <v>240</v>
      </c>
      <c r="C1731" s="29" t="s">
        <v>241</v>
      </c>
      <c r="D1731" s="29" t="s">
        <v>242</v>
      </c>
      <c r="E1731" s="29" t="s">
        <v>172</v>
      </c>
      <c r="F1731" s="28" t="s">
        <v>3776</v>
      </c>
      <c r="G1731" s="28" t="s">
        <v>3776</v>
      </c>
      <c r="H1731" s="28" t="s">
        <v>384</v>
      </c>
      <c r="I1731" s="28">
        <v>4</v>
      </c>
      <c r="J1731" s="30">
        <v>6.9000000000000006E-2</v>
      </c>
      <c r="K1731" s="28" t="s">
        <v>496</v>
      </c>
      <c r="L1731" s="31">
        <v>42917</v>
      </c>
      <c r="M1731" s="28">
        <v>7</v>
      </c>
      <c r="N1731" s="32" t="s">
        <v>184</v>
      </c>
      <c r="O1731" s="28" t="s">
        <v>204</v>
      </c>
      <c r="P1731" s="28" t="s">
        <v>4232</v>
      </c>
      <c r="Q1731" s="28" t="s">
        <v>4233</v>
      </c>
      <c r="R1731" s="28" t="s">
        <v>4234</v>
      </c>
    </row>
    <row r="1732" spans="1:18" hidden="1">
      <c r="A1732" s="28">
        <v>2</v>
      </c>
      <c r="B1732" s="29" t="s">
        <v>240</v>
      </c>
      <c r="C1732" s="29" t="s">
        <v>241</v>
      </c>
      <c r="D1732" s="29" t="s">
        <v>242</v>
      </c>
      <c r="E1732" s="29" t="s">
        <v>172</v>
      </c>
      <c r="F1732" s="28" t="s">
        <v>3776</v>
      </c>
      <c r="G1732" s="28" t="s">
        <v>3776</v>
      </c>
      <c r="H1732" s="28" t="s">
        <v>384</v>
      </c>
      <c r="I1732" s="28">
        <v>4</v>
      </c>
      <c r="J1732" s="30">
        <v>6.9000000000000006E-2</v>
      </c>
      <c r="K1732" s="28" t="s">
        <v>435</v>
      </c>
      <c r="L1732" s="31">
        <v>43040</v>
      </c>
      <c r="M1732" s="28">
        <v>11</v>
      </c>
      <c r="N1732" s="32" t="s">
        <v>191</v>
      </c>
      <c r="O1732" s="28" t="s">
        <v>204</v>
      </c>
      <c r="P1732" s="28" t="s">
        <v>4235</v>
      </c>
      <c r="Q1732" s="28" t="s">
        <v>4236</v>
      </c>
      <c r="R1732" s="28" t="s">
        <v>4237</v>
      </c>
    </row>
    <row r="1733" spans="1:18" hidden="1">
      <c r="A1733" s="28">
        <v>2</v>
      </c>
      <c r="B1733" s="29" t="s">
        <v>240</v>
      </c>
      <c r="C1733" s="29" t="s">
        <v>241</v>
      </c>
      <c r="D1733" s="29" t="s">
        <v>242</v>
      </c>
      <c r="E1733" s="29" t="s">
        <v>172</v>
      </c>
      <c r="F1733" s="28" t="s">
        <v>3776</v>
      </c>
      <c r="G1733" s="28" t="s">
        <v>3776</v>
      </c>
      <c r="H1733" s="28" t="s">
        <v>384</v>
      </c>
      <c r="I1733" s="28">
        <v>4</v>
      </c>
      <c r="J1733" s="30">
        <v>6.9000000000000006E-2</v>
      </c>
      <c r="K1733" s="28" t="s">
        <v>302</v>
      </c>
      <c r="L1733" s="31">
        <v>43282</v>
      </c>
      <c r="M1733" s="28">
        <v>7</v>
      </c>
      <c r="N1733" s="32" t="s">
        <v>184</v>
      </c>
      <c r="O1733" s="28" t="s">
        <v>204</v>
      </c>
      <c r="P1733" s="28" t="s">
        <v>4238</v>
      </c>
      <c r="Q1733" s="28" t="s">
        <v>4239</v>
      </c>
      <c r="R1733" s="28" t="s">
        <v>4240</v>
      </c>
    </row>
    <row r="1734" spans="1:18" hidden="1">
      <c r="A1734" s="28">
        <v>2</v>
      </c>
      <c r="B1734" s="29" t="s">
        <v>240</v>
      </c>
      <c r="C1734" s="29" t="s">
        <v>241</v>
      </c>
      <c r="D1734" s="29" t="s">
        <v>242</v>
      </c>
      <c r="E1734" s="29" t="s">
        <v>172</v>
      </c>
      <c r="F1734" s="28" t="s">
        <v>3776</v>
      </c>
      <c r="G1734" s="28" t="s">
        <v>3776</v>
      </c>
      <c r="H1734" s="28" t="s">
        <v>384</v>
      </c>
      <c r="I1734" s="28">
        <v>4</v>
      </c>
      <c r="J1734" s="30">
        <v>6.9000000000000006E-2</v>
      </c>
      <c r="K1734" s="28" t="s">
        <v>678</v>
      </c>
      <c r="L1734" s="31">
        <v>43344</v>
      </c>
      <c r="M1734" s="28">
        <v>9</v>
      </c>
      <c r="N1734" s="32" t="s">
        <v>191</v>
      </c>
      <c r="O1734" s="28" t="s">
        <v>204</v>
      </c>
      <c r="P1734" s="28" t="s">
        <v>4241</v>
      </c>
      <c r="Q1734" s="28" t="s">
        <v>4239</v>
      </c>
      <c r="R1734" s="28" t="s">
        <v>4240</v>
      </c>
    </row>
    <row r="1735" spans="1:18" hidden="1">
      <c r="A1735" s="28">
        <v>2</v>
      </c>
      <c r="B1735" s="29" t="s">
        <v>240</v>
      </c>
      <c r="C1735" s="29" t="s">
        <v>241</v>
      </c>
      <c r="D1735" s="29" t="s">
        <v>242</v>
      </c>
      <c r="E1735" s="29" t="s">
        <v>172</v>
      </c>
      <c r="F1735" s="28" t="s">
        <v>3776</v>
      </c>
      <c r="G1735" s="28" t="s">
        <v>3776</v>
      </c>
      <c r="H1735" s="28" t="s">
        <v>384</v>
      </c>
      <c r="I1735" s="28">
        <v>4</v>
      </c>
      <c r="J1735" s="30">
        <v>6.9000000000000006E-2</v>
      </c>
      <c r="K1735" s="28" t="s">
        <v>214</v>
      </c>
      <c r="L1735" s="31">
        <v>43466</v>
      </c>
      <c r="M1735" s="28">
        <v>1</v>
      </c>
      <c r="N1735" s="32" t="s">
        <v>176</v>
      </c>
      <c r="O1735" s="28" t="s">
        <v>204</v>
      </c>
      <c r="P1735" s="28" t="s">
        <v>4242</v>
      </c>
      <c r="Q1735" s="28" t="s">
        <v>4243</v>
      </c>
      <c r="R1735" s="28" t="s">
        <v>4244</v>
      </c>
    </row>
    <row r="1736" spans="1:18" hidden="1">
      <c r="A1736" s="28">
        <v>2</v>
      </c>
      <c r="B1736" s="29" t="s">
        <v>240</v>
      </c>
      <c r="C1736" s="29" t="s">
        <v>241</v>
      </c>
      <c r="D1736" s="29" t="s">
        <v>509</v>
      </c>
      <c r="E1736" s="29" t="s">
        <v>172</v>
      </c>
      <c r="F1736" s="28" t="s">
        <v>3776</v>
      </c>
      <c r="G1736" s="28" t="s">
        <v>3776</v>
      </c>
      <c r="H1736" s="28" t="s">
        <v>384</v>
      </c>
      <c r="I1736" s="28">
        <v>4</v>
      </c>
      <c r="J1736" s="30">
        <v>6.9000000000000006E-2</v>
      </c>
      <c r="K1736" s="28" t="s">
        <v>232</v>
      </c>
      <c r="L1736" s="31">
        <v>42522</v>
      </c>
      <c r="M1736" s="28">
        <v>6</v>
      </c>
      <c r="N1736" s="32" t="s">
        <v>184</v>
      </c>
      <c r="O1736" s="28" t="s">
        <v>204</v>
      </c>
      <c r="P1736" s="28" t="s">
        <v>4245</v>
      </c>
      <c r="Q1736" s="28" t="s">
        <v>4246</v>
      </c>
      <c r="R1736" s="28" t="s">
        <v>4247</v>
      </c>
    </row>
    <row r="1737" spans="1:18" hidden="1">
      <c r="A1737" s="28">
        <v>2</v>
      </c>
      <c r="B1737" s="29" t="s">
        <v>240</v>
      </c>
      <c r="C1737" s="29" t="s">
        <v>241</v>
      </c>
      <c r="D1737" s="29" t="s">
        <v>509</v>
      </c>
      <c r="E1737" s="29" t="s">
        <v>172</v>
      </c>
      <c r="F1737" s="28" t="s">
        <v>3776</v>
      </c>
      <c r="G1737" s="28" t="s">
        <v>3776</v>
      </c>
      <c r="H1737" s="28" t="s">
        <v>384</v>
      </c>
      <c r="I1737" s="28">
        <v>4</v>
      </c>
      <c r="J1737" s="30">
        <v>6.9000000000000006E-2</v>
      </c>
      <c r="K1737" s="28" t="s">
        <v>4248</v>
      </c>
      <c r="L1737" s="31">
        <v>42583</v>
      </c>
      <c r="M1737" s="28">
        <v>8</v>
      </c>
      <c r="N1737" s="32" t="s">
        <v>184</v>
      </c>
      <c r="O1737" s="28" t="s">
        <v>204</v>
      </c>
      <c r="P1737" s="28" t="s">
        <v>4249</v>
      </c>
      <c r="Q1737" s="28" t="s">
        <v>4246</v>
      </c>
      <c r="R1737" s="28" t="s">
        <v>4247</v>
      </c>
    </row>
    <row r="1738" spans="1:18" hidden="1">
      <c r="A1738" s="28">
        <v>2</v>
      </c>
      <c r="B1738" s="29" t="s">
        <v>240</v>
      </c>
      <c r="C1738" s="29" t="s">
        <v>241</v>
      </c>
      <c r="D1738" s="29" t="s">
        <v>509</v>
      </c>
      <c r="E1738" s="29" t="s">
        <v>172</v>
      </c>
      <c r="F1738" s="28" t="s">
        <v>3776</v>
      </c>
      <c r="G1738" s="28" t="s">
        <v>3776</v>
      </c>
      <c r="H1738" s="28" t="s">
        <v>384</v>
      </c>
      <c r="I1738" s="28">
        <v>4</v>
      </c>
      <c r="J1738" s="30">
        <v>6.9000000000000006E-2</v>
      </c>
      <c r="K1738" s="28" t="s">
        <v>651</v>
      </c>
      <c r="L1738" s="31">
        <v>42644</v>
      </c>
      <c r="M1738" s="28">
        <v>10</v>
      </c>
      <c r="N1738" s="32" t="s">
        <v>191</v>
      </c>
      <c r="O1738" s="28" t="s">
        <v>204</v>
      </c>
      <c r="P1738" s="28" t="s">
        <v>4250</v>
      </c>
      <c r="Q1738" s="28" t="s">
        <v>4251</v>
      </c>
      <c r="R1738" s="28" t="s">
        <v>4252</v>
      </c>
    </row>
    <row r="1739" spans="1:18" hidden="1">
      <c r="A1739" s="28">
        <v>2</v>
      </c>
      <c r="B1739" s="29" t="s">
        <v>240</v>
      </c>
      <c r="C1739" s="29" t="s">
        <v>241</v>
      </c>
      <c r="D1739" s="29" t="s">
        <v>509</v>
      </c>
      <c r="E1739" s="29" t="s">
        <v>172</v>
      </c>
      <c r="F1739" s="28" t="s">
        <v>3776</v>
      </c>
      <c r="G1739" s="28" t="s">
        <v>3776</v>
      </c>
      <c r="H1739" s="28" t="s">
        <v>384</v>
      </c>
      <c r="I1739" s="28">
        <v>4</v>
      </c>
      <c r="J1739" s="30">
        <v>6.9000000000000006E-2</v>
      </c>
      <c r="K1739" s="28" t="s">
        <v>236</v>
      </c>
      <c r="L1739" s="31">
        <v>43617</v>
      </c>
      <c r="M1739" s="28">
        <v>6</v>
      </c>
      <c r="N1739" s="32" t="s">
        <v>184</v>
      </c>
      <c r="O1739" s="28" t="s">
        <v>204</v>
      </c>
      <c r="P1739" s="28" t="s">
        <v>4253</v>
      </c>
      <c r="Q1739" s="28" t="s">
        <v>4254</v>
      </c>
      <c r="R1739" s="28" t="s">
        <v>4255</v>
      </c>
    </row>
    <row r="1740" spans="1:18" hidden="1">
      <c r="A1740" s="28">
        <v>2</v>
      </c>
      <c r="B1740" s="29" t="s">
        <v>240</v>
      </c>
      <c r="C1740" s="29" t="s">
        <v>241</v>
      </c>
      <c r="D1740" s="29" t="s">
        <v>509</v>
      </c>
      <c r="E1740" s="29" t="s">
        <v>172</v>
      </c>
      <c r="F1740" s="28" t="s">
        <v>3776</v>
      </c>
      <c r="G1740" s="28" t="s">
        <v>3776</v>
      </c>
      <c r="H1740" s="28" t="s">
        <v>384</v>
      </c>
      <c r="I1740" s="28">
        <v>4</v>
      </c>
      <c r="J1740" s="30">
        <v>6.9000000000000006E-2</v>
      </c>
      <c r="K1740" s="28" t="s">
        <v>442</v>
      </c>
      <c r="L1740" s="31">
        <v>43647</v>
      </c>
      <c r="M1740" s="28">
        <v>7</v>
      </c>
      <c r="N1740" s="32" t="s">
        <v>184</v>
      </c>
      <c r="O1740" s="28" t="s">
        <v>204</v>
      </c>
      <c r="P1740" s="28" t="s">
        <v>4256</v>
      </c>
      <c r="Q1740" s="28" t="s">
        <v>4257</v>
      </c>
      <c r="R1740" s="28" t="s">
        <v>4258</v>
      </c>
    </row>
    <row r="1741" spans="1:18" hidden="1">
      <c r="A1741" s="28">
        <v>2</v>
      </c>
      <c r="B1741" s="29" t="s">
        <v>240</v>
      </c>
      <c r="C1741" s="29" t="s">
        <v>241</v>
      </c>
      <c r="D1741" s="29" t="s">
        <v>509</v>
      </c>
      <c r="E1741" s="29" t="s">
        <v>172</v>
      </c>
      <c r="F1741" s="28" t="s">
        <v>3776</v>
      </c>
      <c r="G1741" s="28" t="s">
        <v>4259</v>
      </c>
      <c r="H1741" s="28" t="s">
        <v>384</v>
      </c>
      <c r="I1741" s="28">
        <v>4</v>
      </c>
      <c r="J1741" s="30">
        <v>6.9000000000000006E-2</v>
      </c>
      <c r="K1741" s="28" t="s">
        <v>683</v>
      </c>
      <c r="L1741" s="31">
        <v>43831</v>
      </c>
      <c r="M1741" s="28">
        <v>1</v>
      </c>
      <c r="N1741" s="32" t="s">
        <v>176</v>
      </c>
      <c r="O1741" s="28" t="s">
        <v>204</v>
      </c>
      <c r="P1741" s="28" t="s">
        <v>4260</v>
      </c>
      <c r="Q1741" s="28" t="s">
        <v>4261</v>
      </c>
      <c r="R1741" s="28" t="s">
        <v>4262</v>
      </c>
    </row>
    <row r="1742" spans="1:18" hidden="1">
      <c r="A1742" s="28">
        <v>2</v>
      </c>
      <c r="B1742" s="29" t="s">
        <v>240</v>
      </c>
      <c r="C1742" s="29" t="s">
        <v>241</v>
      </c>
      <c r="D1742" s="29" t="s">
        <v>509</v>
      </c>
      <c r="E1742" s="29" t="s">
        <v>172</v>
      </c>
      <c r="F1742" s="28" t="s">
        <v>3776</v>
      </c>
      <c r="G1742" s="28" t="s">
        <v>3776</v>
      </c>
      <c r="H1742" s="28" t="s">
        <v>384</v>
      </c>
      <c r="I1742" s="28">
        <v>4</v>
      </c>
      <c r="J1742" s="30">
        <v>6.9000000000000006E-2</v>
      </c>
      <c r="K1742" s="28" t="s">
        <v>341</v>
      </c>
      <c r="L1742" s="31">
        <v>44228</v>
      </c>
      <c r="M1742" s="28">
        <v>2</v>
      </c>
      <c r="N1742" s="32" t="s">
        <v>176</v>
      </c>
      <c r="O1742" s="28" t="s">
        <v>204</v>
      </c>
      <c r="P1742" s="28" t="s">
        <v>4263</v>
      </c>
      <c r="Q1742" s="28" t="s">
        <v>4246</v>
      </c>
      <c r="R1742" s="28" t="s">
        <v>4247</v>
      </c>
    </row>
    <row r="1743" spans="1:18" hidden="1">
      <c r="A1743" s="28">
        <v>2</v>
      </c>
      <c r="B1743" s="29" t="s">
        <v>240</v>
      </c>
      <c r="C1743" s="29" t="s">
        <v>241</v>
      </c>
      <c r="D1743" s="29" t="s">
        <v>509</v>
      </c>
      <c r="E1743" s="29" t="s">
        <v>172</v>
      </c>
      <c r="F1743" s="28" t="s">
        <v>3776</v>
      </c>
      <c r="G1743" s="28" t="s">
        <v>3776</v>
      </c>
      <c r="H1743" s="28" t="s">
        <v>384</v>
      </c>
      <c r="I1743" s="28">
        <v>4</v>
      </c>
      <c r="J1743" s="30">
        <v>6.9000000000000006E-2</v>
      </c>
      <c r="K1743" s="28" t="s">
        <v>554</v>
      </c>
      <c r="L1743" s="31">
        <v>44317</v>
      </c>
      <c r="M1743" s="28">
        <v>5</v>
      </c>
      <c r="N1743" s="32" t="s">
        <v>191</v>
      </c>
      <c r="O1743" s="28" t="s">
        <v>204</v>
      </c>
      <c r="P1743" s="28" t="s">
        <v>4264</v>
      </c>
      <c r="Q1743" s="28" t="s">
        <v>4246</v>
      </c>
      <c r="R1743" s="28" t="s">
        <v>4247</v>
      </c>
    </row>
    <row r="1744" spans="1:18" hidden="1">
      <c r="A1744" s="28">
        <v>2</v>
      </c>
      <c r="B1744" s="29" t="s">
        <v>240</v>
      </c>
      <c r="C1744" s="29" t="s">
        <v>241</v>
      </c>
      <c r="D1744" s="29" t="s">
        <v>509</v>
      </c>
      <c r="E1744" s="29" t="s">
        <v>172</v>
      </c>
      <c r="F1744" s="28" t="s">
        <v>3776</v>
      </c>
      <c r="G1744" s="28" t="s">
        <v>3776</v>
      </c>
      <c r="H1744" s="28" t="s">
        <v>384</v>
      </c>
      <c r="I1744" s="28">
        <v>4</v>
      </c>
      <c r="J1744" s="30">
        <v>6.9000000000000006E-2</v>
      </c>
      <c r="K1744" s="28" t="s">
        <v>554</v>
      </c>
      <c r="L1744" s="31">
        <v>44317</v>
      </c>
      <c r="M1744" s="28">
        <v>5</v>
      </c>
      <c r="N1744" s="32" t="s">
        <v>191</v>
      </c>
      <c r="O1744" s="28" t="s">
        <v>204</v>
      </c>
      <c r="P1744" s="28" t="s">
        <v>4265</v>
      </c>
      <c r="Q1744" s="28" t="s">
        <v>4246</v>
      </c>
      <c r="R1744" s="28" t="s">
        <v>4247</v>
      </c>
    </row>
    <row r="1745" spans="1:18" hidden="1">
      <c r="A1745" s="28">
        <v>2</v>
      </c>
      <c r="B1745" s="29" t="s">
        <v>240</v>
      </c>
      <c r="C1745" s="29" t="s">
        <v>241</v>
      </c>
      <c r="D1745" s="29" t="s">
        <v>252</v>
      </c>
      <c r="E1745" s="29" t="s">
        <v>172</v>
      </c>
      <c r="F1745" s="28" t="s">
        <v>3776</v>
      </c>
      <c r="G1745" s="28" t="s">
        <v>3776</v>
      </c>
      <c r="H1745" s="28" t="s">
        <v>384</v>
      </c>
      <c r="I1745" s="28">
        <v>4</v>
      </c>
      <c r="J1745" s="30">
        <v>6.9000000000000006E-2</v>
      </c>
      <c r="K1745" s="28" t="s">
        <v>335</v>
      </c>
      <c r="L1745" s="31">
        <v>42614</v>
      </c>
      <c r="M1745" s="28">
        <v>9</v>
      </c>
      <c r="N1745" s="32" t="s">
        <v>191</v>
      </c>
      <c r="O1745" s="28" t="s">
        <v>204</v>
      </c>
      <c r="P1745" s="28" t="s">
        <v>4266</v>
      </c>
      <c r="Q1745" s="28" t="s">
        <v>4267</v>
      </c>
      <c r="R1745" s="28" t="s">
        <v>4247</v>
      </c>
    </row>
    <row r="1746" spans="1:18" hidden="1">
      <c r="A1746" s="28">
        <v>2</v>
      </c>
      <c r="B1746" s="29" t="s">
        <v>240</v>
      </c>
      <c r="C1746" s="29" t="s">
        <v>241</v>
      </c>
      <c r="D1746" s="29" t="s">
        <v>252</v>
      </c>
      <c r="E1746" s="29" t="s">
        <v>172</v>
      </c>
      <c r="F1746" s="28" t="s">
        <v>3776</v>
      </c>
      <c r="G1746" s="28" t="s">
        <v>3776</v>
      </c>
      <c r="H1746" s="28" t="s">
        <v>384</v>
      </c>
      <c r="I1746" s="28">
        <v>4</v>
      </c>
      <c r="J1746" s="30">
        <v>6.9000000000000006E-2</v>
      </c>
      <c r="K1746" s="28" t="s">
        <v>335</v>
      </c>
      <c r="L1746" s="31">
        <v>42614</v>
      </c>
      <c r="M1746" s="28">
        <v>9</v>
      </c>
      <c r="N1746" s="32" t="s">
        <v>191</v>
      </c>
      <c r="O1746" s="28" t="s">
        <v>204</v>
      </c>
      <c r="P1746" s="28" t="s">
        <v>4268</v>
      </c>
      <c r="Q1746" s="28" t="s">
        <v>4267</v>
      </c>
      <c r="R1746" s="28" t="s">
        <v>4247</v>
      </c>
    </row>
    <row r="1747" spans="1:18" hidden="1">
      <c r="A1747" s="28">
        <v>2</v>
      </c>
      <c r="B1747" s="29" t="s">
        <v>240</v>
      </c>
      <c r="C1747" s="29" t="s">
        <v>241</v>
      </c>
      <c r="D1747" s="29" t="s">
        <v>252</v>
      </c>
      <c r="E1747" s="29" t="s">
        <v>172</v>
      </c>
      <c r="F1747" s="28" t="s">
        <v>3776</v>
      </c>
      <c r="G1747" s="28" t="s">
        <v>3776</v>
      </c>
      <c r="H1747" s="28" t="s">
        <v>384</v>
      </c>
      <c r="I1747" s="28">
        <v>4</v>
      </c>
      <c r="J1747" s="30">
        <v>6.9000000000000006E-2</v>
      </c>
      <c r="K1747" s="28" t="s">
        <v>401</v>
      </c>
      <c r="L1747" s="31">
        <v>42705</v>
      </c>
      <c r="M1747" s="28">
        <v>12</v>
      </c>
      <c r="N1747" s="32" t="s">
        <v>176</v>
      </c>
      <c r="O1747" s="28" t="s">
        <v>204</v>
      </c>
      <c r="P1747" s="28" t="s">
        <v>4269</v>
      </c>
      <c r="Q1747" s="28" t="s">
        <v>4270</v>
      </c>
      <c r="R1747" s="28" t="s">
        <v>4271</v>
      </c>
    </row>
    <row r="1748" spans="1:18" hidden="1">
      <c r="A1748" s="28">
        <v>2</v>
      </c>
      <c r="B1748" s="29" t="s">
        <v>240</v>
      </c>
      <c r="C1748" s="29" t="s">
        <v>241</v>
      </c>
      <c r="D1748" s="29" t="s">
        <v>252</v>
      </c>
      <c r="E1748" s="29" t="s">
        <v>172</v>
      </c>
      <c r="F1748" s="28" t="s">
        <v>3776</v>
      </c>
      <c r="G1748" s="28" t="s">
        <v>3776</v>
      </c>
      <c r="H1748" s="28" t="s">
        <v>384</v>
      </c>
      <c r="I1748" s="28">
        <v>4</v>
      </c>
      <c r="J1748" s="30">
        <v>6.9000000000000006E-2</v>
      </c>
      <c r="K1748" s="28" t="s">
        <v>1136</v>
      </c>
      <c r="L1748" s="31">
        <v>43497</v>
      </c>
      <c r="M1748" s="28">
        <v>2</v>
      </c>
      <c r="N1748" s="32" t="s">
        <v>176</v>
      </c>
      <c r="O1748" s="28" t="s">
        <v>204</v>
      </c>
      <c r="P1748" s="28" t="s">
        <v>4272</v>
      </c>
      <c r="Q1748" s="28" t="s">
        <v>4267</v>
      </c>
      <c r="R1748" s="28" t="s">
        <v>4247</v>
      </c>
    </row>
    <row r="1749" spans="1:18" hidden="1">
      <c r="A1749" s="28">
        <v>2</v>
      </c>
      <c r="B1749" s="29" t="s">
        <v>240</v>
      </c>
      <c r="C1749" s="29" t="s">
        <v>241</v>
      </c>
      <c r="D1749" s="29" t="s">
        <v>252</v>
      </c>
      <c r="E1749" s="29" t="s">
        <v>172</v>
      </c>
      <c r="F1749" s="28" t="s">
        <v>3776</v>
      </c>
      <c r="G1749" s="28" t="s">
        <v>3776</v>
      </c>
      <c r="H1749" s="28" t="s">
        <v>384</v>
      </c>
      <c r="I1749" s="28">
        <v>4</v>
      </c>
      <c r="J1749" s="30">
        <v>6.9000000000000006E-2</v>
      </c>
      <c r="K1749" s="28" t="s">
        <v>218</v>
      </c>
      <c r="L1749" s="31">
        <v>44044</v>
      </c>
      <c r="M1749" s="28">
        <v>8</v>
      </c>
      <c r="N1749" s="32" t="s">
        <v>184</v>
      </c>
      <c r="O1749" s="28" t="s">
        <v>204</v>
      </c>
      <c r="P1749" s="28" t="s">
        <v>4273</v>
      </c>
      <c r="Q1749" s="28" t="s">
        <v>4274</v>
      </c>
      <c r="R1749" s="28" t="s">
        <v>4275</v>
      </c>
    </row>
    <row r="1750" spans="1:18" hidden="1">
      <c r="A1750" s="28">
        <v>2</v>
      </c>
      <c r="B1750" s="29" t="s">
        <v>240</v>
      </c>
      <c r="C1750" s="29" t="s">
        <v>241</v>
      </c>
      <c r="D1750" s="29" t="s">
        <v>256</v>
      </c>
      <c r="E1750" s="29" t="s">
        <v>172</v>
      </c>
      <c r="F1750" s="28" t="s">
        <v>3776</v>
      </c>
      <c r="G1750" s="28" t="s">
        <v>3776</v>
      </c>
      <c r="H1750" s="28" t="s">
        <v>384</v>
      </c>
      <c r="I1750" s="28">
        <v>4</v>
      </c>
      <c r="J1750" s="30">
        <v>6.9000000000000006E-2</v>
      </c>
      <c r="K1750" s="28" t="s">
        <v>267</v>
      </c>
      <c r="L1750" s="31">
        <v>42583</v>
      </c>
      <c r="M1750" s="28">
        <v>8</v>
      </c>
      <c r="N1750" s="32" t="s">
        <v>184</v>
      </c>
      <c r="O1750" s="28" t="s">
        <v>204</v>
      </c>
      <c r="P1750" s="28" t="s">
        <v>4276</v>
      </c>
      <c r="Q1750" s="28" t="s">
        <v>4277</v>
      </c>
      <c r="R1750" s="28" t="s">
        <v>4278</v>
      </c>
    </row>
    <row r="1751" spans="1:18" hidden="1">
      <c r="A1751" s="28">
        <v>2</v>
      </c>
      <c r="B1751" s="29" t="s">
        <v>240</v>
      </c>
      <c r="C1751" s="29" t="s">
        <v>915</v>
      </c>
      <c r="D1751" s="29" t="s">
        <v>4279</v>
      </c>
      <c r="E1751" s="29" t="s">
        <v>172</v>
      </c>
      <c r="F1751" s="28" t="s">
        <v>3776</v>
      </c>
      <c r="G1751" s="28" t="s">
        <v>3776</v>
      </c>
      <c r="H1751" s="28" t="s">
        <v>384</v>
      </c>
      <c r="I1751" s="28">
        <v>4</v>
      </c>
      <c r="J1751" s="30">
        <v>6.9000000000000006E-2</v>
      </c>
      <c r="K1751" s="28" t="s">
        <v>651</v>
      </c>
      <c r="L1751" s="31">
        <v>42644</v>
      </c>
      <c r="M1751" s="28">
        <v>10</v>
      </c>
      <c r="N1751" s="32" t="s">
        <v>191</v>
      </c>
      <c r="O1751" s="28" t="s">
        <v>204</v>
      </c>
      <c r="P1751" s="28" t="s">
        <v>4280</v>
      </c>
      <c r="Q1751" s="28" t="s">
        <v>4281</v>
      </c>
      <c r="R1751" s="28" t="s">
        <v>4282</v>
      </c>
    </row>
    <row r="1752" spans="1:18" hidden="1">
      <c r="A1752" s="28">
        <v>2</v>
      </c>
      <c r="B1752" s="29" t="s">
        <v>240</v>
      </c>
      <c r="C1752" s="29" t="s">
        <v>915</v>
      </c>
      <c r="D1752" s="29" t="s">
        <v>916</v>
      </c>
      <c r="E1752" s="29" t="s">
        <v>172</v>
      </c>
      <c r="F1752" s="28" t="s">
        <v>3776</v>
      </c>
      <c r="G1752" s="28" t="s">
        <v>4259</v>
      </c>
      <c r="H1752" s="28" t="s">
        <v>384</v>
      </c>
      <c r="I1752" s="28">
        <v>4</v>
      </c>
      <c r="J1752" s="30">
        <v>6.9000000000000006E-2</v>
      </c>
      <c r="K1752" s="28" t="s">
        <v>651</v>
      </c>
      <c r="L1752" s="31">
        <v>42644</v>
      </c>
      <c r="M1752" s="28">
        <v>10</v>
      </c>
      <c r="N1752" s="32" t="s">
        <v>191</v>
      </c>
      <c r="O1752" s="28" t="s">
        <v>204</v>
      </c>
      <c r="P1752" s="28" t="s">
        <v>4283</v>
      </c>
      <c r="Q1752" s="28" t="s">
        <v>4284</v>
      </c>
      <c r="R1752" s="28" t="s">
        <v>4285</v>
      </c>
    </row>
    <row r="1753" spans="1:18" hidden="1">
      <c r="A1753" s="28">
        <v>2</v>
      </c>
      <c r="B1753" s="29" t="s">
        <v>240</v>
      </c>
      <c r="C1753" s="29" t="s">
        <v>915</v>
      </c>
      <c r="D1753" s="29" t="s">
        <v>916</v>
      </c>
      <c r="E1753" s="29" t="s">
        <v>172</v>
      </c>
      <c r="F1753" s="28" t="s">
        <v>3776</v>
      </c>
      <c r="G1753" s="28" t="s">
        <v>4259</v>
      </c>
      <c r="H1753" s="28" t="s">
        <v>384</v>
      </c>
      <c r="I1753" s="28">
        <v>4</v>
      </c>
      <c r="J1753" s="30">
        <v>6.9000000000000006E-2</v>
      </c>
      <c r="K1753" s="28" t="s">
        <v>460</v>
      </c>
      <c r="L1753" s="31">
        <v>42675</v>
      </c>
      <c r="M1753" s="28">
        <v>11</v>
      </c>
      <c r="N1753" s="32" t="s">
        <v>191</v>
      </c>
      <c r="O1753" s="28" t="s">
        <v>204</v>
      </c>
      <c r="P1753" s="28" t="s">
        <v>4286</v>
      </c>
      <c r="Q1753" s="28" t="s">
        <v>4287</v>
      </c>
      <c r="R1753" s="28" t="s">
        <v>4288</v>
      </c>
    </row>
    <row r="1754" spans="1:18" hidden="1">
      <c r="A1754" s="28">
        <v>2</v>
      </c>
      <c r="B1754" s="29" t="s">
        <v>240</v>
      </c>
      <c r="C1754" s="29" t="s">
        <v>915</v>
      </c>
      <c r="D1754" s="29" t="s">
        <v>916</v>
      </c>
      <c r="E1754" s="29" t="s">
        <v>172</v>
      </c>
      <c r="F1754" s="28" t="s">
        <v>3776</v>
      </c>
      <c r="G1754" s="28" t="s">
        <v>4259</v>
      </c>
      <c r="H1754" s="28" t="s">
        <v>384</v>
      </c>
      <c r="I1754" s="28">
        <v>4</v>
      </c>
      <c r="J1754" s="30">
        <v>6.9000000000000006E-2</v>
      </c>
      <c r="K1754" s="28" t="s">
        <v>401</v>
      </c>
      <c r="L1754" s="31">
        <v>42705</v>
      </c>
      <c r="M1754" s="28">
        <v>12</v>
      </c>
      <c r="N1754" s="32" t="s">
        <v>176</v>
      </c>
      <c r="O1754" s="28" t="s">
        <v>204</v>
      </c>
      <c r="P1754" s="28" t="s">
        <v>4289</v>
      </c>
      <c r="Q1754" s="28" t="s">
        <v>4290</v>
      </c>
      <c r="R1754" s="28" t="s">
        <v>4291</v>
      </c>
    </row>
    <row r="1755" spans="1:18" hidden="1">
      <c r="A1755" s="28">
        <v>2</v>
      </c>
      <c r="B1755" s="29" t="s">
        <v>240</v>
      </c>
      <c r="C1755" s="29" t="s">
        <v>915</v>
      </c>
      <c r="D1755" s="29" t="s">
        <v>916</v>
      </c>
      <c r="E1755" s="29" t="s">
        <v>172</v>
      </c>
      <c r="F1755" s="28" t="s">
        <v>3776</v>
      </c>
      <c r="G1755" s="28" t="s">
        <v>4259</v>
      </c>
      <c r="H1755" s="28" t="s">
        <v>384</v>
      </c>
      <c r="I1755" s="28">
        <v>4</v>
      </c>
      <c r="J1755" s="30">
        <v>6.9000000000000006E-2</v>
      </c>
      <c r="K1755" s="28" t="s">
        <v>464</v>
      </c>
      <c r="L1755" s="31">
        <v>42887</v>
      </c>
      <c r="M1755" s="28">
        <v>6</v>
      </c>
      <c r="N1755" s="32" t="s">
        <v>184</v>
      </c>
      <c r="O1755" s="28" t="s">
        <v>204</v>
      </c>
      <c r="P1755" s="28" t="s">
        <v>4292</v>
      </c>
      <c r="Q1755" s="28" t="s">
        <v>4287</v>
      </c>
      <c r="R1755" s="28" t="s">
        <v>4288</v>
      </c>
    </row>
    <row r="1756" spans="1:18" hidden="1">
      <c r="A1756" s="28">
        <v>2</v>
      </c>
      <c r="B1756" s="29" t="s">
        <v>240</v>
      </c>
      <c r="C1756" s="29" t="s">
        <v>915</v>
      </c>
      <c r="D1756" s="29" t="s">
        <v>4293</v>
      </c>
      <c r="E1756" s="29" t="s">
        <v>172</v>
      </c>
      <c r="F1756" s="28" t="s">
        <v>3776</v>
      </c>
      <c r="G1756" s="28" t="s">
        <v>4259</v>
      </c>
      <c r="H1756" s="28" t="s">
        <v>384</v>
      </c>
      <c r="I1756" s="28">
        <v>4</v>
      </c>
      <c r="J1756" s="30">
        <v>6.9000000000000006E-2</v>
      </c>
      <c r="K1756" s="28" t="s">
        <v>267</v>
      </c>
      <c r="L1756" s="31">
        <v>42583</v>
      </c>
      <c r="M1756" s="28">
        <v>8</v>
      </c>
      <c r="N1756" s="32" t="s">
        <v>184</v>
      </c>
      <c r="O1756" s="28" t="s">
        <v>204</v>
      </c>
      <c r="P1756" s="28" t="s">
        <v>4294</v>
      </c>
      <c r="Q1756" s="28" t="s">
        <v>4295</v>
      </c>
      <c r="R1756" s="28" t="s">
        <v>4296</v>
      </c>
    </row>
    <row r="1757" spans="1:18" hidden="1">
      <c r="A1757" s="28">
        <v>2</v>
      </c>
      <c r="B1757" s="29" t="s">
        <v>240</v>
      </c>
      <c r="C1757" s="29" t="s">
        <v>915</v>
      </c>
      <c r="D1757" s="29" t="s">
        <v>4293</v>
      </c>
      <c r="E1757" s="29" t="s">
        <v>172</v>
      </c>
      <c r="F1757" s="28" t="s">
        <v>3776</v>
      </c>
      <c r="G1757" s="28" t="s">
        <v>4259</v>
      </c>
      <c r="H1757" s="28" t="s">
        <v>384</v>
      </c>
      <c r="I1757" s="28">
        <v>4</v>
      </c>
      <c r="J1757" s="30">
        <v>6.9000000000000006E-2</v>
      </c>
      <c r="K1757" s="28" t="s">
        <v>651</v>
      </c>
      <c r="L1757" s="31">
        <v>42644</v>
      </c>
      <c r="M1757" s="28">
        <v>10</v>
      </c>
      <c r="N1757" s="32" t="s">
        <v>191</v>
      </c>
      <c r="O1757" s="28" t="s">
        <v>204</v>
      </c>
      <c r="P1757" s="28" t="s">
        <v>4297</v>
      </c>
      <c r="Q1757" s="28" t="s">
        <v>4298</v>
      </c>
      <c r="R1757" s="28" t="s">
        <v>4299</v>
      </c>
    </row>
    <row r="1758" spans="1:18" hidden="1">
      <c r="A1758" s="28">
        <v>2</v>
      </c>
      <c r="B1758" s="29" t="s">
        <v>240</v>
      </c>
      <c r="C1758" s="29" t="s">
        <v>915</v>
      </c>
      <c r="D1758" s="29" t="s">
        <v>4293</v>
      </c>
      <c r="E1758" s="29" t="s">
        <v>172</v>
      </c>
      <c r="F1758" s="28" t="s">
        <v>3776</v>
      </c>
      <c r="G1758" s="28" t="s">
        <v>4259</v>
      </c>
      <c r="H1758" s="28" t="s">
        <v>384</v>
      </c>
      <c r="I1758" s="28">
        <v>4</v>
      </c>
      <c r="J1758" s="30">
        <v>6.9000000000000006E-2</v>
      </c>
      <c r="K1758" s="28" t="s">
        <v>460</v>
      </c>
      <c r="L1758" s="31">
        <v>42675</v>
      </c>
      <c r="M1758" s="28">
        <v>11</v>
      </c>
      <c r="N1758" s="32" t="s">
        <v>191</v>
      </c>
      <c r="O1758" s="28" t="s">
        <v>204</v>
      </c>
      <c r="P1758" s="28" t="s">
        <v>4300</v>
      </c>
      <c r="Q1758" s="28" t="s">
        <v>4301</v>
      </c>
      <c r="R1758" s="28" t="s">
        <v>4302</v>
      </c>
    </row>
    <row r="1759" spans="1:18" hidden="1">
      <c r="A1759" s="28">
        <v>2</v>
      </c>
      <c r="B1759" s="29" t="s">
        <v>240</v>
      </c>
      <c r="C1759" s="29" t="s">
        <v>915</v>
      </c>
      <c r="D1759" s="29" t="s">
        <v>4293</v>
      </c>
      <c r="E1759" s="29" t="s">
        <v>172</v>
      </c>
      <c r="F1759" s="28" t="s">
        <v>3776</v>
      </c>
      <c r="G1759" s="28" t="s">
        <v>3776</v>
      </c>
      <c r="H1759" s="28" t="s">
        <v>384</v>
      </c>
      <c r="I1759" s="28">
        <v>4</v>
      </c>
      <c r="J1759" s="30">
        <v>6.9000000000000006E-2</v>
      </c>
      <c r="K1759" s="28" t="s">
        <v>587</v>
      </c>
      <c r="L1759" s="31">
        <v>42736</v>
      </c>
      <c r="M1759" s="28">
        <v>1</v>
      </c>
      <c r="N1759" s="32" t="s">
        <v>176</v>
      </c>
      <c r="O1759" s="28" t="s">
        <v>204</v>
      </c>
      <c r="P1759" s="28" t="s">
        <v>4303</v>
      </c>
      <c r="Q1759" s="28" t="s">
        <v>4304</v>
      </c>
      <c r="R1759" s="28" t="s">
        <v>4305</v>
      </c>
    </row>
    <row r="1760" spans="1:18" hidden="1">
      <c r="A1760" s="28">
        <v>2</v>
      </c>
      <c r="B1760" s="29" t="s">
        <v>240</v>
      </c>
      <c r="C1760" s="29" t="s">
        <v>915</v>
      </c>
      <c r="D1760" s="29" t="s">
        <v>4293</v>
      </c>
      <c r="E1760" s="29" t="s">
        <v>172</v>
      </c>
      <c r="F1760" s="28" t="s">
        <v>3776</v>
      </c>
      <c r="G1760" s="28" t="s">
        <v>4259</v>
      </c>
      <c r="H1760" s="28" t="s">
        <v>384</v>
      </c>
      <c r="I1760" s="28">
        <v>4</v>
      </c>
      <c r="J1760" s="30">
        <v>6.9000000000000006E-2</v>
      </c>
      <c r="K1760" s="28" t="s">
        <v>435</v>
      </c>
      <c r="L1760" s="31">
        <v>43040</v>
      </c>
      <c r="M1760" s="28">
        <v>11</v>
      </c>
      <c r="N1760" s="32" t="s">
        <v>191</v>
      </c>
      <c r="O1760" s="28" t="s">
        <v>204</v>
      </c>
      <c r="P1760" s="28" t="s">
        <v>4306</v>
      </c>
      <c r="Q1760" s="28" t="s">
        <v>4295</v>
      </c>
      <c r="R1760" s="28" t="s">
        <v>4296</v>
      </c>
    </row>
    <row r="1761" spans="1:18" hidden="1">
      <c r="A1761" s="28">
        <v>2</v>
      </c>
      <c r="B1761" s="29" t="s">
        <v>240</v>
      </c>
      <c r="C1761" s="29" t="s">
        <v>261</v>
      </c>
      <c r="D1761" s="29" t="s">
        <v>262</v>
      </c>
      <c r="E1761" s="29" t="s">
        <v>172</v>
      </c>
      <c r="F1761" s="28" t="s">
        <v>3776</v>
      </c>
      <c r="G1761" s="28" t="s">
        <v>3776</v>
      </c>
      <c r="H1761" s="28" t="s">
        <v>384</v>
      </c>
      <c r="I1761" s="28">
        <v>4</v>
      </c>
      <c r="J1761" s="30">
        <v>6.9000000000000006E-2</v>
      </c>
      <c r="K1761" s="28" t="s">
        <v>460</v>
      </c>
      <c r="L1761" s="31">
        <v>42675</v>
      </c>
      <c r="M1761" s="28">
        <v>11</v>
      </c>
      <c r="N1761" s="32" t="s">
        <v>191</v>
      </c>
      <c r="O1761" s="28" t="s">
        <v>204</v>
      </c>
      <c r="P1761" s="28" t="s">
        <v>4307</v>
      </c>
      <c r="Q1761" s="28" t="s">
        <v>4308</v>
      </c>
      <c r="R1761" s="28" t="s">
        <v>4309</v>
      </c>
    </row>
    <row r="1762" spans="1:18" hidden="1">
      <c r="A1762" s="28">
        <v>2</v>
      </c>
      <c r="B1762" s="29" t="s">
        <v>240</v>
      </c>
      <c r="C1762" s="29" t="s">
        <v>261</v>
      </c>
      <c r="D1762" s="29" t="s">
        <v>262</v>
      </c>
      <c r="E1762" s="29" t="s">
        <v>172</v>
      </c>
      <c r="F1762" s="28" t="s">
        <v>3776</v>
      </c>
      <c r="G1762" s="28" t="s">
        <v>3776</v>
      </c>
      <c r="H1762" s="28" t="s">
        <v>384</v>
      </c>
      <c r="I1762" s="28">
        <v>4</v>
      </c>
      <c r="J1762" s="30">
        <v>6.9000000000000006E-2</v>
      </c>
      <c r="K1762" s="28" t="s">
        <v>554</v>
      </c>
      <c r="L1762" s="31">
        <v>44317</v>
      </c>
      <c r="M1762" s="28">
        <v>5</v>
      </c>
      <c r="N1762" s="32" t="s">
        <v>191</v>
      </c>
      <c r="O1762" s="28" t="s">
        <v>204</v>
      </c>
      <c r="P1762" s="28" t="s">
        <v>4310</v>
      </c>
      <c r="Q1762" s="28" t="s">
        <v>4308</v>
      </c>
      <c r="R1762" s="28" t="s">
        <v>4309</v>
      </c>
    </row>
    <row r="1763" spans="1:18" hidden="1">
      <c r="A1763" s="28">
        <v>2</v>
      </c>
      <c r="B1763" s="29" t="s">
        <v>240</v>
      </c>
      <c r="C1763" s="29" t="s">
        <v>261</v>
      </c>
      <c r="D1763" s="29" t="s">
        <v>532</v>
      </c>
      <c r="E1763" s="29" t="s">
        <v>172</v>
      </c>
      <c r="F1763" s="28" t="s">
        <v>3776</v>
      </c>
      <c r="G1763" s="28" t="s">
        <v>3776</v>
      </c>
      <c r="H1763" s="28" t="s">
        <v>384</v>
      </c>
      <c r="I1763" s="28">
        <v>4</v>
      </c>
      <c r="J1763" s="30">
        <v>6.9000000000000006E-2</v>
      </c>
      <c r="K1763" s="28" t="s">
        <v>243</v>
      </c>
      <c r="L1763" s="31">
        <v>42461</v>
      </c>
      <c r="M1763" s="28">
        <v>4</v>
      </c>
      <c r="N1763" s="32" t="s">
        <v>191</v>
      </c>
      <c r="O1763" s="28" t="s">
        <v>204</v>
      </c>
      <c r="P1763" s="28" t="s">
        <v>4311</v>
      </c>
      <c r="Q1763" s="28" t="s">
        <v>4312</v>
      </c>
      <c r="R1763" s="28" t="s">
        <v>4313</v>
      </c>
    </row>
    <row r="1764" spans="1:18" hidden="1">
      <c r="A1764" s="28">
        <v>2</v>
      </c>
      <c r="B1764" s="29" t="s">
        <v>240</v>
      </c>
      <c r="C1764" s="29" t="s">
        <v>261</v>
      </c>
      <c r="D1764" s="29" t="s">
        <v>532</v>
      </c>
      <c r="E1764" s="29" t="s">
        <v>172</v>
      </c>
      <c r="F1764" s="28" t="s">
        <v>3776</v>
      </c>
      <c r="G1764" s="28" t="s">
        <v>3776</v>
      </c>
      <c r="H1764" s="28" t="s">
        <v>384</v>
      </c>
      <c r="I1764" s="28">
        <v>4</v>
      </c>
      <c r="J1764" s="30">
        <v>6.9000000000000006E-2</v>
      </c>
      <c r="K1764" s="28" t="s">
        <v>198</v>
      </c>
      <c r="L1764" s="31">
        <v>42767</v>
      </c>
      <c r="M1764" s="28">
        <v>2</v>
      </c>
      <c r="N1764" s="32" t="s">
        <v>176</v>
      </c>
      <c r="O1764" s="28" t="s">
        <v>204</v>
      </c>
      <c r="P1764" s="28" t="s">
        <v>4314</v>
      </c>
      <c r="Q1764" s="28" t="s">
        <v>4315</v>
      </c>
      <c r="R1764" s="28" t="s">
        <v>4316</v>
      </c>
    </row>
    <row r="1765" spans="1:18" hidden="1">
      <c r="A1765" s="28">
        <v>2</v>
      </c>
      <c r="B1765" s="29" t="s">
        <v>240</v>
      </c>
      <c r="C1765" s="29" t="s">
        <v>261</v>
      </c>
      <c r="D1765" s="29" t="s">
        <v>532</v>
      </c>
      <c r="E1765" s="29" t="s">
        <v>172</v>
      </c>
      <c r="F1765" s="28" t="s">
        <v>3776</v>
      </c>
      <c r="G1765" s="28" t="s">
        <v>3776</v>
      </c>
      <c r="H1765" s="28" t="s">
        <v>384</v>
      </c>
      <c r="I1765" s="28">
        <v>4</v>
      </c>
      <c r="J1765" s="30">
        <v>6.9000000000000006E-2</v>
      </c>
      <c r="K1765" s="28" t="s">
        <v>293</v>
      </c>
      <c r="L1765" s="31">
        <v>43374</v>
      </c>
      <c r="M1765" s="28">
        <v>10</v>
      </c>
      <c r="N1765" s="32" t="s">
        <v>191</v>
      </c>
      <c r="O1765" s="28" t="s">
        <v>204</v>
      </c>
      <c r="P1765" s="28" t="s">
        <v>4317</v>
      </c>
      <c r="Q1765" s="28" t="s">
        <v>4318</v>
      </c>
      <c r="R1765" s="28" t="s">
        <v>266</v>
      </c>
    </row>
    <row r="1766" spans="1:18" hidden="1">
      <c r="A1766" s="28">
        <v>2</v>
      </c>
      <c r="B1766" s="29" t="s">
        <v>240</v>
      </c>
      <c r="C1766" s="29" t="s">
        <v>261</v>
      </c>
      <c r="D1766" s="29" t="s">
        <v>532</v>
      </c>
      <c r="E1766" s="29" t="s">
        <v>172</v>
      </c>
      <c r="F1766" s="28" t="s">
        <v>3776</v>
      </c>
      <c r="G1766" s="28" t="s">
        <v>3776</v>
      </c>
      <c r="H1766" s="28" t="s">
        <v>384</v>
      </c>
      <c r="I1766" s="28">
        <v>4</v>
      </c>
      <c r="J1766" s="30">
        <v>6.9000000000000006E-2</v>
      </c>
      <c r="K1766" s="28" t="s">
        <v>730</v>
      </c>
      <c r="L1766" s="31">
        <v>44166</v>
      </c>
      <c r="M1766" s="28">
        <v>12</v>
      </c>
      <c r="N1766" s="32" t="s">
        <v>176</v>
      </c>
      <c r="O1766" s="28" t="s">
        <v>204</v>
      </c>
      <c r="P1766" s="28" t="s">
        <v>4319</v>
      </c>
      <c r="Q1766" s="28" t="s">
        <v>4320</v>
      </c>
      <c r="R1766" s="28" t="s">
        <v>4321</v>
      </c>
    </row>
    <row r="1767" spans="1:18" hidden="1">
      <c r="A1767" s="28">
        <v>2</v>
      </c>
      <c r="B1767" s="29" t="s">
        <v>240</v>
      </c>
      <c r="C1767" s="29" t="s">
        <v>276</v>
      </c>
      <c r="D1767" s="29" t="s">
        <v>277</v>
      </c>
      <c r="E1767" s="29" t="s">
        <v>172</v>
      </c>
      <c r="F1767" s="28" t="s">
        <v>3776</v>
      </c>
      <c r="G1767" s="28" t="s">
        <v>4259</v>
      </c>
      <c r="H1767" s="28" t="s">
        <v>384</v>
      </c>
      <c r="I1767" s="28">
        <v>4</v>
      </c>
      <c r="J1767" s="30">
        <v>6.9000000000000006E-2</v>
      </c>
      <c r="K1767" s="28" t="s">
        <v>813</v>
      </c>
      <c r="L1767" s="31">
        <v>43009</v>
      </c>
      <c r="M1767" s="28">
        <v>10</v>
      </c>
      <c r="N1767" s="32" t="s">
        <v>191</v>
      </c>
      <c r="O1767" s="28" t="s">
        <v>204</v>
      </c>
      <c r="P1767" s="28" t="s">
        <v>4322</v>
      </c>
      <c r="Q1767" s="28" t="s">
        <v>4323</v>
      </c>
      <c r="R1767" s="28" t="s">
        <v>4324</v>
      </c>
    </row>
    <row r="1768" spans="1:18" hidden="1">
      <c r="A1768" s="28">
        <v>2</v>
      </c>
      <c r="B1768" s="29" t="s">
        <v>240</v>
      </c>
      <c r="C1768" s="29" t="s">
        <v>276</v>
      </c>
      <c r="D1768" s="29" t="s">
        <v>277</v>
      </c>
      <c r="E1768" s="29" t="s">
        <v>172</v>
      </c>
      <c r="F1768" s="28" t="s">
        <v>3776</v>
      </c>
      <c r="G1768" s="28" t="s">
        <v>3776</v>
      </c>
      <c r="H1768" s="28" t="s">
        <v>384</v>
      </c>
      <c r="I1768" s="28">
        <v>4</v>
      </c>
      <c r="J1768" s="30">
        <v>6.9000000000000006E-2</v>
      </c>
      <c r="K1768" s="28" t="s">
        <v>670</v>
      </c>
      <c r="L1768" s="31">
        <v>44501</v>
      </c>
      <c r="M1768" s="28">
        <v>11</v>
      </c>
      <c r="N1768" s="32" t="s">
        <v>191</v>
      </c>
      <c r="O1768" s="28" t="s">
        <v>204</v>
      </c>
      <c r="P1768" s="28" t="s">
        <v>4325</v>
      </c>
      <c r="Q1768" s="28" t="s">
        <v>4326</v>
      </c>
      <c r="R1768" s="28" t="s">
        <v>4327</v>
      </c>
    </row>
    <row r="1769" spans="1:18">
      <c r="A1769" s="28">
        <v>3</v>
      </c>
      <c r="B1769" s="29" t="s">
        <v>286</v>
      </c>
      <c r="C1769" s="29" t="s">
        <v>287</v>
      </c>
      <c r="D1769" s="29" t="s">
        <v>288</v>
      </c>
      <c r="E1769" s="29" t="s">
        <v>172</v>
      </c>
      <c r="F1769" s="28" t="s">
        <v>3776</v>
      </c>
      <c r="G1769" s="28" t="s">
        <v>4259</v>
      </c>
      <c r="H1769" s="28" t="s">
        <v>384</v>
      </c>
      <c r="I1769" s="28">
        <v>4</v>
      </c>
      <c r="J1769" s="30">
        <v>6.9000000000000006E-2</v>
      </c>
      <c r="K1769" s="28" t="s">
        <v>391</v>
      </c>
      <c r="L1769" s="31">
        <v>42370</v>
      </c>
      <c r="M1769" s="28">
        <v>1</v>
      </c>
      <c r="N1769" s="32" t="s">
        <v>176</v>
      </c>
      <c r="O1769" s="28" t="s">
        <v>204</v>
      </c>
      <c r="P1769" s="28" t="s">
        <v>4328</v>
      </c>
      <c r="Q1769" s="28" t="s">
        <v>4329</v>
      </c>
      <c r="R1769" s="28" t="s">
        <v>4330</v>
      </c>
    </row>
    <row r="1770" spans="1:18" hidden="1">
      <c r="A1770" s="28">
        <v>4</v>
      </c>
      <c r="B1770" s="29" t="s">
        <v>306</v>
      </c>
      <c r="C1770" s="29" t="s">
        <v>307</v>
      </c>
      <c r="D1770" s="29" t="s">
        <v>592</v>
      </c>
      <c r="E1770" s="29" t="s">
        <v>172</v>
      </c>
      <c r="F1770" s="28" t="s">
        <v>3776</v>
      </c>
      <c r="G1770" s="28" t="s">
        <v>3776</v>
      </c>
      <c r="H1770" s="28" t="s">
        <v>384</v>
      </c>
      <c r="I1770" s="28">
        <v>4</v>
      </c>
      <c r="J1770" s="30">
        <v>6.9000000000000006E-2</v>
      </c>
      <c r="K1770" s="28" t="s">
        <v>267</v>
      </c>
      <c r="L1770" s="31">
        <v>42583</v>
      </c>
      <c r="M1770" s="28">
        <v>8</v>
      </c>
      <c r="N1770" s="32" t="s">
        <v>184</v>
      </c>
      <c r="O1770" s="28" t="s">
        <v>204</v>
      </c>
      <c r="P1770" s="28" t="s">
        <v>4331</v>
      </c>
      <c r="Q1770" s="28" t="s">
        <v>4332</v>
      </c>
      <c r="R1770" s="28" t="s">
        <v>4333</v>
      </c>
    </row>
    <row r="1771" spans="1:18" hidden="1">
      <c r="A1771" s="28">
        <v>4</v>
      </c>
      <c r="B1771" s="29" t="s">
        <v>306</v>
      </c>
      <c r="C1771" s="29" t="s">
        <v>307</v>
      </c>
      <c r="D1771" s="29" t="s">
        <v>592</v>
      </c>
      <c r="E1771" s="29" t="s">
        <v>172</v>
      </c>
      <c r="F1771" s="28" t="s">
        <v>3776</v>
      </c>
      <c r="G1771" s="28" t="s">
        <v>4213</v>
      </c>
      <c r="H1771" s="28" t="s">
        <v>384</v>
      </c>
      <c r="I1771" s="28">
        <v>8</v>
      </c>
      <c r="J1771" s="30">
        <v>3.6999999999999998E-2</v>
      </c>
      <c r="K1771" s="28" t="s">
        <v>460</v>
      </c>
      <c r="L1771" s="31">
        <v>42675</v>
      </c>
      <c r="M1771" s="28">
        <v>11</v>
      </c>
      <c r="N1771" s="32" t="s">
        <v>191</v>
      </c>
      <c r="O1771" s="28" t="s">
        <v>204</v>
      </c>
      <c r="P1771" s="28" t="s">
        <v>4334</v>
      </c>
      <c r="Q1771" s="28" t="s">
        <v>4335</v>
      </c>
      <c r="R1771" s="28" t="s">
        <v>4336</v>
      </c>
    </row>
    <row r="1772" spans="1:18" hidden="1">
      <c r="A1772" s="28">
        <v>4</v>
      </c>
      <c r="B1772" s="29" t="s">
        <v>306</v>
      </c>
      <c r="C1772" s="29" t="s">
        <v>307</v>
      </c>
      <c r="D1772" s="29" t="s">
        <v>604</v>
      </c>
      <c r="E1772" s="29" t="s">
        <v>172</v>
      </c>
      <c r="F1772" s="28" t="s">
        <v>3776</v>
      </c>
      <c r="G1772" s="28" t="s">
        <v>3776</v>
      </c>
      <c r="H1772" s="28" t="s">
        <v>384</v>
      </c>
      <c r="I1772" s="28">
        <v>4</v>
      </c>
      <c r="J1772" s="30">
        <v>6.9000000000000006E-2</v>
      </c>
      <c r="K1772" s="28" t="s">
        <v>232</v>
      </c>
      <c r="L1772" s="31">
        <v>42522</v>
      </c>
      <c r="M1772" s="28">
        <v>6</v>
      </c>
      <c r="N1772" s="32" t="s">
        <v>184</v>
      </c>
      <c r="O1772" s="28" t="s">
        <v>204</v>
      </c>
      <c r="P1772" s="28" t="s">
        <v>4337</v>
      </c>
      <c r="Q1772" s="28" t="s">
        <v>4338</v>
      </c>
      <c r="R1772" s="28" t="s">
        <v>4339</v>
      </c>
    </row>
    <row r="1773" spans="1:18" hidden="1">
      <c r="A1773" s="28">
        <v>4</v>
      </c>
      <c r="B1773" s="29" t="s">
        <v>306</v>
      </c>
      <c r="C1773" s="29" t="s">
        <v>307</v>
      </c>
      <c r="D1773" s="29" t="s">
        <v>604</v>
      </c>
      <c r="E1773" s="29" t="s">
        <v>172</v>
      </c>
      <c r="F1773" s="28" t="s">
        <v>3776</v>
      </c>
      <c r="G1773" s="28" t="s">
        <v>3776</v>
      </c>
      <c r="H1773" s="28" t="s">
        <v>384</v>
      </c>
      <c r="I1773" s="28">
        <v>4</v>
      </c>
      <c r="J1773" s="30">
        <v>6.9000000000000006E-2</v>
      </c>
      <c r="K1773" s="28" t="s">
        <v>587</v>
      </c>
      <c r="L1773" s="31">
        <v>42736</v>
      </c>
      <c r="M1773" s="28">
        <v>1</v>
      </c>
      <c r="N1773" s="32" t="s">
        <v>176</v>
      </c>
      <c r="O1773" s="28" t="s">
        <v>204</v>
      </c>
      <c r="P1773" s="28" t="s">
        <v>4340</v>
      </c>
      <c r="Q1773" s="28" t="s">
        <v>4341</v>
      </c>
      <c r="R1773" s="28" t="s">
        <v>4339</v>
      </c>
    </row>
    <row r="1774" spans="1:18" hidden="1">
      <c r="A1774" s="28">
        <v>4</v>
      </c>
      <c r="B1774" s="29" t="s">
        <v>306</v>
      </c>
      <c r="C1774" s="29" t="s">
        <v>307</v>
      </c>
      <c r="D1774" s="29" t="s">
        <v>604</v>
      </c>
      <c r="E1774" s="29" t="s">
        <v>172</v>
      </c>
      <c r="F1774" s="28" t="s">
        <v>3776</v>
      </c>
      <c r="G1774" s="28" t="s">
        <v>3776</v>
      </c>
      <c r="H1774" s="28" t="s">
        <v>384</v>
      </c>
      <c r="I1774" s="28">
        <v>4</v>
      </c>
      <c r="J1774" s="30">
        <v>6.9000000000000006E-2</v>
      </c>
      <c r="K1774" s="28" t="s">
        <v>397</v>
      </c>
      <c r="L1774" s="31">
        <v>43739</v>
      </c>
      <c r="M1774" s="28">
        <v>10</v>
      </c>
      <c r="N1774" s="32" t="s">
        <v>191</v>
      </c>
      <c r="O1774" s="28" t="s">
        <v>204</v>
      </c>
      <c r="P1774" s="28" t="s">
        <v>4342</v>
      </c>
      <c r="Q1774" s="28" t="s">
        <v>4341</v>
      </c>
      <c r="R1774" s="28" t="s">
        <v>4339</v>
      </c>
    </row>
    <row r="1775" spans="1:18" hidden="1">
      <c r="A1775" s="28">
        <v>4</v>
      </c>
      <c r="B1775" s="29" t="s">
        <v>306</v>
      </c>
      <c r="C1775" s="29" t="s">
        <v>307</v>
      </c>
      <c r="D1775" s="29" t="s">
        <v>604</v>
      </c>
      <c r="E1775" s="29" t="s">
        <v>172</v>
      </c>
      <c r="F1775" s="28" t="s">
        <v>3776</v>
      </c>
      <c r="G1775" s="28" t="s">
        <v>3776</v>
      </c>
      <c r="H1775" s="28" t="s">
        <v>384</v>
      </c>
      <c r="I1775" s="28">
        <v>4</v>
      </c>
      <c r="J1775" s="30">
        <v>6.9000000000000006E-2</v>
      </c>
      <c r="K1775" s="28" t="s">
        <v>823</v>
      </c>
      <c r="L1775" s="31">
        <v>44136</v>
      </c>
      <c r="M1775" s="28">
        <v>11</v>
      </c>
      <c r="N1775" s="32" t="s">
        <v>191</v>
      </c>
      <c r="O1775" s="28" t="s">
        <v>204</v>
      </c>
      <c r="P1775" s="28" t="s">
        <v>4343</v>
      </c>
      <c r="Q1775" s="28" t="s">
        <v>4344</v>
      </c>
      <c r="R1775" s="28" t="s">
        <v>4345</v>
      </c>
    </row>
    <row r="1776" spans="1:18" hidden="1">
      <c r="A1776" s="28">
        <v>4</v>
      </c>
      <c r="B1776" s="29" t="s">
        <v>306</v>
      </c>
      <c r="C1776" s="29" t="s">
        <v>307</v>
      </c>
      <c r="D1776" s="29" t="s">
        <v>308</v>
      </c>
      <c r="E1776" s="29" t="s">
        <v>172</v>
      </c>
      <c r="F1776" s="28" t="s">
        <v>3776</v>
      </c>
      <c r="G1776" s="28" t="s">
        <v>3776</v>
      </c>
      <c r="H1776" s="28" t="s">
        <v>384</v>
      </c>
      <c r="I1776" s="28">
        <v>4</v>
      </c>
      <c r="J1776" s="30">
        <v>6.9000000000000006E-2</v>
      </c>
      <c r="K1776" s="28" t="s">
        <v>401</v>
      </c>
      <c r="L1776" s="31">
        <v>42705</v>
      </c>
      <c r="M1776" s="28">
        <v>12</v>
      </c>
      <c r="N1776" s="32" t="s">
        <v>176</v>
      </c>
      <c r="O1776" s="28" t="s">
        <v>204</v>
      </c>
      <c r="P1776" s="28" t="s">
        <v>4346</v>
      </c>
      <c r="Q1776" s="28" t="s">
        <v>4347</v>
      </c>
      <c r="R1776" s="28" t="s">
        <v>4348</v>
      </c>
    </row>
    <row r="1777" spans="1:18" hidden="1">
      <c r="A1777" s="28">
        <v>4</v>
      </c>
      <c r="B1777" s="29" t="s">
        <v>306</v>
      </c>
      <c r="C1777" s="29" t="s">
        <v>307</v>
      </c>
      <c r="D1777" s="29" t="s">
        <v>308</v>
      </c>
      <c r="E1777" s="29" t="s">
        <v>172</v>
      </c>
      <c r="F1777" s="28" t="s">
        <v>3776</v>
      </c>
      <c r="G1777" s="28" t="s">
        <v>3776</v>
      </c>
      <c r="H1777" s="28" t="s">
        <v>384</v>
      </c>
      <c r="I1777" s="28">
        <v>4</v>
      </c>
      <c r="J1777" s="30">
        <v>6.9000000000000006E-2</v>
      </c>
      <c r="K1777" s="28" t="s">
        <v>198</v>
      </c>
      <c r="L1777" s="31">
        <v>42767</v>
      </c>
      <c r="M1777" s="28">
        <v>2</v>
      </c>
      <c r="N1777" s="32" t="s">
        <v>176</v>
      </c>
      <c r="O1777" s="28" t="s">
        <v>204</v>
      </c>
      <c r="P1777" s="28" t="s">
        <v>4349</v>
      </c>
      <c r="Q1777" s="28" t="s">
        <v>4332</v>
      </c>
      <c r="R1777" s="28" t="s">
        <v>4333</v>
      </c>
    </row>
    <row r="1778" spans="1:18" hidden="1">
      <c r="A1778" s="28">
        <v>4</v>
      </c>
      <c r="B1778" s="29" t="s">
        <v>306</v>
      </c>
      <c r="C1778" s="29" t="s">
        <v>307</v>
      </c>
      <c r="D1778" s="29" t="s">
        <v>308</v>
      </c>
      <c r="E1778" s="29" t="s">
        <v>172</v>
      </c>
      <c r="F1778" s="28" t="s">
        <v>3776</v>
      </c>
      <c r="G1778" s="28" t="s">
        <v>3776</v>
      </c>
      <c r="H1778" s="28" t="s">
        <v>384</v>
      </c>
      <c r="I1778" s="28">
        <v>4</v>
      </c>
      <c r="J1778" s="30">
        <v>6.9000000000000006E-2</v>
      </c>
      <c r="K1778" s="28" t="s">
        <v>464</v>
      </c>
      <c r="L1778" s="31">
        <v>42887</v>
      </c>
      <c r="M1778" s="28">
        <v>6</v>
      </c>
      <c r="N1778" s="32" t="s">
        <v>184</v>
      </c>
      <c r="O1778" s="28" t="s">
        <v>204</v>
      </c>
      <c r="P1778" s="28" t="s">
        <v>4350</v>
      </c>
      <c r="Q1778" s="28" t="s">
        <v>4347</v>
      </c>
      <c r="R1778" s="28" t="s">
        <v>4348</v>
      </c>
    </row>
    <row r="1779" spans="1:18" hidden="1">
      <c r="A1779" s="28">
        <v>4</v>
      </c>
      <c r="B1779" s="29" t="s">
        <v>306</v>
      </c>
      <c r="C1779" s="29" t="s">
        <v>307</v>
      </c>
      <c r="D1779" s="29" t="s">
        <v>308</v>
      </c>
      <c r="E1779" s="29" t="s">
        <v>172</v>
      </c>
      <c r="F1779" s="28" t="s">
        <v>3776</v>
      </c>
      <c r="G1779" s="28" t="s">
        <v>4213</v>
      </c>
      <c r="H1779" s="28" t="s">
        <v>384</v>
      </c>
      <c r="I1779" s="28">
        <v>8</v>
      </c>
      <c r="J1779" s="30">
        <v>3.6999999999999998E-2</v>
      </c>
      <c r="K1779" s="28" t="s">
        <v>473</v>
      </c>
      <c r="L1779" s="31">
        <v>43160</v>
      </c>
      <c r="M1779" s="28">
        <v>3</v>
      </c>
      <c r="N1779" s="32" t="s">
        <v>191</v>
      </c>
      <c r="O1779" s="28" t="s">
        <v>204</v>
      </c>
      <c r="P1779" s="28" t="s">
        <v>4351</v>
      </c>
      <c r="Q1779" s="28" t="s">
        <v>4352</v>
      </c>
      <c r="R1779" s="28" t="s">
        <v>4336</v>
      </c>
    </row>
    <row r="1780" spans="1:18" hidden="1">
      <c r="A1780" s="28">
        <v>4</v>
      </c>
      <c r="B1780" s="29" t="s">
        <v>306</v>
      </c>
      <c r="C1780" s="29" t="s">
        <v>307</v>
      </c>
      <c r="D1780" s="29" t="s">
        <v>308</v>
      </c>
      <c r="E1780" s="29" t="s">
        <v>172</v>
      </c>
      <c r="F1780" s="28" t="s">
        <v>3776</v>
      </c>
      <c r="G1780" s="28" t="s">
        <v>3776</v>
      </c>
      <c r="H1780" s="28" t="s">
        <v>384</v>
      </c>
      <c r="I1780" s="28">
        <v>4</v>
      </c>
      <c r="J1780" s="30">
        <v>6.9000000000000006E-2</v>
      </c>
      <c r="K1780" s="28" t="s">
        <v>475</v>
      </c>
      <c r="L1780" s="31">
        <v>43191</v>
      </c>
      <c r="M1780" s="28">
        <v>4</v>
      </c>
      <c r="N1780" s="32" t="s">
        <v>191</v>
      </c>
      <c r="O1780" s="28" t="s">
        <v>204</v>
      </c>
      <c r="P1780" s="28" t="s">
        <v>4353</v>
      </c>
      <c r="Q1780" s="28" t="s">
        <v>4347</v>
      </c>
      <c r="R1780" s="28" t="s">
        <v>4348</v>
      </c>
    </row>
    <row r="1781" spans="1:18" hidden="1">
      <c r="A1781" s="28">
        <v>4</v>
      </c>
      <c r="B1781" s="29" t="s">
        <v>306</v>
      </c>
      <c r="C1781" s="29" t="s">
        <v>307</v>
      </c>
      <c r="D1781" s="29" t="s">
        <v>308</v>
      </c>
      <c r="E1781" s="29" t="s">
        <v>172</v>
      </c>
      <c r="F1781" s="28" t="s">
        <v>3776</v>
      </c>
      <c r="G1781" s="28" t="s">
        <v>3776</v>
      </c>
      <c r="H1781" s="28" t="s">
        <v>384</v>
      </c>
      <c r="I1781" s="28">
        <v>4</v>
      </c>
      <c r="J1781" s="30">
        <v>6.9000000000000006E-2</v>
      </c>
      <c r="K1781" s="28" t="s">
        <v>678</v>
      </c>
      <c r="L1781" s="31">
        <v>43344</v>
      </c>
      <c r="M1781" s="28">
        <v>9</v>
      </c>
      <c r="N1781" s="32" t="s">
        <v>191</v>
      </c>
      <c r="O1781" s="28" t="s">
        <v>204</v>
      </c>
      <c r="P1781" s="28" t="s">
        <v>4354</v>
      </c>
      <c r="Q1781" s="28" t="s">
        <v>4347</v>
      </c>
      <c r="R1781" s="28" t="s">
        <v>4348</v>
      </c>
    </row>
    <row r="1782" spans="1:18" hidden="1">
      <c r="A1782" s="28">
        <v>4</v>
      </c>
      <c r="B1782" s="29" t="s">
        <v>306</v>
      </c>
      <c r="C1782" s="29" t="s">
        <v>307</v>
      </c>
      <c r="D1782" s="29" t="s">
        <v>308</v>
      </c>
      <c r="E1782" s="29" t="s">
        <v>172</v>
      </c>
      <c r="F1782" s="28" t="s">
        <v>3776</v>
      </c>
      <c r="G1782" s="28" t="s">
        <v>3776</v>
      </c>
      <c r="H1782" s="28" t="s">
        <v>384</v>
      </c>
      <c r="I1782" s="28">
        <v>4</v>
      </c>
      <c r="J1782" s="30">
        <v>6.9000000000000006E-2</v>
      </c>
      <c r="K1782" s="28" t="s">
        <v>501</v>
      </c>
      <c r="L1782" s="31">
        <v>43405</v>
      </c>
      <c r="M1782" s="28">
        <v>11</v>
      </c>
      <c r="N1782" s="32" t="s">
        <v>191</v>
      </c>
      <c r="O1782" s="28" t="s">
        <v>204</v>
      </c>
      <c r="P1782" s="28" t="s">
        <v>4355</v>
      </c>
      <c r="Q1782" s="28" t="s">
        <v>4356</v>
      </c>
      <c r="R1782" s="28" t="s">
        <v>4339</v>
      </c>
    </row>
    <row r="1783" spans="1:18" hidden="1">
      <c r="A1783" s="28">
        <v>4</v>
      </c>
      <c r="B1783" s="29" t="s">
        <v>306</v>
      </c>
      <c r="C1783" s="29" t="s">
        <v>307</v>
      </c>
      <c r="D1783" s="29" t="s">
        <v>308</v>
      </c>
      <c r="E1783" s="29" t="s">
        <v>172</v>
      </c>
      <c r="F1783" s="28" t="s">
        <v>3776</v>
      </c>
      <c r="G1783" s="28" t="s">
        <v>3776</v>
      </c>
      <c r="H1783" s="28" t="s">
        <v>384</v>
      </c>
      <c r="I1783" s="28">
        <v>4</v>
      </c>
      <c r="J1783" s="30">
        <v>6.9000000000000006E-2</v>
      </c>
      <c r="K1783" s="28" t="s">
        <v>479</v>
      </c>
      <c r="L1783" s="31">
        <v>43770</v>
      </c>
      <c r="M1783" s="28">
        <v>11</v>
      </c>
      <c r="N1783" s="32" t="s">
        <v>191</v>
      </c>
      <c r="O1783" s="28" t="s">
        <v>204</v>
      </c>
      <c r="P1783" s="28" t="s">
        <v>4357</v>
      </c>
      <c r="Q1783" s="28" t="s">
        <v>4356</v>
      </c>
      <c r="R1783" s="28" t="s">
        <v>4339</v>
      </c>
    </row>
    <row r="1784" spans="1:18" hidden="1">
      <c r="A1784" s="28">
        <v>4</v>
      </c>
      <c r="B1784" s="29" t="s">
        <v>306</v>
      </c>
      <c r="C1784" s="29" t="s">
        <v>312</v>
      </c>
      <c r="D1784" s="29" t="s">
        <v>313</v>
      </c>
      <c r="E1784" s="29" t="s">
        <v>172</v>
      </c>
      <c r="F1784" s="28" t="s">
        <v>3776</v>
      </c>
      <c r="G1784" s="28" t="s">
        <v>3776</v>
      </c>
      <c r="H1784" s="28" t="s">
        <v>384</v>
      </c>
      <c r="I1784" s="28">
        <v>4</v>
      </c>
      <c r="J1784" s="30">
        <v>6.9000000000000006E-2</v>
      </c>
      <c r="K1784" s="28" t="s">
        <v>460</v>
      </c>
      <c r="L1784" s="31">
        <v>42675</v>
      </c>
      <c r="M1784" s="28">
        <v>11</v>
      </c>
      <c r="N1784" s="32" t="s">
        <v>191</v>
      </c>
      <c r="O1784" s="28" t="s">
        <v>204</v>
      </c>
      <c r="P1784" s="28" t="s">
        <v>4358</v>
      </c>
      <c r="Q1784" s="28" t="s">
        <v>4359</v>
      </c>
      <c r="R1784" s="28" t="s">
        <v>4360</v>
      </c>
    </row>
    <row r="1785" spans="1:18" hidden="1">
      <c r="A1785" s="28">
        <v>4</v>
      </c>
      <c r="B1785" s="29" t="s">
        <v>306</v>
      </c>
      <c r="C1785" s="29" t="s">
        <v>312</v>
      </c>
      <c r="D1785" s="29" t="s">
        <v>313</v>
      </c>
      <c r="E1785" s="29" t="s">
        <v>172</v>
      </c>
      <c r="F1785" s="28" t="s">
        <v>3776</v>
      </c>
      <c r="G1785" s="28" t="s">
        <v>3776</v>
      </c>
      <c r="H1785" s="28" t="s">
        <v>384</v>
      </c>
      <c r="I1785" s="28">
        <v>4</v>
      </c>
      <c r="J1785" s="30">
        <v>6.9000000000000006E-2</v>
      </c>
      <c r="K1785" s="28" t="s">
        <v>813</v>
      </c>
      <c r="L1785" s="31">
        <v>43009</v>
      </c>
      <c r="M1785" s="28">
        <v>10</v>
      </c>
      <c r="N1785" s="32" t="s">
        <v>191</v>
      </c>
      <c r="O1785" s="28" t="s">
        <v>204</v>
      </c>
      <c r="P1785" s="28" t="s">
        <v>4361</v>
      </c>
      <c r="Q1785" s="28" t="s">
        <v>4362</v>
      </c>
      <c r="R1785" s="28" t="s">
        <v>4363</v>
      </c>
    </row>
    <row r="1786" spans="1:18" hidden="1">
      <c r="A1786" s="28">
        <v>4</v>
      </c>
      <c r="B1786" s="29" t="s">
        <v>306</v>
      </c>
      <c r="C1786" s="29" t="s">
        <v>312</v>
      </c>
      <c r="D1786" s="29" t="s">
        <v>313</v>
      </c>
      <c r="E1786" s="29" t="s">
        <v>172</v>
      </c>
      <c r="F1786" s="28" t="s">
        <v>3776</v>
      </c>
      <c r="G1786" s="28" t="s">
        <v>4213</v>
      </c>
      <c r="H1786" s="28" t="s">
        <v>384</v>
      </c>
      <c r="I1786" s="28">
        <v>8</v>
      </c>
      <c r="J1786" s="30">
        <v>3.6999999999999998E-2</v>
      </c>
      <c r="K1786" s="28" t="s">
        <v>479</v>
      </c>
      <c r="L1786" s="31">
        <v>43770</v>
      </c>
      <c r="M1786" s="28">
        <v>11</v>
      </c>
      <c r="N1786" s="32" t="s">
        <v>191</v>
      </c>
      <c r="O1786" s="28" t="s">
        <v>204</v>
      </c>
      <c r="P1786" s="28" t="s">
        <v>4364</v>
      </c>
      <c r="Q1786" s="28" t="s">
        <v>4365</v>
      </c>
      <c r="R1786" s="28" t="s">
        <v>4366</v>
      </c>
    </row>
    <row r="1787" spans="1:18" hidden="1">
      <c r="A1787" s="28">
        <v>4</v>
      </c>
      <c r="B1787" s="29" t="s">
        <v>306</v>
      </c>
      <c r="C1787" s="29" t="s">
        <v>312</v>
      </c>
      <c r="D1787" s="29" t="s">
        <v>313</v>
      </c>
      <c r="E1787" s="29" t="s">
        <v>172</v>
      </c>
      <c r="F1787" s="28" t="s">
        <v>3776</v>
      </c>
      <c r="G1787" s="28" t="s">
        <v>4213</v>
      </c>
      <c r="H1787" s="28" t="s">
        <v>384</v>
      </c>
      <c r="I1787" s="28">
        <v>8</v>
      </c>
      <c r="J1787" s="30">
        <v>3.6999999999999998E-2</v>
      </c>
      <c r="K1787" s="28" t="s">
        <v>190</v>
      </c>
      <c r="L1787" s="31">
        <v>44287</v>
      </c>
      <c r="M1787" s="28">
        <v>4</v>
      </c>
      <c r="N1787" s="32" t="s">
        <v>191</v>
      </c>
      <c r="O1787" s="28" t="s">
        <v>204</v>
      </c>
      <c r="P1787" s="28" t="s">
        <v>4367</v>
      </c>
      <c r="Q1787" s="28" t="s">
        <v>4368</v>
      </c>
      <c r="R1787" s="28" t="s">
        <v>4369</v>
      </c>
    </row>
    <row r="1788" spans="1:18" hidden="1">
      <c r="A1788" s="28">
        <v>4</v>
      </c>
      <c r="B1788" s="29" t="s">
        <v>306</v>
      </c>
      <c r="C1788" s="29" t="s">
        <v>1776</v>
      </c>
      <c r="D1788" s="29" t="s">
        <v>1777</v>
      </c>
      <c r="E1788" s="29" t="s">
        <v>172</v>
      </c>
      <c r="F1788" s="28" t="s">
        <v>3776</v>
      </c>
      <c r="G1788" s="28" t="s">
        <v>3776</v>
      </c>
      <c r="H1788" s="28" t="s">
        <v>384</v>
      </c>
      <c r="I1788" s="28">
        <v>4</v>
      </c>
      <c r="J1788" s="30">
        <v>6.9000000000000006E-2</v>
      </c>
      <c r="K1788" s="28" t="s">
        <v>2223</v>
      </c>
      <c r="L1788" s="31">
        <v>42278</v>
      </c>
      <c r="M1788" s="28">
        <v>10</v>
      </c>
      <c r="N1788" s="32" t="s">
        <v>191</v>
      </c>
      <c r="O1788" s="28" t="s">
        <v>204</v>
      </c>
      <c r="P1788" s="28" t="s">
        <v>4370</v>
      </c>
      <c r="Q1788" s="28" t="s">
        <v>4371</v>
      </c>
      <c r="R1788" s="28" t="s">
        <v>4339</v>
      </c>
    </row>
    <row r="1789" spans="1:18" hidden="1">
      <c r="A1789" s="28">
        <v>4</v>
      </c>
      <c r="B1789" s="29" t="s">
        <v>306</v>
      </c>
      <c r="C1789" s="29" t="s">
        <v>1776</v>
      </c>
      <c r="D1789" s="29" t="s">
        <v>1777</v>
      </c>
      <c r="E1789" s="29" t="s">
        <v>172</v>
      </c>
      <c r="F1789" s="28" t="s">
        <v>3776</v>
      </c>
      <c r="G1789" s="28" t="s">
        <v>3776</v>
      </c>
      <c r="H1789" s="28" t="s">
        <v>384</v>
      </c>
      <c r="I1789" s="28">
        <v>4</v>
      </c>
      <c r="J1789" s="30">
        <v>6.9000000000000006E-2</v>
      </c>
      <c r="K1789" s="28" t="s">
        <v>391</v>
      </c>
      <c r="L1789" s="31">
        <v>42370</v>
      </c>
      <c r="M1789" s="28">
        <v>1</v>
      </c>
      <c r="N1789" s="32" t="s">
        <v>176</v>
      </c>
      <c r="O1789" s="28" t="s">
        <v>177</v>
      </c>
      <c r="P1789" s="28" t="s">
        <v>4372</v>
      </c>
      <c r="Q1789" s="28" t="s">
        <v>4373</v>
      </c>
      <c r="R1789" s="28" t="s">
        <v>4374</v>
      </c>
    </row>
    <row r="1790" spans="1:18" hidden="1">
      <c r="A1790" s="28">
        <v>4</v>
      </c>
      <c r="B1790" s="29" t="s">
        <v>306</v>
      </c>
      <c r="C1790" s="29" t="s">
        <v>1776</v>
      </c>
      <c r="D1790" s="29" t="s">
        <v>1777</v>
      </c>
      <c r="E1790" s="29" t="s">
        <v>172</v>
      </c>
      <c r="F1790" s="28" t="s">
        <v>3776</v>
      </c>
      <c r="G1790" s="28" t="s">
        <v>3776</v>
      </c>
      <c r="H1790" s="28" t="s">
        <v>384</v>
      </c>
      <c r="I1790" s="28">
        <v>4</v>
      </c>
      <c r="J1790" s="30">
        <v>6.9000000000000006E-2</v>
      </c>
      <c r="K1790" s="28" t="s">
        <v>460</v>
      </c>
      <c r="L1790" s="31">
        <v>42675</v>
      </c>
      <c r="M1790" s="28">
        <v>11</v>
      </c>
      <c r="N1790" s="32" t="s">
        <v>191</v>
      </c>
      <c r="O1790" s="28" t="s">
        <v>204</v>
      </c>
      <c r="P1790" s="28" t="s">
        <v>4375</v>
      </c>
      <c r="Q1790" s="28" t="s">
        <v>4371</v>
      </c>
      <c r="R1790" s="28" t="s">
        <v>4339</v>
      </c>
    </row>
    <row r="1791" spans="1:18" hidden="1">
      <c r="A1791" s="28">
        <v>4</v>
      </c>
      <c r="B1791" s="29" t="s">
        <v>306</v>
      </c>
      <c r="C1791" s="29" t="s">
        <v>1776</v>
      </c>
      <c r="D1791" s="29" t="s">
        <v>1777</v>
      </c>
      <c r="E1791" s="29" t="s">
        <v>172</v>
      </c>
      <c r="F1791" s="28" t="s">
        <v>3776</v>
      </c>
      <c r="G1791" s="28" t="s">
        <v>3776</v>
      </c>
      <c r="H1791" s="28" t="s">
        <v>384</v>
      </c>
      <c r="I1791" s="28">
        <v>4</v>
      </c>
      <c r="J1791" s="30">
        <v>6.9000000000000006E-2</v>
      </c>
      <c r="K1791" s="28" t="s">
        <v>473</v>
      </c>
      <c r="L1791" s="31">
        <v>43160</v>
      </c>
      <c r="M1791" s="28">
        <v>3</v>
      </c>
      <c r="N1791" s="32" t="s">
        <v>191</v>
      </c>
      <c r="O1791" s="28" t="s">
        <v>204</v>
      </c>
      <c r="P1791" s="28" t="s">
        <v>4376</v>
      </c>
      <c r="Q1791" s="28" t="s">
        <v>4371</v>
      </c>
      <c r="R1791" s="28" t="s">
        <v>4339</v>
      </c>
    </row>
    <row r="1792" spans="1:18" hidden="1">
      <c r="A1792" s="28">
        <v>4</v>
      </c>
      <c r="B1792" s="29" t="s">
        <v>306</v>
      </c>
      <c r="C1792" s="29" t="s">
        <v>1776</v>
      </c>
      <c r="D1792" s="29" t="s">
        <v>2666</v>
      </c>
      <c r="E1792" s="29" t="s">
        <v>172</v>
      </c>
      <c r="F1792" s="28" t="s">
        <v>3776</v>
      </c>
      <c r="G1792" s="28" t="s">
        <v>3776</v>
      </c>
      <c r="H1792" s="28" t="s">
        <v>384</v>
      </c>
      <c r="I1792" s="28">
        <v>4</v>
      </c>
      <c r="J1792" s="30">
        <v>6.9000000000000006E-2</v>
      </c>
      <c r="K1792" s="28" t="s">
        <v>263</v>
      </c>
      <c r="L1792" s="31">
        <v>42430</v>
      </c>
      <c r="M1792" s="28">
        <v>3</v>
      </c>
      <c r="N1792" s="32" t="s">
        <v>191</v>
      </c>
      <c r="O1792" s="28" t="s">
        <v>204</v>
      </c>
      <c r="P1792" s="28" t="s">
        <v>4377</v>
      </c>
      <c r="Q1792" s="28" t="s">
        <v>4378</v>
      </c>
      <c r="R1792" s="28" t="s">
        <v>4339</v>
      </c>
    </row>
    <row r="1793" spans="1:18" hidden="1">
      <c r="A1793" s="28">
        <v>4</v>
      </c>
      <c r="B1793" s="29" t="s">
        <v>306</v>
      </c>
      <c r="C1793" s="29" t="s">
        <v>1776</v>
      </c>
      <c r="D1793" s="29" t="s">
        <v>2666</v>
      </c>
      <c r="E1793" s="29" t="s">
        <v>172</v>
      </c>
      <c r="F1793" s="28" t="s">
        <v>3776</v>
      </c>
      <c r="G1793" s="28" t="s">
        <v>3776</v>
      </c>
      <c r="H1793" s="28" t="s">
        <v>384</v>
      </c>
      <c r="I1793" s="28">
        <v>4</v>
      </c>
      <c r="J1793" s="30">
        <v>6.9000000000000006E-2</v>
      </c>
      <c r="K1793" s="28" t="s">
        <v>263</v>
      </c>
      <c r="L1793" s="31">
        <v>42430</v>
      </c>
      <c r="M1793" s="28">
        <v>3</v>
      </c>
      <c r="N1793" s="32" t="s">
        <v>191</v>
      </c>
      <c r="O1793" s="28" t="s">
        <v>204</v>
      </c>
      <c r="P1793" s="28" t="s">
        <v>4379</v>
      </c>
      <c r="Q1793" s="28" t="s">
        <v>4380</v>
      </c>
      <c r="R1793" s="28" t="s">
        <v>4381</v>
      </c>
    </row>
    <row r="1794" spans="1:18" hidden="1">
      <c r="A1794" s="28">
        <v>4</v>
      </c>
      <c r="B1794" s="29" t="s">
        <v>306</v>
      </c>
      <c r="C1794" s="29" t="s">
        <v>1776</v>
      </c>
      <c r="D1794" s="29" t="s">
        <v>2666</v>
      </c>
      <c r="E1794" s="29" t="s">
        <v>172</v>
      </c>
      <c r="F1794" s="28" t="s">
        <v>3776</v>
      </c>
      <c r="G1794" s="28" t="s">
        <v>3776</v>
      </c>
      <c r="H1794" s="28" t="s">
        <v>384</v>
      </c>
      <c r="I1794" s="28">
        <v>4</v>
      </c>
      <c r="J1794" s="30">
        <v>6.9000000000000006E-2</v>
      </c>
      <c r="K1794" s="28" t="s">
        <v>489</v>
      </c>
      <c r="L1794" s="31">
        <v>42491</v>
      </c>
      <c r="M1794" s="28">
        <v>5</v>
      </c>
      <c r="N1794" s="32" t="s">
        <v>191</v>
      </c>
      <c r="O1794" s="28" t="s">
        <v>204</v>
      </c>
      <c r="P1794" s="28" t="s">
        <v>4382</v>
      </c>
      <c r="Q1794" s="28" t="s">
        <v>4383</v>
      </c>
      <c r="R1794" s="28" t="s">
        <v>4333</v>
      </c>
    </row>
    <row r="1795" spans="1:18" hidden="1">
      <c r="A1795" s="28">
        <v>4</v>
      </c>
      <c r="B1795" s="29" t="s">
        <v>306</v>
      </c>
      <c r="C1795" s="29" t="s">
        <v>1776</v>
      </c>
      <c r="D1795" s="29" t="s">
        <v>2666</v>
      </c>
      <c r="E1795" s="29" t="s">
        <v>172</v>
      </c>
      <c r="F1795" s="28" t="s">
        <v>3776</v>
      </c>
      <c r="G1795" s="28" t="s">
        <v>3776</v>
      </c>
      <c r="H1795" s="28" t="s">
        <v>384</v>
      </c>
      <c r="I1795" s="28">
        <v>4</v>
      </c>
      <c r="J1795" s="30">
        <v>6.9000000000000006E-2</v>
      </c>
      <c r="K1795" s="28" t="s">
        <v>489</v>
      </c>
      <c r="L1795" s="31">
        <v>42491</v>
      </c>
      <c r="M1795" s="28">
        <v>5</v>
      </c>
      <c r="N1795" s="32" t="s">
        <v>191</v>
      </c>
      <c r="O1795" s="28" t="s">
        <v>204</v>
      </c>
      <c r="P1795" s="28" t="s">
        <v>4384</v>
      </c>
      <c r="Q1795" s="28" t="s">
        <v>4385</v>
      </c>
      <c r="R1795" s="28" t="s">
        <v>4386</v>
      </c>
    </row>
    <row r="1796" spans="1:18" hidden="1">
      <c r="A1796" s="28">
        <v>4</v>
      </c>
      <c r="B1796" s="29" t="s">
        <v>306</v>
      </c>
      <c r="C1796" s="29" t="s">
        <v>1776</v>
      </c>
      <c r="D1796" s="29" t="s">
        <v>2666</v>
      </c>
      <c r="E1796" s="29" t="s">
        <v>172</v>
      </c>
      <c r="F1796" s="28" t="s">
        <v>3776</v>
      </c>
      <c r="G1796" s="28" t="s">
        <v>3776</v>
      </c>
      <c r="H1796" s="28" t="s">
        <v>384</v>
      </c>
      <c r="I1796" s="28">
        <v>4</v>
      </c>
      <c r="J1796" s="30">
        <v>6.9000000000000006E-2</v>
      </c>
      <c r="K1796" s="28" t="s">
        <v>232</v>
      </c>
      <c r="L1796" s="31">
        <v>42522</v>
      </c>
      <c r="M1796" s="28">
        <v>6</v>
      </c>
      <c r="N1796" s="32" t="s">
        <v>184</v>
      </c>
      <c r="O1796" s="28" t="s">
        <v>204</v>
      </c>
      <c r="P1796" s="28" t="s">
        <v>4387</v>
      </c>
      <c r="Q1796" s="28" t="s">
        <v>4388</v>
      </c>
      <c r="R1796" s="28" t="s">
        <v>4339</v>
      </c>
    </row>
    <row r="1797" spans="1:18" hidden="1">
      <c r="A1797" s="28">
        <v>4</v>
      </c>
      <c r="B1797" s="29" t="s">
        <v>306</v>
      </c>
      <c r="C1797" s="29" t="s">
        <v>1776</v>
      </c>
      <c r="D1797" s="29" t="s">
        <v>2666</v>
      </c>
      <c r="E1797" s="29" t="s">
        <v>172</v>
      </c>
      <c r="F1797" s="28" t="s">
        <v>3776</v>
      </c>
      <c r="G1797" s="28" t="s">
        <v>3776</v>
      </c>
      <c r="H1797" s="28" t="s">
        <v>384</v>
      </c>
      <c r="I1797" s="28">
        <v>4</v>
      </c>
      <c r="J1797" s="30">
        <v>6.9000000000000006E-2</v>
      </c>
      <c r="K1797" s="28" t="s">
        <v>335</v>
      </c>
      <c r="L1797" s="31">
        <v>42614</v>
      </c>
      <c r="M1797" s="28">
        <v>9</v>
      </c>
      <c r="N1797" s="32" t="s">
        <v>191</v>
      </c>
      <c r="O1797" s="28" t="s">
        <v>204</v>
      </c>
      <c r="P1797" s="28" t="s">
        <v>4389</v>
      </c>
      <c r="Q1797" s="28" t="s">
        <v>4388</v>
      </c>
      <c r="R1797" s="28" t="s">
        <v>4339</v>
      </c>
    </row>
    <row r="1798" spans="1:18" hidden="1">
      <c r="A1798" s="28">
        <v>4</v>
      </c>
      <c r="B1798" s="29" t="s">
        <v>306</v>
      </c>
      <c r="C1798" s="29" t="s">
        <v>1776</v>
      </c>
      <c r="D1798" s="29" t="s">
        <v>2666</v>
      </c>
      <c r="E1798" s="29" t="s">
        <v>172</v>
      </c>
      <c r="F1798" s="28" t="s">
        <v>3776</v>
      </c>
      <c r="G1798" s="28" t="s">
        <v>3776</v>
      </c>
      <c r="H1798" s="28" t="s">
        <v>384</v>
      </c>
      <c r="I1798" s="28">
        <v>4</v>
      </c>
      <c r="J1798" s="30">
        <v>6.9000000000000006E-2</v>
      </c>
      <c r="K1798" s="28" t="s">
        <v>236</v>
      </c>
      <c r="L1798" s="31">
        <v>43617</v>
      </c>
      <c r="M1798" s="28">
        <v>6</v>
      </c>
      <c r="N1798" s="32" t="s">
        <v>184</v>
      </c>
      <c r="O1798" s="28" t="s">
        <v>204</v>
      </c>
      <c r="P1798" s="28" t="s">
        <v>4390</v>
      </c>
      <c r="Q1798" s="28" t="s">
        <v>4391</v>
      </c>
      <c r="R1798" s="28" t="s">
        <v>4339</v>
      </c>
    </row>
    <row r="1799" spans="1:18" hidden="1">
      <c r="A1799" s="28">
        <v>4</v>
      </c>
      <c r="B1799" s="29" t="s">
        <v>306</v>
      </c>
      <c r="C1799" s="29" t="s">
        <v>1776</v>
      </c>
      <c r="D1799" s="29" t="s">
        <v>2666</v>
      </c>
      <c r="E1799" s="29" t="s">
        <v>172</v>
      </c>
      <c r="F1799" s="28" t="s">
        <v>3776</v>
      </c>
      <c r="G1799" s="28" t="s">
        <v>3776</v>
      </c>
      <c r="H1799" s="28" t="s">
        <v>384</v>
      </c>
      <c r="I1799" s="28">
        <v>4</v>
      </c>
      <c r="J1799" s="30">
        <v>6.9000000000000006E-2</v>
      </c>
      <c r="K1799" s="28" t="s">
        <v>504</v>
      </c>
      <c r="L1799" s="31">
        <v>43922</v>
      </c>
      <c r="M1799" s="28">
        <v>4</v>
      </c>
      <c r="N1799" s="32" t="s">
        <v>191</v>
      </c>
      <c r="O1799" s="28" t="s">
        <v>204</v>
      </c>
      <c r="P1799" s="28" t="s">
        <v>4392</v>
      </c>
      <c r="Q1799" s="28" t="s">
        <v>4388</v>
      </c>
      <c r="R1799" s="28" t="s">
        <v>4339</v>
      </c>
    </row>
    <row r="1800" spans="1:18" hidden="1">
      <c r="A1800" s="28">
        <v>4</v>
      </c>
      <c r="B1800" s="29" t="s">
        <v>306</v>
      </c>
      <c r="C1800" s="29" t="s">
        <v>1776</v>
      </c>
      <c r="D1800" s="29" t="s">
        <v>2666</v>
      </c>
      <c r="E1800" s="29" t="s">
        <v>172</v>
      </c>
      <c r="F1800" s="28" t="s">
        <v>3776</v>
      </c>
      <c r="G1800" s="28" t="s">
        <v>3776</v>
      </c>
      <c r="H1800" s="28" t="s">
        <v>384</v>
      </c>
      <c r="I1800" s="28">
        <v>4</v>
      </c>
      <c r="J1800" s="30">
        <v>6.9000000000000006E-2</v>
      </c>
      <c r="K1800" s="28" t="s">
        <v>554</v>
      </c>
      <c r="L1800" s="31">
        <v>44317</v>
      </c>
      <c r="M1800" s="28">
        <v>5</v>
      </c>
      <c r="N1800" s="32" t="s">
        <v>191</v>
      </c>
      <c r="O1800" s="28" t="s">
        <v>204</v>
      </c>
      <c r="P1800" s="28" t="s">
        <v>4393</v>
      </c>
      <c r="Q1800" s="28" t="s">
        <v>4388</v>
      </c>
      <c r="R1800" s="28" t="s">
        <v>4339</v>
      </c>
    </row>
    <row r="1801" spans="1:18" hidden="1">
      <c r="A1801" s="28">
        <v>4</v>
      </c>
      <c r="B1801" s="29" t="s">
        <v>306</v>
      </c>
      <c r="C1801" s="29" t="s">
        <v>1776</v>
      </c>
      <c r="D1801" s="29" t="s">
        <v>2666</v>
      </c>
      <c r="E1801" s="29" t="s">
        <v>172</v>
      </c>
      <c r="F1801" s="28" t="s">
        <v>3776</v>
      </c>
      <c r="G1801" s="28" t="s">
        <v>3776</v>
      </c>
      <c r="H1801" s="28" t="s">
        <v>384</v>
      </c>
      <c r="I1801" s="28">
        <v>4</v>
      </c>
      <c r="J1801" s="30">
        <v>6.9000000000000006E-2</v>
      </c>
      <c r="K1801" s="28" t="s">
        <v>4394</v>
      </c>
      <c r="L1801" s="31" t="s">
        <v>221</v>
      </c>
      <c r="M1801" s="28" t="e">
        <v>#VALUE!</v>
      </c>
      <c r="N1801" s="32" t="e">
        <v>#VALUE!</v>
      </c>
      <c r="O1801" s="28" t="s">
        <v>204</v>
      </c>
      <c r="P1801" s="28" t="s">
        <v>4395</v>
      </c>
      <c r="Q1801" s="28" t="s">
        <v>4396</v>
      </c>
      <c r="R1801" s="28" t="s">
        <v>4339</v>
      </c>
    </row>
    <row r="1802" spans="1:18" hidden="1">
      <c r="A1802" s="28">
        <v>4</v>
      </c>
      <c r="B1802" s="29" t="s">
        <v>306</v>
      </c>
      <c r="C1802" s="29" t="s">
        <v>1776</v>
      </c>
      <c r="D1802" s="29" t="s">
        <v>3494</v>
      </c>
      <c r="E1802" s="29" t="s">
        <v>172</v>
      </c>
      <c r="F1802" s="28" t="s">
        <v>3776</v>
      </c>
      <c r="G1802" s="28" t="s">
        <v>3776</v>
      </c>
      <c r="H1802" s="28" t="s">
        <v>384</v>
      </c>
      <c r="I1802" s="28">
        <v>4</v>
      </c>
      <c r="J1802" s="30">
        <v>6.9000000000000006E-2</v>
      </c>
      <c r="K1802" s="28" t="s">
        <v>263</v>
      </c>
      <c r="L1802" s="31">
        <v>42430</v>
      </c>
      <c r="M1802" s="28">
        <v>3</v>
      </c>
      <c r="N1802" s="32" t="s">
        <v>191</v>
      </c>
      <c r="O1802" s="28" t="s">
        <v>204</v>
      </c>
      <c r="P1802" s="28" t="s">
        <v>4397</v>
      </c>
      <c r="Q1802" s="28" t="s">
        <v>4398</v>
      </c>
      <c r="R1802" s="28" t="s">
        <v>4399</v>
      </c>
    </row>
    <row r="1803" spans="1:18" hidden="1">
      <c r="A1803" s="28">
        <v>4</v>
      </c>
      <c r="B1803" s="29" t="s">
        <v>306</v>
      </c>
      <c r="C1803" s="29" t="s">
        <v>1776</v>
      </c>
      <c r="D1803" s="29" t="s">
        <v>3494</v>
      </c>
      <c r="E1803" s="29" t="s">
        <v>172</v>
      </c>
      <c r="F1803" s="28" t="s">
        <v>3776</v>
      </c>
      <c r="G1803" s="28" t="s">
        <v>4213</v>
      </c>
      <c r="H1803" s="28" t="s">
        <v>384</v>
      </c>
      <c r="I1803" s="28">
        <v>8</v>
      </c>
      <c r="J1803" s="30">
        <v>3.6999999999999998E-2</v>
      </c>
      <c r="K1803" s="28" t="s">
        <v>243</v>
      </c>
      <c r="L1803" s="31">
        <v>42461</v>
      </c>
      <c r="M1803" s="28">
        <v>4</v>
      </c>
      <c r="N1803" s="32" t="s">
        <v>191</v>
      </c>
      <c r="O1803" s="28" t="s">
        <v>204</v>
      </c>
      <c r="P1803" s="28" t="s">
        <v>4400</v>
      </c>
      <c r="Q1803" s="28" t="s">
        <v>4401</v>
      </c>
      <c r="R1803" s="28" t="s">
        <v>4402</v>
      </c>
    </row>
    <row r="1804" spans="1:18" hidden="1">
      <c r="A1804" s="28">
        <v>4</v>
      </c>
      <c r="B1804" s="29" t="s">
        <v>306</v>
      </c>
      <c r="C1804" s="29" t="s">
        <v>1776</v>
      </c>
      <c r="D1804" s="29" t="s">
        <v>3494</v>
      </c>
      <c r="E1804" s="29" t="s">
        <v>172</v>
      </c>
      <c r="F1804" s="28" t="s">
        <v>3776</v>
      </c>
      <c r="G1804" s="28" t="s">
        <v>3776</v>
      </c>
      <c r="H1804" s="28" t="s">
        <v>384</v>
      </c>
      <c r="I1804" s="28">
        <v>4</v>
      </c>
      <c r="J1804" s="30">
        <v>6.9000000000000006E-2</v>
      </c>
      <c r="K1804" s="28" t="s">
        <v>271</v>
      </c>
      <c r="L1804" s="31">
        <v>42856</v>
      </c>
      <c r="M1804" s="28">
        <v>5</v>
      </c>
      <c r="N1804" s="32" t="s">
        <v>191</v>
      </c>
      <c r="O1804" s="28" t="s">
        <v>204</v>
      </c>
      <c r="P1804" s="28" t="s">
        <v>4403</v>
      </c>
      <c r="Q1804" s="28" t="s">
        <v>4404</v>
      </c>
      <c r="R1804" s="28" t="s">
        <v>4339</v>
      </c>
    </row>
    <row r="1805" spans="1:18" hidden="1">
      <c r="A1805" s="28">
        <v>4</v>
      </c>
      <c r="B1805" s="29" t="s">
        <v>306</v>
      </c>
      <c r="C1805" s="29" t="s">
        <v>1776</v>
      </c>
      <c r="D1805" s="29" t="s">
        <v>3494</v>
      </c>
      <c r="E1805" s="29" t="s">
        <v>172</v>
      </c>
      <c r="F1805" s="28" t="s">
        <v>3776</v>
      </c>
      <c r="G1805" s="28" t="s">
        <v>3776</v>
      </c>
      <c r="H1805" s="28" t="s">
        <v>384</v>
      </c>
      <c r="I1805" s="28">
        <v>4</v>
      </c>
      <c r="J1805" s="30">
        <v>6.9000000000000006E-2</v>
      </c>
      <c r="K1805" s="28" t="s">
        <v>813</v>
      </c>
      <c r="L1805" s="31">
        <v>43009</v>
      </c>
      <c r="M1805" s="28">
        <v>10</v>
      </c>
      <c r="N1805" s="32" t="s">
        <v>191</v>
      </c>
      <c r="O1805" s="28" t="s">
        <v>204</v>
      </c>
      <c r="P1805" s="28" t="s">
        <v>4405</v>
      </c>
      <c r="Q1805" s="28" t="s">
        <v>4385</v>
      </c>
      <c r="R1805" s="28" t="s">
        <v>4386</v>
      </c>
    </row>
    <row r="1806" spans="1:18" hidden="1">
      <c r="A1806" s="28">
        <v>4</v>
      </c>
      <c r="B1806" s="29" t="s">
        <v>306</v>
      </c>
      <c r="C1806" s="29" t="s">
        <v>1776</v>
      </c>
      <c r="D1806" s="29" t="s">
        <v>3494</v>
      </c>
      <c r="E1806" s="29" t="s">
        <v>172</v>
      </c>
      <c r="F1806" s="28" t="s">
        <v>3776</v>
      </c>
      <c r="G1806" s="28" t="s">
        <v>3776</v>
      </c>
      <c r="H1806" s="28" t="s">
        <v>384</v>
      </c>
      <c r="I1806" s="28">
        <v>4</v>
      </c>
      <c r="J1806" s="30">
        <v>6.9000000000000006E-2</v>
      </c>
      <c r="K1806" s="28" t="s">
        <v>475</v>
      </c>
      <c r="L1806" s="31">
        <v>43191</v>
      </c>
      <c r="M1806" s="28">
        <v>4</v>
      </c>
      <c r="N1806" s="32" t="s">
        <v>191</v>
      </c>
      <c r="O1806" s="28" t="s">
        <v>204</v>
      </c>
      <c r="P1806" s="28" t="s">
        <v>4406</v>
      </c>
      <c r="Q1806" s="28" t="s">
        <v>4404</v>
      </c>
      <c r="R1806" s="28" t="s">
        <v>4339</v>
      </c>
    </row>
    <row r="1807" spans="1:18" hidden="1">
      <c r="A1807" s="28">
        <v>4</v>
      </c>
      <c r="B1807" s="29" t="s">
        <v>306</v>
      </c>
      <c r="C1807" s="29" t="s">
        <v>1776</v>
      </c>
      <c r="D1807" s="29" t="s">
        <v>3494</v>
      </c>
      <c r="E1807" s="29" t="s">
        <v>172</v>
      </c>
      <c r="F1807" s="28" t="s">
        <v>3776</v>
      </c>
      <c r="G1807" s="28" t="s">
        <v>3776</v>
      </c>
      <c r="H1807" s="28" t="s">
        <v>384</v>
      </c>
      <c r="I1807" s="28">
        <v>4</v>
      </c>
      <c r="J1807" s="30">
        <v>6.9000000000000006E-2</v>
      </c>
      <c r="K1807" s="28" t="s">
        <v>214</v>
      </c>
      <c r="L1807" s="31">
        <v>43466</v>
      </c>
      <c r="M1807" s="28">
        <v>1</v>
      </c>
      <c r="N1807" s="32" t="s">
        <v>176</v>
      </c>
      <c r="O1807" s="28" t="s">
        <v>204</v>
      </c>
      <c r="P1807" s="28" t="s">
        <v>4407</v>
      </c>
      <c r="Q1807" s="28" t="s">
        <v>4408</v>
      </c>
      <c r="R1807" s="28" t="s">
        <v>4409</v>
      </c>
    </row>
    <row r="1808" spans="1:18" hidden="1">
      <c r="A1808" s="28">
        <v>4</v>
      </c>
      <c r="B1808" s="29" t="s">
        <v>306</v>
      </c>
      <c r="C1808" s="29" t="s">
        <v>624</v>
      </c>
      <c r="D1808" s="29" t="s">
        <v>2672</v>
      </c>
      <c r="E1808" s="29" t="s">
        <v>172</v>
      </c>
      <c r="F1808" s="28" t="s">
        <v>3776</v>
      </c>
      <c r="G1808" s="28" t="s">
        <v>4213</v>
      </c>
      <c r="H1808" s="28" t="s">
        <v>384</v>
      </c>
      <c r="I1808" s="28">
        <v>8</v>
      </c>
      <c r="J1808" s="30">
        <v>3.6999999999999998E-2</v>
      </c>
      <c r="K1808" s="28" t="s">
        <v>496</v>
      </c>
      <c r="L1808" s="31">
        <v>42917</v>
      </c>
      <c r="M1808" s="28">
        <v>7</v>
      </c>
      <c r="N1808" s="32" t="s">
        <v>184</v>
      </c>
      <c r="O1808" s="28" t="s">
        <v>204</v>
      </c>
      <c r="P1808" s="28" t="s">
        <v>4410</v>
      </c>
      <c r="Q1808" s="28" t="s">
        <v>4411</v>
      </c>
      <c r="R1808" s="28" t="s">
        <v>3216</v>
      </c>
    </row>
    <row r="1809" spans="1:18" hidden="1">
      <c r="A1809" s="28">
        <v>4</v>
      </c>
      <c r="B1809" s="29" t="s">
        <v>306</v>
      </c>
      <c r="C1809" s="29" t="s">
        <v>624</v>
      </c>
      <c r="D1809" s="29" t="s">
        <v>2672</v>
      </c>
      <c r="E1809" s="29" t="s">
        <v>172</v>
      </c>
      <c r="F1809" s="28" t="s">
        <v>3776</v>
      </c>
      <c r="G1809" s="28" t="s">
        <v>4213</v>
      </c>
      <c r="H1809" s="28" t="s">
        <v>384</v>
      </c>
      <c r="I1809" s="28">
        <v>8</v>
      </c>
      <c r="J1809" s="30">
        <v>3.6999999999999998E-2</v>
      </c>
      <c r="K1809" s="28" t="s">
        <v>501</v>
      </c>
      <c r="L1809" s="31">
        <v>43405</v>
      </c>
      <c r="M1809" s="28">
        <v>11</v>
      </c>
      <c r="N1809" s="32" t="s">
        <v>191</v>
      </c>
      <c r="O1809" s="28" t="s">
        <v>204</v>
      </c>
      <c r="P1809" s="28" t="s">
        <v>4412</v>
      </c>
      <c r="Q1809" s="28" t="s">
        <v>4413</v>
      </c>
      <c r="R1809" s="28" t="s">
        <v>4414</v>
      </c>
    </row>
    <row r="1810" spans="1:18" hidden="1">
      <c r="A1810" s="28">
        <v>4</v>
      </c>
      <c r="B1810" s="29" t="s">
        <v>306</v>
      </c>
      <c r="C1810" s="29" t="s">
        <v>624</v>
      </c>
      <c r="D1810" s="29" t="s">
        <v>2672</v>
      </c>
      <c r="E1810" s="29" t="s">
        <v>172</v>
      </c>
      <c r="F1810" s="28" t="s">
        <v>3776</v>
      </c>
      <c r="G1810" s="28" t="s">
        <v>4213</v>
      </c>
      <c r="H1810" s="28" t="s">
        <v>384</v>
      </c>
      <c r="I1810" s="28">
        <v>8</v>
      </c>
      <c r="J1810" s="30">
        <v>3.6999999999999998E-2</v>
      </c>
      <c r="K1810" s="28" t="s">
        <v>424</v>
      </c>
      <c r="L1810" s="31">
        <v>43678</v>
      </c>
      <c r="M1810" s="28">
        <v>8</v>
      </c>
      <c r="N1810" s="32" t="s">
        <v>184</v>
      </c>
      <c r="O1810" s="28" t="s">
        <v>204</v>
      </c>
      <c r="P1810" s="28" t="s">
        <v>4415</v>
      </c>
      <c r="Q1810" s="28" t="s">
        <v>4416</v>
      </c>
      <c r="R1810" s="28" t="s">
        <v>4417</v>
      </c>
    </row>
    <row r="1811" spans="1:18" hidden="1">
      <c r="A1811" s="28">
        <v>4</v>
      </c>
      <c r="B1811" s="29" t="s">
        <v>306</v>
      </c>
      <c r="C1811" s="29" t="s">
        <v>624</v>
      </c>
      <c r="D1811" s="29" t="s">
        <v>2672</v>
      </c>
      <c r="E1811" s="29" t="s">
        <v>172</v>
      </c>
      <c r="F1811" s="28" t="s">
        <v>3776</v>
      </c>
      <c r="G1811" s="28" t="s">
        <v>4213</v>
      </c>
      <c r="H1811" s="28" t="s">
        <v>384</v>
      </c>
      <c r="I1811" s="28">
        <v>8</v>
      </c>
      <c r="J1811" s="30">
        <v>3.6999999999999998E-2</v>
      </c>
      <c r="K1811" s="28" t="s">
        <v>752</v>
      </c>
      <c r="L1811" s="31">
        <v>43709</v>
      </c>
      <c r="M1811" s="28">
        <v>9</v>
      </c>
      <c r="N1811" s="32" t="s">
        <v>191</v>
      </c>
      <c r="O1811" s="28" t="s">
        <v>204</v>
      </c>
      <c r="P1811" s="28" t="s">
        <v>4418</v>
      </c>
      <c r="Q1811" s="28" t="s">
        <v>4419</v>
      </c>
      <c r="R1811" s="28" t="s">
        <v>3216</v>
      </c>
    </row>
    <row r="1812" spans="1:18" hidden="1">
      <c r="A1812" s="28">
        <v>4</v>
      </c>
      <c r="B1812" s="29" t="s">
        <v>306</v>
      </c>
      <c r="C1812" s="29" t="s">
        <v>624</v>
      </c>
      <c r="D1812" s="29" t="s">
        <v>630</v>
      </c>
      <c r="E1812" s="29" t="s">
        <v>172</v>
      </c>
      <c r="F1812" s="28" t="s">
        <v>3776</v>
      </c>
      <c r="G1812" s="28" t="s">
        <v>3776</v>
      </c>
      <c r="H1812" s="28" t="s">
        <v>384</v>
      </c>
      <c r="I1812" s="28">
        <v>4</v>
      </c>
      <c r="J1812" s="30">
        <v>6.9000000000000006E-2</v>
      </c>
      <c r="K1812" s="28" t="s">
        <v>4150</v>
      </c>
      <c r="L1812" s="31">
        <v>42036</v>
      </c>
      <c r="M1812" s="28">
        <v>2</v>
      </c>
      <c r="N1812" s="32" t="s">
        <v>176</v>
      </c>
      <c r="O1812" s="28" t="s">
        <v>204</v>
      </c>
      <c r="P1812" s="28" t="s">
        <v>4420</v>
      </c>
      <c r="Q1812" s="28" t="s">
        <v>4136</v>
      </c>
      <c r="R1812" s="28" t="s">
        <v>4137</v>
      </c>
    </row>
    <row r="1813" spans="1:18" hidden="1">
      <c r="A1813" s="28">
        <v>4</v>
      </c>
      <c r="B1813" s="29" t="s">
        <v>306</v>
      </c>
      <c r="C1813" s="29" t="s">
        <v>624</v>
      </c>
      <c r="D1813" s="29" t="s">
        <v>630</v>
      </c>
      <c r="E1813" s="29" t="s">
        <v>172</v>
      </c>
      <c r="F1813" s="28" t="s">
        <v>3776</v>
      </c>
      <c r="G1813" s="28" t="s">
        <v>4213</v>
      </c>
      <c r="H1813" s="28" t="s">
        <v>384</v>
      </c>
      <c r="I1813" s="28">
        <v>8</v>
      </c>
      <c r="J1813" s="30">
        <v>3.6999999999999998E-2</v>
      </c>
      <c r="K1813" s="28" t="s">
        <v>485</v>
      </c>
      <c r="L1813" s="31">
        <v>42401</v>
      </c>
      <c r="M1813" s="28">
        <v>2</v>
      </c>
      <c r="N1813" s="32" t="s">
        <v>176</v>
      </c>
      <c r="O1813" s="28" t="s">
        <v>204</v>
      </c>
      <c r="P1813" s="28" t="s">
        <v>4421</v>
      </c>
      <c r="Q1813" s="28" t="s">
        <v>4422</v>
      </c>
      <c r="R1813" s="28" t="s">
        <v>4414</v>
      </c>
    </row>
    <row r="1814" spans="1:18" hidden="1">
      <c r="A1814" s="28">
        <v>4</v>
      </c>
      <c r="B1814" s="29" t="s">
        <v>306</v>
      </c>
      <c r="C1814" s="29" t="s">
        <v>624</v>
      </c>
      <c r="D1814" s="29" t="s">
        <v>630</v>
      </c>
      <c r="E1814" s="29" t="s">
        <v>172</v>
      </c>
      <c r="F1814" s="28" t="s">
        <v>3776</v>
      </c>
      <c r="G1814" s="28" t="s">
        <v>4213</v>
      </c>
      <c r="H1814" s="28" t="s">
        <v>384</v>
      </c>
      <c r="I1814" s="28">
        <v>8</v>
      </c>
      <c r="J1814" s="30">
        <v>3.6999999999999998E-2</v>
      </c>
      <c r="K1814" s="28" t="s">
        <v>263</v>
      </c>
      <c r="L1814" s="31">
        <v>42430</v>
      </c>
      <c r="M1814" s="28">
        <v>3</v>
      </c>
      <c r="N1814" s="32" t="s">
        <v>191</v>
      </c>
      <c r="O1814" s="28" t="s">
        <v>204</v>
      </c>
      <c r="P1814" s="28" t="s">
        <v>4423</v>
      </c>
      <c r="Q1814" s="28" t="s">
        <v>4424</v>
      </c>
      <c r="R1814" s="28" t="s">
        <v>4417</v>
      </c>
    </row>
    <row r="1815" spans="1:18" hidden="1">
      <c r="A1815" s="28">
        <v>4</v>
      </c>
      <c r="B1815" s="29" t="s">
        <v>306</v>
      </c>
      <c r="C1815" s="29" t="s">
        <v>624</v>
      </c>
      <c r="D1815" s="29" t="s">
        <v>630</v>
      </c>
      <c r="E1815" s="29" t="s">
        <v>172</v>
      </c>
      <c r="F1815" s="28" t="s">
        <v>3776</v>
      </c>
      <c r="G1815" s="28" t="s">
        <v>4213</v>
      </c>
      <c r="H1815" s="28" t="s">
        <v>384</v>
      </c>
      <c r="I1815" s="28">
        <v>8</v>
      </c>
      <c r="J1815" s="30">
        <v>3.6999999999999998E-2</v>
      </c>
      <c r="K1815" s="28" t="s">
        <v>243</v>
      </c>
      <c r="L1815" s="31">
        <v>42461</v>
      </c>
      <c r="M1815" s="28">
        <v>4</v>
      </c>
      <c r="N1815" s="32" t="s">
        <v>191</v>
      </c>
      <c r="O1815" s="28" t="s">
        <v>204</v>
      </c>
      <c r="P1815" s="28" t="s">
        <v>4425</v>
      </c>
      <c r="Q1815" s="28" t="s">
        <v>4426</v>
      </c>
      <c r="R1815" s="28" t="s">
        <v>3216</v>
      </c>
    </row>
    <row r="1816" spans="1:18" hidden="1">
      <c r="A1816" s="28">
        <v>4</v>
      </c>
      <c r="B1816" s="29" t="s">
        <v>306</v>
      </c>
      <c r="C1816" s="29" t="s">
        <v>624</v>
      </c>
      <c r="D1816" s="29" t="s">
        <v>630</v>
      </c>
      <c r="E1816" s="29" t="s">
        <v>172</v>
      </c>
      <c r="F1816" s="28" t="s">
        <v>3776</v>
      </c>
      <c r="G1816" s="28" t="s">
        <v>4213</v>
      </c>
      <c r="H1816" s="28" t="s">
        <v>384</v>
      </c>
      <c r="I1816" s="28">
        <v>8</v>
      </c>
      <c r="J1816" s="30">
        <v>3.6999999999999998E-2</v>
      </c>
      <c r="K1816" s="28" t="s">
        <v>243</v>
      </c>
      <c r="L1816" s="31">
        <v>42461</v>
      </c>
      <c r="M1816" s="28">
        <v>4</v>
      </c>
      <c r="N1816" s="32" t="s">
        <v>191</v>
      </c>
      <c r="O1816" s="28" t="s">
        <v>204</v>
      </c>
      <c r="P1816" s="28" t="s">
        <v>4427</v>
      </c>
      <c r="Q1816" s="28" t="s">
        <v>4411</v>
      </c>
      <c r="R1816" s="28" t="s">
        <v>3216</v>
      </c>
    </row>
    <row r="1817" spans="1:18" hidden="1">
      <c r="A1817" s="28">
        <v>4</v>
      </c>
      <c r="B1817" s="29" t="s">
        <v>306</v>
      </c>
      <c r="C1817" s="29" t="s">
        <v>624</v>
      </c>
      <c r="D1817" s="29" t="s">
        <v>630</v>
      </c>
      <c r="E1817" s="29" t="s">
        <v>172</v>
      </c>
      <c r="F1817" s="28" t="s">
        <v>3776</v>
      </c>
      <c r="G1817" s="28" t="s">
        <v>4213</v>
      </c>
      <c r="H1817" s="28" t="s">
        <v>384</v>
      </c>
      <c r="I1817" s="28">
        <v>8</v>
      </c>
      <c r="J1817" s="30">
        <v>3.6999999999999998E-2</v>
      </c>
      <c r="K1817" s="28" t="s">
        <v>243</v>
      </c>
      <c r="L1817" s="31">
        <v>42461</v>
      </c>
      <c r="M1817" s="28">
        <v>4</v>
      </c>
      <c r="N1817" s="32" t="s">
        <v>191</v>
      </c>
      <c r="O1817" s="28" t="s">
        <v>204</v>
      </c>
      <c r="P1817" s="28" t="s">
        <v>4428</v>
      </c>
      <c r="Q1817" s="28" t="s">
        <v>4429</v>
      </c>
      <c r="R1817" s="28" t="s">
        <v>4417</v>
      </c>
    </row>
    <row r="1818" spans="1:18" hidden="1">
      <c r="A1818" s="28">
        <v>4</v>
      </c>
      <c r="B1818" s="29" t="s">
        <v>306</v>
      </c>
      <c r="C1818" s="29" t="s">
        <v>624</v>
      </c>
      <c r="D1818" s="29" t="s">
        <v>630</v>
      </c>
      <c r="E1818" s="29" t="s">
        <v>172</v>
      </c>
      <c r="F1818" s="28" t="s">
        <v>3776</v>
      </c>
      <c r="G1818" s="28" t="s">
        <v>4213</v>
      </c>
      <c r="H1818" s="28" t="s">
        <v>384</v>
      </c>
      <c r="I1818" s="28">
        <v>8</v>
      </c>
      <c r="J1818" s="30">
        <v>3.6999999999999998E-2</v>
      </c>
      <c r="K1818" s="28" t="s">
        <v>257</v>
      </c>
      <c r="L1818" s="31">
        <v>42552</v>
      </c>
      <c r="M1818" s="28">
        <v>7</v>
      </c>
      <c r="N1818" s="32" t="s">
        <v>184</v>
      </c>
      <c r="O1818" s="28" t="s">
        <v>204</v>
      </c>
      <c r="P1818" s="28" t="s">
        <v>4430</v>
      </c>
      <c r="Q1818" s="28" t="s">
        <v>4426</v>
      </c>
      <c r="R1818" s="28" t="s">
        <v>3216</v>
      </c>
    </row>
    <row r="1819" spans="1:18" hidden="1">
      <c r="A1819" s="28">
        <v>4</v>
      </c>
      <c r="B1819" s="29" t="s">
        <v>306</v>
      </c>
      <c r="C1819" s="29" t="s">
        <v>624</v>
      </c>
      <c r="D1819" s="29" t="s">
        <v>630</v>
      </c>
      <c r="E1819" s="29" t="s">
        <v>172</v>
      </c>
      <c r="F1819" s="28" t="s">
        <v>3776</v>
      </c>
      <c r="G1819" s="28" t="s">
        <v>4213</v>
      </c>
      <c r="H1819" s="28" t="s">
        <v>384</v>
      </c>
      <c r="I1819" s="28">
        <v>8</v>
      </c>
      <c r="J1819" s="30">
        <v>3.6999999999999998E-2</v>
      </c>
      <c r="K1819" s="28" t="s">
        <v>257</v>
      </c>
      <c r="L1819" s="31">
        <v>42552</v>
      </c>
      <c r="M1819" s="28">
        <v>7</v>
      </c>
      <c r="N1819" s="32" t="s">
        <v>184</v>
      </c>
      <c r="O1819" s="28" t="s">
        <v>204</v>
      </c>
      <c r="P1819" s="28" t="s">
        <v>4431</v>
      </c>
      <c r="Q1819" s="28" t="s">
        <v>4411</v>
      </c>
      <c r="R1819" s="28" t="s">
        <v>3216</v>
      </c>
    </row>
    <row r="1820" spans="1:18" hidden="1">
      <c r="A1820" s="28">
        <v>4</v>
      </c>
      <c r="B1820" s="29" t="s">
        <v>306</v>
      </c>
      <c r="C1820" s="29" t="s">
        <v>624</v>
      </c>
      <c r="D1820" s="29" t="s">
        <v>630</v>
      </c>
      <c r="E1820" s="29" t="s">
        <v>172</v>
      </c>
      <c r="F1820" s="28" t="s">
        <v>3776</v>
      </c>
      <c r="G1820" s="28" t="s">
        <v>4213</v>
      </c>
      <c r="H1820" s="28" t="s">
        <v>384</v>
      </c>
      <c r="I1820" s="28">
        <v>8</v>
      </c>
      <c r="J1820" s="30">
        <v>3.6999999999999998E-2</v>
      </c>
      <c r="K1820" s="28" t="s">
        <v>267</v>
      </c>
      <c r="L1820" s="31">
        <v>42583</v>
      </c>
      <c r="M1820" s="28">
        <v>8</v>
      </c>
      <c r="N1820" s="32" t="s">
        <v>184</v>
      </c>
      <c r="O1820" s="28" t="s">
        <v>204</v>
      </c>
      <c r="P1820" s="28" t="s">
        <v>4432</v>
      </c>
      <c r="Q1820" s="28" t="s">
        <v>4426</v>
      </c>
      <c r="R1820" s="28" t="s">
        <v>3216</v>
      </c>
    </row>
    <row r="1821" spans="1:18" hidden="1">
      <c r="A1821" s="28">
        <v>4</v>
      </c>
      <c r="B1821" s="29" t="s">
        <v>306</v>
      </c>
      <c r="C1821" s="29" t="s">
        <v>624</v>
      </c>
      <c r="D1821" s="29" t="s">
        <v>630</v>
      </c>
      <c r="E1821" s="29" t="s">
        <v>172</v>
      </c>
      <c r="F1821" s="28" t="s">
        <v>3776</v>
      </c>
      <c r="G1821" s="28" t="s">
        <v>4213</v>
      </c>
      <c r="H1821" s="28" t="s">
        <v>384</v>
      </c>
      <c r="I1821" s="28">
        <v>8</v>
      </c>
      <c r="J1821" s="30">
        <v>3.6999999999999998E-2</v>
      </c>
      <c r="K1821" s="28" t="s">
        <v>651</v>
      </c>
      <c r="L1821" s="31">
        <v>42644</v>
      </c>
      <c r="M1821" s="28">
        <v>10</v>
      </c>
      <c r="N1821" s="32" t="s">
        <v>191</v>
      </c>
      <c r="O1821" s="28" t="s">
        <v>204</v>
      </c>
      <c r="P1821" s="28" t="s">
        <v>4433</v>
      </c>
      <c r="Q1821" s="28" t="s">
        <v>4426</v>
      </c>
      <c r="R1821" s="28" t="s">
        <v>3216</v>
      </c>
    </row>
    <row r="1822" spans="1:18" hidden="1">
      <c r="A1822" s="28">
        <v>4</v>
      </c>
      <c r="B1822" s="29" t="s">
        <v>306</v>
      </c>
      <c r="C1822" s="29" t="s">
        <v>624</v>
      </c>
      <c r="D1822" s="29" t="s">
        <v>630</v>
      </c>
      <c r="E1822" s="29" t="s">
        <v>172</v>
      </c>
      <c r="F1822" s="28" t="s">
        <v>3776</v>
      </c>
      <c r="G1822" s="28" t="s">
        <v>4213</v>
      </c>
      <c r="H1822" s="28" t="s">
        <v>384</v>
      </c>
      <c r="I1822" s="28">
        <v>8</v>
      </c>
      <c r="J1822" s="30">
        <v>3.6999999999999998E-2</v>
      </c>
      <c r="K1822" s="28" t="s">
        <v>651</v>
      </c>
      <c r="L1822" s="31">
        <v>42644</v>
      </c>
      <c r="M1822" s="28">
        <v>10</v>
      </c>
      <c r="N1822" s="32" t="s">
        <v>191</v>
      </c>
      <c r="O1822" s="28" t="s">
        <v>204</v>
      </c>
      <c r="P1822" s="28" t="s">
        <v>4434</v>
      </c>
      <c r="Q1822" s="28" t="s">
        <v>4411</v>
      </c>
      <c r="R1822" s="28" t="s">
        <v>3216</v>
      </c>
    </row>
    <row r="1823" spans="1:18" hidden="1">
      <c r="A1823" s="28">
        <v>4</v>
      </c>
      <c r="B1823" s="29" t="s">
        <v>306</v>
      </c>
      <c r="C1823" s="29" t="s">
        <v>624</v>
      </c>
      <c r="D1823" s="29" t="s">
        <v>630</v>
      </c>
      <c r="E1823" s="29" t="s">
        <v>172</v>
      </c>
      <c r="F1823" s="28" t="s">
        <v>3776</v>
      </c>
      <c r="G1823" s="28" t="s">
        <v>4213</v>
      </c>
      <c r="H1823" s="28" t="s">
        <v>384</v>
      </c>
      <c r="I1823" s="28">
        <v>8</v>
      </c>
      <c r="J1823" s="30">
        <v>3.6999999999999998E-2</v>
      </c>
      <c r="K1823" s="28" t="s">
        <v>651</v>
      </c>
      <c r="L1823" s="31">
        <v>42644</v>
      </c>
      <c r="M1823" s="28">
        <v>10</v>
      </c>
      <c r="N1823" s="32" t="s">
        <v>191</v>
      </c>
      <c r="O1823" s="28" t="s">
        <v>204</v>
      </c>
      <c r="P1823" s="28" t="s">
        <v>4435</v>
      </c>
      <c r="Q1823" s="28" t="s">
        <v>4429</v>
      </c>
      <c r="R1823" s="28" t="s">
        <v>4417</v>
      </c>
    </row>
    <row r="1824" spans="1:18" hidden="1">
      <c r="A1824" s="28">
        <v>4</v>
      </c>
      <c r="B1824" s="29" t="s">
        <v>306</v>
      </c>
      <c r="C1824" s="29" t="s">
        <v>624</v>
      </c>
      <c r="D1824" s="29" t="s">
        <v>630</v>
      </c>
      <c r="E1824" s="29" t="s">
        <v>172</v>
      </c>
      <c r="F1824" s="28" t="s">
        <v>3776</v>
      </c>
      <c r="G1824" s="28" t="s">
        <v>4213</v>
      </c>
      <c r="H1824" s="28" t="s">
        <v>384</v>
      </c>
      <c r="I1824" s="28">
        <v>8</v>
      </c>
      <c r="J1824" s="30">
        <v>3.6999999999999998E-2</v>
      </c>
      <c r="K1824" s="28" t="s">
        <v>651</v>
      </c>
      <c r="L1824" s="31">
        <v>42644</v>
      </c>
      <c r="M1824" s="28">
        <v>10</v>
      </c>
      <c r="N1824" s="32" t="s">
        <v>191</v>
      </c>
      <c r="O1824" s="28" t="s">
        <v>204</v>
      </c>
      <c r="P1824" s="28" t="s">
        <v>4436</v>
      </c>
      <c r="Q1824" s="28" t="s">
        <v>4422</v>
      </c>
      <c r="R1824" s="28" t="s">
        <v>3216</v>
      </c>
    </row>
    <row r="1825" spans="1:18" hidden="1">
      <c r="A1825" s="28">
        <v>4</v>
      </c>
      <c r="B1825" s="29" t="s">
        <v>306</v>
      </c>
      <c r="C1825" s="29" t="s">
        <v>624</v>
      </c>
      <c r="D1825" s="29" t="s">
        <v>630</v>
      </c>
      <c r="E1825" s="29" t="s">
        <v>172</v>
      </c>
      <c r="F1825" s="28" t="s">
        <v>3776</v>
      </c>
      <c r="G1825" s="28" t="s">
        <v>4213</v>
      </c>
      <c r="H1825" s="28" t="s">
        <v>384</v>
      </c>
      <c r="I1825" s="28">
        <v>8</v>
      </c>
      <c r="J1825" s="30">
        <v>3.6999999999999998E-2</v>
      </c>
      <c r="K1825" s="28" t="s">
        <v>460</v>
      </c>
      <c r="L1825" s="31">
        <v>42675</v>
      </c>
      <c r="M1825" s="28">
        <v>11</v>
      </c>
      <c r="N1825" s="32" t="s">
        <v>191</v>
      </c>
      <c r="O1825" s="28" t="s">
        <v>204</v>
      </c>
      <c r="P1825" s="28" t="s">
        <v>4437</v>
      </c>
      <c r="Q1825" s="28" t="s">
        <v>4411</v>
      </c>
      <c r="R1825" s="28" t="s">
        <v>3216</v>
      </c>
    </row>
    <row r="1826" spans="1:18" hidden="1">
      <c r="A1826" s="28">
        <v>4</v>
      </c>
      <c r="B1826" s="29" t="s">
        <v>306</v>
      </c>
      <c r="C1826" s="29" t="s">
        <v>624</v>
      </c>
      <c r="D1826" s="29" t="s">
        <v>630</v>
      </c>
      <c r="E1826" s="29" t="s">
        <v>172</v>
      </c>
      <c r="F1826" s="28" t="s">
        <v>3776</v>
      </c>
      <c r="G1826" s="28" t="s">
        <v>4213</v>
      </c>
      <c r="H1826" s="28" t="s">
        <v>384</v>
      </c>
      <c r="I1826" s="28">
        <v>8</v>
      </c>
      <c r="J1826" s="30">
        <v>3.6999999999999998E-2</v>
      </c>
      <c r="K1826" s="28" t="s">
        <v>271</v>
      </c>
      <c r="L1826" s="31">
        <v>42856</v>
      </c>
      <c r="M1826" s="28">
        <v>5</v>
      </c>
      <c r="N1826" s="32" t="s">
        <v>191</v>
      </c>
      <c r="O1826" s="28" t="s">
        <v>204</v>
      </c>
      <c r="P1826" s="28" t="s">
        <v>4438</v>
      </c>
      <c r="Q1826" s="28" t="s">
        <v>4439</v>
      </c>
      <c r="R1826" s="28" t="s">
        <v>4440</v>
      </c>
    </row>
    <row r="1827" spans="1:18" hidden="1">
      <c r="A1827" s="28">
        <v>4</v>
      </c>
      <c r="B1827" s="29" t="s">
        <v>306</v>
      </c>
      <c r="C1827" s="29" t="s">
        <v>624</v>
      </c>
      <c r="D1827" s="29" t="s">
        <v>630</v>
      </c>
      <c r="E1827" s="29" t="s">
        <v>172</v>
      </c>
      <c r="F1827" s="28" t="s">
        <v>3776</v>
      </c>
      <c r="G1827" s="28" t="s">
        <v>4213</v>
      </c>
      <c r="H1827" s="28" t="s">
        <v>384</v>
      </c>
      <c r="I1827" s="28">
        <v>8</v>
      </c>
      <c r="J1827" s="30">
        <v>3.6999999999999998E-2</v>
      </c>
      <c r="K1827" s="28" t="s">
        <v>271</v>
      </c>
      <c r="L1827" s="31">
        <v>42856</v>
      </c>
      <c r="M1827" s="28">
        <v>5</v>
      </c>
      <c r="N1827" s="32" t="s">
        <v>191</v>
      </c>
      <c r="O1827" s="28" t="s">
        <v>204</v>
      </c>
      <c r="P1827" s="28" t="s">
        <v>4441</v>
      </c>
      <c r="Q1827" s="28" t="s">
        <v>4422</v>
      </c>
      <c r="R1827" s="28" t="s">
        <v>4414</v>
      </c>
    </row>
    <row r="1828" spans="1:18" hidden="1">
      <c r="A1828" s="28">
        <v>4</v>
      </c>
      <c r="B1828" s="29" t="s">
        <v>306</v>
      </c>
      <c r="C1828" s="29" t="s">
        <v>624</v>
      </c>
      <c r="D1828" s="29" t="s">
        <v>630</v>
      </c>
      <c r="E1828" s="29" t="s">
        <v>172</v>
      </c>
      <c r="F1828" s="28" t="s">
        <v>3776</v>
      </c>
      <c r="G1828" s="28" t="s">
        <v>4213</v>
      </c>
      <c r="H1828" s="28" t="s">
        <v>384</v>
      </c>
      <c r="I1828" s="28">
        <v>8</v>
      </c>
      <c r="J1828" s="30">
        <v>3.6999999999999998E-2</v>
      </c>
      <c r="K1828" s="28" t="s">
        <v>464</v>
      </c>
      <c r="L1828" s="31">
        <v>42887</v>
      </c>
      <c r="M1828" s="28">
        <v>6</v>
      </c>
      <c r="N1828" s="32" t="s">
        <v>184</v>
      </c>
      <c r="O1828" s="28" t="s">
        <v>204</v>
      </c>
      <c r="P1828" s="28" t="s">
        <v>4442</v>
      </c>
      <c r="Q1828" s="28" t="s">
        <v>4426</v>
      </c>
      <c r="R1828" s="28" t="s">
        <v>3216</v>
      </c>
    </row>
    <row r="1829" spans="1:18" hidden="1">
      <c r="A1829" s="28">
        <v>4</v>
      </c>
      <c r="B1829" s="29" t="s">
        <v>306</v>
      </c>
      <c r="C1829" s="29" t="s">
        <v>624</v>
      </c>
      <c r="D1829" s="29" t="s">
        <v>630</v>
      </c>
      <c r="E1829" s="29" t="s">
        <v>172</v>
      </c>
      <c r="F1829" s="28" t="s">
        <v>3776</v>
      </c>
      <c r="G1829" s="28" t="s">
        <v>4213</v>
      </c>
      <c r="H1829" s="28" t="s">
        <v>384</v>
      </c>
      <c r="I1829" s="28">
        <v>8</v>
      </c>
      <c r="J1829" s="30">
        <v>3.6999999999999998E-2</v>
      </c>
      <c r="K1829" s="28" t="s">
        <v>742</v>
      </c>
      <c r="L1829" s="31">
        <v>42948</v>
      </c>
      <c r="M1829" s="28">
        <v>8</v>
      </c>
      <c r="N1829" s="32" t="s">
        <v>184</v>
      </c>
      <c r="O1829" s="28" t="s">
        <v>204</v>
      </c>
      <c r="P1829" s="28" t="s">
        <v>4443</v>
      </c>
      <c r="Q1829" s="28" t="s">
        <v>4444</v>
      </c>
      <c r="R1829" s="28" t="s">
        <v>4445</v>
      </c>
    </row>
    <row r="1830" spans="1:18" hidden="1">
      <c r="A1830" s="28">
        <v>4</v>
      </c>
      <c r="B1830" s="29" t="s">
        <v>306</v>
      </c>
      <c r="C1830" s="29" t="s">
        <v>624</v>
      </c>
      <c r="D1830" s="29" t="s">
        <v>630</v>
      </c>
      <c r="E1830" s="29" t="s">
        <v>172</v>
      </c>
      <c r="F1830" s="28" t="s">
        <v>3776</v>
      </c>
      <c r="G1830" s="28" t="s">
        <v>4213</v>
      </c>
      <c r="H1830" s="28" t="s">
        <v>384</v>
      </c>
      <c r="I1830" s="28">
        <v>8</v>
      </c>
      <c r="J1830" s="30">
        <v>3.6999999999999998E-2</v>
      </c>
      <c r="K1830" s="28" t="s">
        <v>971</v>
      </c>
      <c r="L1830" s="31">
        <v>42979</v>
      </c>
      <c r="M1830" s="28">
        <v>9</v>
      </c>
      <c r="N1830" s="32" t="s">
        <v>191</v>
      </c>
      <c r="O1830" s="28" t="s">
        <v>204</v>
      </c>
      <c r="P1830" s="28" t="s">
        <v>4446</v>
      </c>
      <c r="Q1830" s="28" t="s">
        <v>4426</v>
      </c>
      <c r="R1830" s="28" t="s">
        <v>3216</v>
      </c>
    </row>
    <row r="1831" spans="1:18" hidden="1">
      <c r="A1831" s="28">
        <v>4</v>
      </c>
      <c r="B1831" s="29" t="s">
        <v>306</v>
      </c>
      <c r="C1831" s="29" t="s">
        <v>624</v>
      </c>
      <c r="D1831" s="29" t="s">
        <v>630</v>
      </c>
      <c r="E1831" s="29" t="s">
        <v>172</v>
      </c>
      <c r="F1831" s="28" t="s">
        <v>3776</v>
      </c>
      <c r="G1831" s="28" t="s">
        <v>4213</v>
      </c>
      <c r="H1831" s="28" t="s">
        <v>384</v>
      </c>
      <c r="I1831" s="28">
        <v>8</v>
      </c>
      <c r="J1831" s="30">
        <v>3.6999999999999998E-2</v>
      </c>
      <c r="K1831" s="28" t="s">
        <v>971</v>
      </c>
      <c r="L1831" s="31">
        <v>42979</v>
      </c>
      <c r="M1831" s="28">
        <v>9</v>
      </c>
      <c r="N1831" s="32" t="s">
        <v>191</v>
      </c>
      <c r="O1831" s="28" t="s">
        <v>204</v>
      </c>
      <c r="P1831" s="28" t="s">
        <v>4447</v>
      </c>
      <c r="Q1831" s="28" t="s">
        <v>4426</v>
      </c>
      <c r="R1831" s="28" t="s">
        <v>3216</v>
      </c>
    </row>
    <row r="1832" spans="1:18" hidden="1">
      <c r="A1832" s="28">
        <v>4</v>
      </c>
      <c r="B1832" s="29" t="s">
        <v>306</v>
      </c>
      <c r="C1832" s="29" t="s">
        <v>624</v>
      </c>
      <c r="D1832" s="29" t="s">
        <v>630</v>
      </c>
      <c r="E1832" s="29" t="s">
        <v>172</v>
      </c>
      <c r="F1832" s="28" t="s">
        <v>3776</v>
      </c>
      <c r="G1832" s="28" t="s">
        <v>4213</v>
      </c>
      <c r="H1832" s="28" t="s">
        <v>384</v>
      </c>
      <c r="I1832" s="28">
        <v>8</v>
      </c>
      <c r="J1832" s="30">
        <v>3.6999999999999998E-2</v>
      </c>
      <c r="K1832" s="28" t="s">
        <v>813</v>
      </c>
      <c r="L1832" s="31">
        <v>43009</v>
      </c>
      <c r="M1832" s="28">
        <v>10</v>
      </c>
      <c r="N1832" s="32" t="s">
        <v>191</v>
      </c>
      <c r="O1832" s="28" t="s">
        <v>204</v>
      </c>
      <c r="P1832" s="28" t="s">
        <v>4448</v>
      </c>
      <c r="Q1832" s="28" t="s">
        <v>4426</v>
      </c>
      <c r="R1832" s="28" t="s">
        <v>3216</v>
      </c>
    </row>
    <row r="1833" spans="1:18" hidden="1">
      <c r="A1833" s="28">
        <v>4</v>
      </c>
      <c r="B1833" s="29" t="s">
        <v>306</v>
      </c>
      <c r="C1833" s="29" t="s">
        <v>624</v>
      </c>
      <c r="D1833" s="29" t="s">
        <v>630</v>
      </c>
      <c r="E1833" s="29" t="s">
        <v>172</v>
      </c>
      <c r="F1833" s="28" t="s">
        <v>3776</v>
      </c>
      <c r="G1833" s="28" t="s">
        <v>4213</v>
      </c>
      <c r="H1833" s="28" t="s">
        <v>384</v>
      </c>
      <c r="I1833" s="28">
        <v>8</v>
      </c>
      <c r="J1833" s="30">
        <v>3.6999999999999998E-2</v>
      </c>
      <c r="K1833" s="28" t="s">
        <v>813</v>
      </c>
      <c r="L1833" s="31">
        <v>43009</v>
      </c>
      <c r="M1833" s="28">
        <v>10</v>
      </c>
      <c r="N1833" s="32" t="s">
        <v>191</v>
      </c>
      <c r="O1833" s="28" t="s">
        <v>204</v>
      </c>
      <c r="P1833" s="28" t="s">
        <v>4449</v>
      </c>
      <c r="Q1833" s="28" t="s">
        <v>4450</v>
      </c>
      <c r="R1833" s="28" t="s">
        <v>4414</v>
      </c>
    </row>
    <row r="1834" spans="1:18" hidden="1">
      <c r="A1834" s="28">
        <v>4</v>
      </c>
      <c r="B1834" s="29" t="s">
        <v>306</v>
      </c>
      <c r="C1834" s="29" t="s">
        <v>624</v>
      </c>
      <c r="D1834" s="29" t="s">
        <v>630</v>
      </c>
      <c r="E1834" s="29" t="s">
        <v>172</v>
      </c>
      <c r="F1834" s="28" t="s">
        <v>3776</v>
      </c>
      <c r="G1834" s="28" t="s">
        <v>4213</v>
      </c>
      <c r="H1834" s="28" t="s">
        <v>384</v>
      </c>
      <c r="I1834" s="28">
        <v>8</v>
      </c>
      <c r="J1834" s="30">
        <v>3.6999999999999998E-2</v>
      </c>
      <c r="K1834" s="28" t="s">
        <v>435</v>
      </c>
      <c r="L1834" s="31">
        <v>43040</v>
      </c>
      <c r="M1834" s="28">
        <v>11</v>
      </c>
      <c r="N1834" s="32" t="s">
        <v>191</v>
      </c>
      <c r="O1834" s="28" t="s">
        <v>204</v>
      </c>
      <c r="P1834" s="28" t="s">
        <v>4451</v>
      </c>
      <c r="Q1834" s="28" t="s">
        <v>4411</v>
      </c>
      <c r="R1834" s="28" t="s">
        <v>3216</v>
      </c>
    </row>
    <row r="1835" spans="1:18" hidden="1">
      <c r="A1835" s="28">
        <v>4</v>
      </c>
      <c r="B1835" s="29" t="s">
        <v>306</v>
      </c>
      <c r="C1835" s="29" t="s">
        <v>624</v>
      </c>
      <c r="D1835" s="29" t="s">
        <v>630</v>
      </c>
      <c r="E1835" s="29" t="s">
        <v>172</v>
      </c>
      <c r="F1835" s="28" t="s">
        <v>3776</v>
      </c>
      <c r="G1835" s="28" t="s">
        <v>4213</v>
      </c>
      <c r="H1835" s="28" t="s">
        <v>384</v>
      </c>
      <c r="I1835" s="28">
        <v>8</v>
      </c>
      <c r="J1835" s="30">
        <v>3.6999999999999998E-2</v>
      </c>
      <c r="K1835" s="28" t="s">
        <v>435</v>
      </c>
      <c r="L1835" s="31">
        <v>43040</v>
      </c>
      <c r="M1835" s="28">
        <v>11</v>
      </c>
      <c r="N1835" s="32" t="s">
        <v>191</v>
      </c>
      <c r="O1835" s="28" t="s">
        <v>204</v>
      </c>
      <c r="P1835" s="28" t="s">
        <v>4452</v>
      </c>
      <c r="Q1835" s="28" t="s">
        <v>4411</v>
      </c>
      <c r="R1835" s="28" t="s">
        <v>3216</v>
      </c>
    </row>
    <row r="1836" spans="1:18" hidden="1">
      <c r="A1836" s="28">
        <v>4</v>
      </c>
      <c r="B1836" s="29" t="s">
        <v>306</v>
      </c>
      <c r="C1836" s="29" t="s">
        <v>624</v>
      </c>
      <c r="D1836" s="29" t="s">
        <v>630</v>
      </c>
      <c r="E1836" s="29" t="s">
        <v>172</v>
      </c>
      <c r="F1836" s="28" t="s">
        <v>3776</v>
      </c>
      <c r="G1836" s="28" t="s">
        <v>4213</v>
      </c>
      <c r="H1836" s="28" t="s">
        <v>384</v>
      </c>
      <c r="I1836" s="28">
        <v>8</v>
      </c>
      <c r="J1836" s="30">
        <v>3.6999999999999998E-2</v>
      </c>
      <c r="K1836" s="28" t="s">
        <v>559</v>
      </c>
      <c r="L1836" s="31">
        <v>43252</v>
      </c>
      <c r="M1836" s="28">
        <v>6</v>
      </c>
      <c r="N1836" s="32" t="s">
        <v>184</v>
      </c>
      <c r="O1836" s="28" t="s">
        <v>204</v>
      </c>
      <c r="P1836" s="28" t="s">
        <v>4453</v>
      </c>
      <c r="Q1836" s="28" t="s">
        <v>4411</v>
      </c>
      <c r="R1836" s="28" t="s">
        <v>3216</v>
      </c>
    </row>
    <row r="1837" spans="1:18" hidden="1">
      <c r="A1837" s="28">
        <v>4</v>
      </c>
      <c r="B1837" s="29" t="s">
        <v>306</v>
      </c>
      <c r="C1837" s="29" t="s">
        <v>624</v>
      </c>
      <c r="D1837" s="29" t="s">
        <v>630</v>
      </c>
      <c r="E1837" s="29" t="s">
        <v>172</v>
      </c>
      <c r="F1837" s="28" t="s">
        <v>3776</v>
      </c>
      <c r="G1837" s="28" t="s">
        <v>4213</v>
      </c>
      <c r="H1837" s="28" t="s">
        <v>384</v>
      </c>
      <c r="I1837" s="28">
        <v>8</v>
      </c>
      <c r="J1837" s="30">
        <v>3.6999999999999998E-2</v>
      </c>
      <c r="K1837" s="28" t="s">
        <v>302</v>
      </c>
      <c r="L1837" s="31">
        <v>43282</v>
      </c>
      <c r="M1837" s="28">
        <v>7</v>
      </c>
      <c r="N1837" s="32" t="s">
        <v>184</v>
      </c>
      <c r="O1837" s="28" t="s">
        <v>204</v>
      </c>
      <c r="P1837" s="28" t="s">
        <v>4454</v>
      </c>
      <c r="Q1837" s="28" t="s">
        <v>4422</v>
      </c>
      <c r="R1837" s="28" t="s">
        <v>3216</v>
      </c>
    </row>
    <row r="1838" spans="1:18" hidden="1">
      <c r="A1838" s="28">
        <v>4</v>
      </c>
      <c r="B1838" s="29" t="s">
        <v>306</v>
      </c>
      <c r="C1838" s="29" t="s">
        <v>624</v>
      </c>
      <c r="D1838" s="29" t="s">
        <v>630</v>
      </c>
      <c r="E1838" s="29" t="s">
        <v>172</v>
      </c>
      <c r="F1838" s="28" t="s">
        <v>3776</v>
      </c>
      <c r="G1838" s="28" t="s">
        <v>4213</v>
      </c>
      <c r="H1838" s="28" t="s">
        <v>384</v>
      </c>
      <c r="I1838" s="28">
        <v>8</v>
      </c>
      <c r="J1838" s="30">
        <v>3.6999999999999998E-2</v>
      </c>
      <c r="K1838" s="28" t="s">
        <v>212</v>
      </c>
      <c r="L1838" s="31">
        <v>43313</v>
      </c>
      <c r="M1838" s="28">
        <v>8</v>
      </c>
      <c r="N1838" s="32" t="s">
        <v>184</v>
      </c>
      <c r="O1838" s="28" t="s">
        <v>204</v>
      </c>
      <c r="P1838" s="28" t="s">
        <v>4455</v>
      </c>
      <c r="Q1838" s="28" t="s">
        <v>4411</v>
      </c>
      <c r="R1838" s="28" t="s">
        <v>3216</v>
      </c>
    </row>
    <row r="1839" spans="1:18" hidden="1">
      <c r="A1839" s="28">
        <v>4</v>
      </c>
      <c r="B1839" s="29" t="s">
        <v>306</v>
      </c>
      <c r="C1839" s="29" t="s">
        <v>624</v>
      </c>
      <c r="D1839" s="29" t="s">
        <v>630</v>
      </c>
      <c r="E1839" s="29" t="s">
        <v>172</v>
      </c>
      <c r="F1839" s="28" t="s">
        <v>3776</v>
      </c>
      <c r="G1839" s="28" t="s">
        <v>4213</v>
      </c>
      <c r="H1839" s="28" t="s">
        <v>384</v>
      </c>
      <c r="I1839" s="28">
        <v>8</v>
      </c>
      <c r="J1839" s="30">
        <v>3.6999999999999998E-2</v>
      </c>
      <c r="K1839" s="28" t="s">
        <v>501</v>
      </c>
      <c r="L1839" s="31">
        <v>43405</v>
      </c>
      <c r="M1839" s="28">
        <v>11</v>
      </c>
      <c r="N1839" s="32" t="s">
        <v>191</v>
      </c>
      <c r="O1839" s="28" t="s">
        <v>204</v>
      </c>
      <c r="P1839" s="28" t="s">
        <v>4456</v>
      </c>
      <c r="Q1839" s="28" t="s">
        <v>4457</v>
      </c>
      <c r="R1839" s="28" t="s">
        <v>4414</v>
      </c>
    </row>
    <row r="1840" spans="1:18" hidden="1">
      <c r="A1840" s="28">
        <v>4</v>
      </c>
      <c r="B1840" s="29" t="s">
        <v>306</v>
      </c>
      <c r="C1840" s="29" t="s">
        <v>624</v>
      </c>
      <c r="D1840" s="29" t="s">
        <v>630</v>
      </c>
      <c r="E1840" s="29" t="s">
        <v>172</v>
      </c>
      <c r="F1840" s="28" t="s">
        <v>3776</v>
      </c>
      <c r="G1840" s="28" t="s">
        <v>4213</v>
      </c>
      <c r="H1840" s="28" t="s">
        <v>384</v>
      </c>
      <c r="I1840" s="28">
        <v>8</v>
      </c>
      <c r="J1840" s="30">
        <v>3.6999999999999998E-2</v>
      </c>
      <c r="K1840" s="28" t="s">
        <v>278</v>
      </c>
      <c r="L1840" s="31">
        <v>43525</v>
      </c>
      <c r="M1840" s="28">
        <v>3</v>
      </c>
      <c r="N1840" s="32" t="s">
        <v>191</v>
      </c>
      <c r="O1840" s="28" t="s">
        <v>204</v>
      </c>
      <c r="P1840" s="28" t="s">
        <v>4458</v>
      </c>
      <c r="Q1840" s="28" t="s">
        <v>4459</v>
      </c>
      <c r="R1840" s="28" t="s">
        <v>4460</v>
      </c>
    </row>
    <row r="1841" spans="1:18" hidden="1">
      <c r="A1841" s="28">
        <v>4</v>
      </c>
      <c r="B1841" s="29" t="s">
        <v>306</v>
      </c>
      <c r="C1841" s="29" t="s">
        <v>624</v>
      </c>
      <c r="D1841" s="29" t="s">
        <v>630</v>
      </c>
      <c r="E1841" s="29" t="s">
        <v>172</v>
      </c>
      <c r="F1841" s="28" t="s">
        <v>3776</v>
      </c>
      <c r="G1841" s="28" t="s">
        <v>4213</v>
      </c>
      <c r="H1841" s="28" t="s">
        <v>384</v>
      </c>
      <c r="I1841" s="28">
        <v>8</v>
      </c>
      <c r="J1841" s="30">
        <v>3.6999999999999998E-2</v>
      </c>
      <c r="K1841" s="28" t="s">
        <v>236</v>
      </c>
      <c r="L1841" s="31">
        <v>43617</v>
      </c>
      <c r="M1841" s="28">
        <v>6</v>
      </c>
      <c r="N1841" s="32" t="s">
        <v>184</v>
      </c>
      <c r="O1841" s="28" t="s">
        <v>204</v>
      </c>
      <c r="P1841" s="28" t="s">
        <v>4461</v>
      </c>
      <c r="Q1841" s="28" t="s">
        <v>4426</v>
      </c>
      <c r="R1841" s="28" t="s">
        <v>3216</v>
      </c>
    </row>
    <row r="1842" spans="1:18" hidden="1">
      <c r="A1842" s="28">
        <v>4</v>
      </c>
      <c r="B1842" s="29" t="s">
        <v>306</v>
      </c>
      <c r="C1842" s="29" t="s">
        <v>624</v>
      </c>
      <c r="D1842" s="29" t="s">
        <v>630</v>
      </c>
      <c r="E1842" s="29" t="s">
        <v>172</v>
      </c>
      <c r="F1842" s="28" t="s">
        <v>3776</v>
      </c>
      <c r="G1842" s="28" t="s">
        <v>4213</v>
      </c>
      <c r="H1842" s="28" t="s">
        <v>384</v>
      </c>
      <c r="I1842" s="28">
        <v>8</v>
      </c>
      <c r="J1842" s="30">
        <v>3.6999999999999998E-2</v>
      </c>
      <c r="K1842" s="28" t="s">
        <v>442</v>
      </c>
      <c r="L1842" s="31">
        <v>43647</v>
      </c>
      <c r="M1842" s="28">
        <v>7</v>
      </c>
      <c r="N1842" s="32" t="s">
        <v>184</v>
      </c>
      <c r="O1842" s="28" t="s">
        <v>204</v>
      </c>
      <c r="P1842" s="28" t="s">
        <v>4462</v>
      </c>
      <c r="Q1842" s="28" t="s">
        <v>3215</v>
      </c>
      <c r="R1842" s="28" t="s">
        <v>3216</v>
      </c>
    </row>
    <row r="1843" spans="1:18" hidden="1">
      <c r="A1843" s="28">
        <v>4</v>
      </c>
      <c r="B1843" s="29" t="s">
        <v>306</v>
      </c>
      <c r="C1843" s="29" t="s">
        <v>624</v>
      </c>
      <c r="D1843" s="29" t="s">
        <v>630</v>
      </c>
      <c r="E1843" s="29" t="s">
        <v>172</v>
      </c>
      <c r="F1843" s="28" t="s">
        <v>3776</v>
      </c>
      <c r="G1843" s="28" t="s">
        <v>4213</v>
      </c>
      <c r="H1843" s="28" t="s">
        <v>384</v>
      </c>
      <c r="I1843" s="28">
        <v>8</v>
      </c>
      <c r="J1843" s="30">
        <v>3.6999999999999998E-2</v>
      </c>
      <c r="K1843" s="28" t="s">
        <v>442</v>
      </c>
      <c r="L1843" s="31">
        <v>43647</v>
      </c>
      <c r="M1843" s="28">
        <v>7</v>
      </c>
      <c r="N1843" s="32" t="s">
        <v>184</v>
      </c>
      <c r="O1843" s="28" t="s">
        <v>204</v>
      </c>
      <c r="P1843" s="28" t="s">
        <v>4463</v>
      </c>
      <c r="Q1843" s="28" t="s">
        <v>4426</v>
      </c>
      <c r="R1843" s="28" t="s">
        <v>3216</v>
      </c>
    </row>
    <row r="1844" spans="1:18" hidden="1">
      <c r="A1844" s="28">
        <v>4</v>
      </c>
      <c r="B1844" s="29" t="s">
        <v>306</v>
      </c>
      <c r="C1844" s="29" t="s">
        <v>624</v>
      </c>
      <c r="D1844" s="29" t="s">
        <v>630</v>
      </c>
      <c r="E1844" s="29" t="s">
        <v>172</v>
      </c>
      <c r="F1844" s="28" t="s">
        <v>3776</v>
      </c>
      <c r="G1844" s="28" t="s">
        <v>4213</v>
      </c>
      <c r="H1844" s="28" t="s">
        <v>384</v>
      </c>
      <c r="I1844" s="28">
        <v>8</v>
      </c>
      <c r="J1844" s="30">
        <v>3.6999999999999998E-2</v>
      </c>
      <c r="K1844" s="28" t="s">
        <v>424</v>
      </c>
      <c r="L1844" s="31">
        <v>43678</v>
      </c>
      <c r="M1844" s="28">
        <v>8</v>
      </c>
      <c r="N1844" s="32" t="s">
        <v>184</v>
      </c>
      <c r="O1844" s="28" t="s">
        <v>204</v>
      </c>
      <c r="P1844" s="28" t="s">
        <v>4464</v>
      </c>
      <c r="Q1844" s="28" t="s">
        <v>4426</v>
      </c>
      <c r="R1844" s="28" t="s">
        <v>3216</v>
      </c>
    </row>
    <row r="1845" spans="1:18" hidden="1">
      <c r="A1845" s="28">
        <v>4</v>
      </c>
      <c r="B1845" s="29" t="s">
        <v>306</v>
      </c>
      <c r="C1845" s="29" t="s">
        <v>624</v>
      </c>
      <c r="D1845" s="29" t="s">
        <v>630</v>
      </c>
      <c r="E1845" s="29" t="s">
        <v>172</v>
      </c>
      <c r="F1845" s="28" t="s">
        <v>3776</v>
      </c>
      <c r="G1845" s="28" t="s">
        <v>4213</v>
      </c>
      <c r="H1845" s="28" t="s">
        <v>384</v>
      </c>
      <c r="I1845" s="28">
        <v>8</v>
      </c>
      <c r="J1845" s="30">
        <v>3.6999999999999998E-2</v>
      </c>
      <c r="K1845" s="28" t="s">
        <v>479</v>
      </c>
      <c r="L1845" s="31">
        <v>43770</v>
      </c>
      <c r="M1845" s="28">
        <v>11</v>
      </c>
      <c r="N1845" s="32" t="s">
        <v>191</v>
      </c>
      <c r="O1845" s="28" t="s">
        <v>204</v>
      </c>
      <c r="P1845" s="28" t="s">
        <v>4465</v>
      </c>
      <c r="Q1845" s="28" t="s">
        <v>4426</v>
      </c>
      <c r="R1845" s="28" t="s">
        <v>3216</v>
      </c>
    </row>
    <row r="1846" spans="1:18" hidden="1">
      <c r="A1846" s="28">
        <v>4</v>
      </c>
      <c r="B1846" s="29" t="s">
        <v>306</v>
      </c>
      <c r="C1846" s="29" t="s">
        <v>624</v>
      </c>
      <c r="D1846" s="29" t="s">
        <v>630</v>
      </c>
      <c r="E1846" s="29" t="s">
        <v>172</v>
      </c>
      <c r="F1846" s="28" t="s">
        <v>3776</v>
      </c>
      <c r="G1846" s="28" t="s">
        <v>4213</v>
      </c>
      <c r="H1846" s="28" t="s">
        <v>384</v>
      </c>
      <c r="I1846" s="28">
        <v>8</v>
      </c>
      <c r="J1846" s="30">
        <v>3.6999999999999998E-2</v>
      </c>
      <c r="K1846" s="28" t="s">
        <v>479</v>
      </c>
      <c r="L1846" s="31">
        <v>43770</v>
      </c>
      <c r="M1846" s="28">
        <v>11</v>
      </c>
      <c r="N1846" s="32" t="s">
        <v>191</v>
      </c>
      <c r="O1846" s="28" t="s">
        <v>204</v>
      </c>
      <c r="P1846" s="28" t="s">
        <v>4466</v>
      </c>
      <c r="Q1846" s="28" t="s">
        <v>4426</v>
      </c>
      <c r="R1846" s="28" t="s">
        <v>3216</v>
      </c>
    </row>
    <row r="1847" spans="1:18" hidden="1">
      <c r="A1847" s="28">
        <v>4</v>
      </c>
      <c r="B1847" s="29" t="s">
        <v>306</v>
      </c>
      <c r="C1847" s="29" t="s">
        <v>624</v>
      </c>
      <c r="D1847" s="29" t="s">
        <v>630</v>
      </c>
      <c r="E1847" s="29" t="s">
        <v>172</v>
      </c>
      <c r="F1847" s="28" t="s">
        <v>3776</v>
      </c>
      <c r="G1847" s="28" t="s">
        <v>4213</v>
      </c>
      <c r="H1847" s="28" t="s">
        <v>384</v>
      </c>
      <c r="I1847" s="28">
        <v>8</v>
      </c>
      <c r="J1847" s="30">
        <v>3.6999999999999998E-2</v>
      </c>
      <c r="K1847" s="28" t="s">
        <v>324</v>
      </c>
      <c r="L1847" s="31">
        <v>43862</v>
      </c>
      <c r="M1847" s="28">
        <v>2</v>
      </c>
      <c r="N1847" s="32" t="s">
        <v>176</v>
      </c>
      <c r="O1847" s="28" t="s">
        <v>204</v>
      </c>
      <c r="P1847" s="28" t="s">
        <v>4467</v>
      </c>
      <c r="Q1847" s="28" t="s">
        <v>4426</v>
      </c>
      <c r="R1847" s="28" t="s">
        <v>3216</v>
      </c>
    </row>
    <row r="1848" spans="1:18" hidden="1">
      <c r="A1848" s="28">
        <v>4</v>
      </c>
      <c r="B1848" s="29" t="s">
        <v>306</v>
      </c>
      <c r="C1848" s="29" t="s">
        <v>624</v>
      </c>
      <c r="D1848" s="29" t="s">
        <v>630</v>
      </c>
      <c r="E1848" s="29" t="s">
        <v>172</v>
      </c>
      <c r="F1848" s="28" t="s">
        <v>3776</v>
      </c>
      <c r="G1848" s="28" t="s">
        <v>4213</v>
      </c>
      <c r="H1848" s="28" t="s">
        <v>384</v>
      </c>
      <c r="I1848" s="28">
        <v>8</v>
      </c>
      <c r="J1848" s="30">
        <v>3.6999999999999998E-2</v>
      </c>
      <c r="K1848" s="28" t="s">
        <v>415</v>
      </c>
      <c r="L1848" s="31">
        <v>43952</v>
      </c>
      <c r="M1848" s="28">
        <v>5</v>
      </c>
      <c r="N1848" s="32" t="s">
        <v>191</v>
      </c>
      <c r="O1848" s="28" t="s">
        <v>204</v>
      </c>
      <c r="P1848" s="28" t="s">
        <v>4468</v>
      </c>
      <c r="Q1848" s="28" t="s">
        <v>3215</v>
      </c>
      <c r="R1848" s="28" t="s">
        <v>3216</v>
      </c>
    </row>
    <row r="1849" spans="1:18" hidden="1">
      <c r="A1849" s="28">
        <v>4</v>
      </c>
      <c r="B1849" s="29" t="s">
        <v>306</v>
      </c>
      <c r="C1849" s="29" t="s">
        <v>624</v>
      </c>
      <c r="D1849" s="29" t="s">
        <v>630</v>
      </c>
      <c r="E1849" s="29" t="s">
        <v>172</v>
      </c>
      <c r="F1849" s="28" t="s">
        <v>3776</v>
      </c>
      <c r="G1849" s="28" t="s">
        <v>4213</v>
      </c>
      <c r="H1849" s="28" t="s">
        <v>384</v>
      </c>
      <c r="I1849" s="28">
        <v>8</v>
      </c>
      <c r="J1849" s="30">
        <v>3.6999999999999998E-2</v>
      </c>
      <c r="K1849" s="28" t="s">
        <v>415</v>
      </c>
      <c r="L1849" s="31">
        <v>43952</v>
      </c>
      <c r="M1849" s="28">
        <v>5</v>
      </c>
      <c r="N1849" s="32" t="s">
        <v>191</v>
      </c>
      <c r="O1849" s="28" t="s">
        <v>204</v>
      </c>
      <c r="P1849" s="28" t="s">
        <v>4469</v>
      </c>
      <c r="Q1849" s="28" t="s">
        <v>4426</v>
      </c>
      <c r="R1849" s="28" t="s">
        <v>3216</v>
      </c>
    </row>
    <row r="1850" spans="1:18" hidden="1">
      <c r="A1850" s="28">
        <v>4</v>
      </c>
      <c r="B1850" s="29" t="s">
        <v>306</v>
      </c>
      <c r="C1850" s="29" t="s">
        <v>624</v>
      </c>
      <c r="D1850" s="29" t="s">
        <v>630</v>
      </c>
      <c r="E1850" s="29" t="s">
        <v>172</v>
      </c>
      <c r="F1850" s="28" t="s">
        <v>3776</v>
      </c>
      <c r="G1850" s="28" t="s">
        <v>4213</v>
      </c>
      <c r="H1850" s="28" t="s">
        <v>384</v>
      </c>
      <c r="I1850" s="28">
        <v>8</v>
      </c>
      <c r="J1850" s="30">
        <v>3.6999999999999998E-2</v>
      </c>
      <c r="K1850" s="28" t="s">
        <v>415</v>
      </c>
      <c r="L1850" s="31">
        <v>43952</v>
      </c>
      <c r="M1850" s="28">
        <v>5</v>
      </c>
      <c r="N1850" s="32" t="s">
        <v>191</v>
      </c>
      <c r="O1850" s="28" t="s">
        <v>204</v>
      </c>
      <c r="P1850" s="28" t="s">
        <v>4470</v>
      </c>
      <c r="Q1850" s="28" t="s">
        <v>4426</v>
      </c>
      <c r="R1850" s="28" t="s">
        <v>3216</v>
      </c>
    </row>
    <row r="1851" spans="1:18" hidden="1">
      <c r="A1851" s="28">
        <v>4</v>
      </c>
      <c r="B1851" s="29" t="s">
        <v>306</v>
      </c>
      <c r="C1851" s="29" t="s">
        <v>624</v>
      </c>
      <c r="D1851" s="29" t="s">
        <v>630</v>
      </c>
      <c r="E1851" s="29" t="s">
        <v>172</v>
      </c>
      <c r="F1851" s="28" t="s">
        <v>3776</v>
      </c>
      <c r="G1851" s="28" t="s">
        <v>4213</v>
      </c>
      <c r="H1851" s="28" t="s">
        <v>384</v>
      </c>
      <c r="I1851" s="28">
        <v>8</v>
      </c>
      <c r="J1851" s="30">
        <v>3.6999999999999998E-2</v>
      </c>
      <c r="K1851" s="28" t="s">
        <v>415</v>
      </c>
      <c r="L1851" s="31">
        <v>43952</v>
      </c>
      <c r="M1851" s="28">
        <v>5</v>
      </c>
      <c r="N1851" s="32" t="s">
        <v>191</v>
      </c>
      <c r="O1851" s="28" t="s">
        <v>204</v>
      </c>
      <c r="P1851" s="28" t="s">
        <v>4471</v>
      </c>
      <c r="Q1851" s="28" t="s">
        <v>4429</v>
      </c>
      <c r="R1851" s="28" t="s">
        <v>4417</v>
      </c>
    </row>
    <row r="1852" spans="1:18" hidden="1">
      <c r="A1852" s="28">
        <v>4</v>
      </c>
      <c r="B1852" s="29" t="s">
        <v>306</v>
      </c>
      <c r="C1852" s="29" t="s">
        <v>624</v>
      </c>
      <c r="D1852" s="29" t="s">
        <v>630</v>
      </c>
      <c r="E1852" s="29" t="s">
        <v>172</v>
      </c>
      <c r="F1852" s="28" t="s">
        <v>3776</v>
      </c>
      <c r="G1852" s="28" t="s">
        <v>4213</v>
      </c>
      <c r="H1852" s="28" t="s">
        <v>384</v>
      </c>
      <c r="I1852" s="28">
        <v>8</v>
      </c>
      <c r="J1852" s="30">
        <v>3.6999999999999998E-2</v>
      </c>
      <c r="K1852" s="28" t="s">
        <v>218</v>
      </c>
      <c r="L1852" s="31">
        <v>44044</v>
      </c>
      <c r="M1852" s="28">
        <v>8</v>
      </c>
      <c r="N1852" s="32" t="s">
        <v>184</v>
      </c>
      <c r="O1852" s="28" t="s">
        <v>204</v>
      </c>
      <c r="P1852" s="28" t="s">
        <v>4472</v>
      </c>
      <c r="Q1852" s="28" t="s">
        <v>4473</v>
      </c>
      <c r="R1852" s="28" t="s">
        <v>4474</v>
      </c>
    </row>
    <row r="1853" spans="1:18" hidden="1">
      <c r="A1853" s="28">
        <v>4</v>
      </c>
      <c r="B1853" s="29" t="s">
        <v>306</v>
      </c>
      <c r="C1853" s="29" t="s">
        <v>624</v>
      </c>
      <c r="D1853" s="29" t="s">
        <v>630</v>
      </c>
      <c r="E1853" s="29" t="s">
        <v>172</v>
      </c>
      <c r="F1853" s="28" t="s">
        <v>3776</v>
      </c>
      <c r="G1853" s="28" t="s">
        <v>4213</v>
      </c>
      <c r="H1853" s="28" t="s">
        <v>384</v>
      </c>
      <c r="I1853" s="28">
        <v>8</v>
      </c>
      <c r="J1853" s="30">
        <v>3.6999999999999998E-2</v>
      </c>
      <c r="K1853" s="28" t="s">
        <v>646</v>
      </c>
      <c r="L1853" s="31">
        <v>44075</v>
      </c>
      <c r="M1853" s="28">
        <v>9</v>
      </c>
      <c r="N1853" s="32" t="s">
        <v>191</v>
      </c>
      <c r="O1853" s="28" t="s">
        <v>204</v>
      </c>
      <c r="P1853" s="28" t="s">
        <v>4475</v>
      </c>
      <c r="Q1853" s="28" t="s">
        <v>4450</v>
      </c>
      <c r="R1853" s="28" t="s">
        <v>4414</v>
      </c>
    </row>
    <row r="1854" spans="1:18" hidden="1">
      <c r="A1854" s="28">
        <v>4</v>
      </c>
      <c r="B1854" s="29" t="s">
        <v>306</v>
      </c>
      <c r="C1854" s="29" t="s">
        <v>624</v>
      </c>
      <c r="D1854" s="29" t="s">
        <v>630</v>
      </c>
      <c r="E1854" s="29" t="s">
        <v>172</v>
      </c>
      <c r="F1854" s="28" t="s">
        <v>3776</v>
      </c>
      <c r="G1854" s="28" t="s">
        <v>4213</v>
      </c>
      <c r="H1854" s="28" t="s">
        <v>384</v>
      </c>
      <c r="I1854" s="28">
        <v>8</v>
      </c>
      <c r="J1854" s="30">
        <v>3.6999999999999998E-2</v>
      </c>
      <c r="K1854" s="28" t="s">
        <v>823</v>
      </c>
      <c r="L1854" s="31">
        <v>44136</v>
      </c>
      <c r="M1854" s="28">
        <v>11</v>
      </c>
      <c r="N1854" s="32" t="s">
        <v>191</v>
      </c>
      <c r="O1854" s="28" t="s">
        <v>204</v>
      </c>
      <c r="P1854" s="28" t="s">
        <v>4476</v>
      </c>
      <c r="Q1854" s="28" t="s">
        <v>4426</v>
      </c>
      <c r="R1854" s="28" t="s">
        <v>3216</v>
      </c>
    </row>
    <row r="1855" spans="1:18" hidden="1">
      <c r="A1855" s="28">
        <v>4</v>
      </c>
      <c r="B1855" s="29" t="s">
        <v>306</v>
      </c>
      <c r="C1855" s="29" t="s">
        <v>624</v>
      </c>
      <c r="D1855" s="29" t="s">
        <v>630</v>
      </c>
      <c r="E1855" s="29" t="s">
        <v>172</v>
      </c>
      <c r="F1855" s="28" t="s">
        <v>3776</v>
      </c>
      <c r="G1855" s="28" t="s">
        <v>4213</v>
      </c>
      <c r="H1855" s="28" t="s">
        <v>384</v>
      </c>
      <c r="I1855" s="28">
        <v>8</v>
      </c>
      <c r="J1855" s="30">
        <v>3.6999999999999998E-2</v>
      </c>
      <c r="K1855" s="28" t="s">
        <v>823</v>
      </c>
      <c r="L1855" s="31">
        <v>44136</v>
      </c>
      <c r="M1855" s="28">
        <v>11</v>
      </c>
      <c r="N1855" s="32" t="s">
        <v>191</v>
      </c>
      <c r="O1855" s="28" t="s">
        <v>204</v>
      </c>
      <c r="P1855" s="28" t="s">
        <v>4477</v>
      </c>
      <c r="Q1855" s="28" t="s">
        <v>4450</v>
      </c>
      <c r="R1855" s="28" t="s">
        <v>4414</v>
      </c>
    </row>
    <row r="1856" spans="1:18" hidden="1">
      <c r="A1856" s="28">
        <v>4</v>
      </c>
      <c r="B1856" s="29" t="s">
        <v>306</v>
      </c>
      <c r="C1856" s="29" t="s">
        <v>624</v>
      </c>
      <c r="D1856" s="29" t="s">
        <v>630</v>
      </c>
      <c r="E1856" s="29" t="s">
        <v>172</v>
      </c>
      <c r="F1856" s="28" t="s">
        <v>3776</v>
      </c>
      <c r="G1856" s="28" t="s">
        <v>4213</v>
      </c>
      <c r="H1856" s="28" t="s">
        <v>384</v>
      </c>
      <c r="I1856" s="28">
        <v>8</v>
      </c>
      <c r="J1856" s="30">
        <v>3.6999999999999998E-2</v>
      </c>
      <c r="K1856" s="28" t="s">
        <v>823</v>
      </c>
      <c r="L1856" s="31">
        <v>44136</v>
      </c>
      <c r="M1856" s="28">
        <v>11</v>
      </c>
      <c r="N1856" s="32" t="s">
        <v>191</v>
      </c>
      <c r="O1856" s="28" t="s">
        <v>204</v>
      </c>
      <c r="P1856" s="28" t="s">
        <v>4478</v>
      </c>
      <c r="Q1856" s="28" t="s">
        <v>4422</v>
      </c>
      <c r="R1856" s="28" t="s">
        <v>3216</v>
      </c>
    </row>
    <row r="1857" spans="1:18" hidden="1">
      <c r="A1857" s="28">
        <v>4</v>
      </c>
      <c r="B1857" s="29" t="s">
        <v>306</v>
      </c>
      <c r="C1857" s="29" t="s">
        <v>624</v>
      </c>
      <c r="D1857" s="29" t="s">
        <v>630</v>
      </c>
      <c r="E1857" s="29" t="s">
        <v>172</v>
      </c>
      <c r="F1857" s="28" t="s">
        <v>3776</v>
      </c>
      <c r="G1857" s="28" t="s">
        <v>4213</v>
      </c>
      <c r="H1857" s="28" t="s">
        <v>384</v>
      </c>
      <c r="I1857" s="28">
        <v>8</v>
      </c>
      <c r="J1857" s="30">
        <v>3.6999999999999998E-2</v>
      </c>
      <c r="K1857" s="28" t="s">
        <v>730</v>
      </c>
      <c r="L1857" s="31">
        <v>44166</v>
      </c>
      <c r="M1857" s="28">
        <v>12</v>
      </c>
      <c r="N1857" s="32" t="s">
        <v>176</v>
      </c>
      <c r="O1857" s="28" t="s">
        <v>204</v>
      </c>
      <c r="P1857" s="28" t="s">
        <v>4479</v>
      </c>
      <c r="Q1857" s="28" t="s">
        <v>4429</v>
      </c>
      <c r="R1857" s="28" t="s">
        <v>4417</v>
      </c>
    </row>
    <row r="1858" spans="1:18" hidden="1">
      <c r="A1858" s="28">
        <v>4</v>
      </c>
      <c r="B1858" s="29" t="s">
        <v>306</v>
      </c>
      <c r="C1858" s="29" t="s">
        <v>624</v>
      </c>
      <c r="D1858" s="29" t="s">
        <v>630</v>
      </c>
      <c r="E1858" s="29" t="s">
        <v>172</v>
      </c>
      <c r="F1858" s="28" t="s">
        <v>3776</v>
      </c>
      <c r="G1858" s="28" t="s">
        <v>4213</v>
      </c>
      <c r="H1858" s="28" t="s">
        <v>384</v>
      </c>
      <c r="I1858" s="28">
        <v>8</v>
      </c>
      <c r="J1858" s="30">
        <v>3.6999999999999998E-2</v>
      </c>
      <c r="K1858" s="28" t="s">
        <v>730</v>
      </c>
      <c r="L1858" s="31">
        <v>44166</v>
      </c>
      <c r="M1858" s="28">
        <v>12</v>
      </c>
      <c r="N1858" s="32" t="s">
        <v>176</v>
      </c>
      <c r="O1858" s="28" t="s">
        <v>204</v>
      </c>
      <c r="P1858" s="28" t="s">
        <v>4480</v>
      </c>
      <c r="Q1858" s="28" t="s">
        <v>4481</v>
      </c>
      <c r="R1858" s="28" t="s">
        <v>4460</v>
      </c>
    </row>
    <row r="1859" spans="1:18" hidden="1">
      <c r="A1859" s="28">
        <v>4</v>
      </c>
      <c r="B1859" s="29" t="s">
        <v>306</v>
      </c>
      <c r="C1859" s="29" t="s">
        <v>624</v>
      </c>
      <c r="D1859" s="29" t="s">
        <v>630</v>
      </c>
      <c r="E1859" s="29" t="s">
        <v>172</v>
      </c>
      <c r="F1859" s="28" t="s">
        <v>3776</v>
      </c>
      <c r="G1859" s="28" t="s">
        <v>4213</v>
      </c>
      <c r="H1859" s="28" t="s">
        <v>384</v>
      </c>
      <c r="I1859" s="28">
        <v>8</v>
      </c>
      <c r="J1859" s="30">
        <v>3.6999999999999998E-2</v>
      </c>
      <c r="K1859" s="28" t="s">
        <v>522</v>
      </c>
      <c r="L1859" s="31">
        <v>44256</v>
      </c>
      <c r="M1859" s="28">
        <v>3</v>
      </c>
      <c r="N1859" s="32" t="s">
        <v>191</v>
      </c>
      <c r="O1859" s="28" t="s">
        <v>204</v>
      </c>
      <c r="P1859" s="28" t="s">
        <v>4482</v>
      </c>
      <c r="Q1859" s="28" t="s">
        <v>4483</v>
      </c>
      <c r="R1859" s="28" t="s">
        <v>4484</v>
      </c>
    </row>
    <row r="1860" spans="1:18" hidden="1">
      <c r="A1860" s="28">
        <v>4</v>
      </c>
      <c r="B1860" s="29" t="s">
        <v>306</v>
      </c>
      <c r="C1860" s="29" t="s">
        <v>624</v>
      </c>
      <c r="D1860" s="29" t="s">
        <v>630</v>
      </c>
      <c r="E1860" s="29" t="s">
        <v>172</v>
      </c>
      <c r="F1860" s="28" t="s">
        <v>3776</v>
      </c>
      <c r="G1860" s="28" t="s">
        <v>4213</v>
      </c>
      <c r="H1860" s="28" t="s">
        <v>384</v>
      </c>
      <c r="I1860" s="28">
        <v>8</v>
      </c>
      <c r="J1860" s="30">
        <v>3.6999999999999998E-2</v>
      </c>
      <c r="K1860" s="28" t="s">
        <v>522</v>
      </c>
      <c r="L1860" s="31">
        <v>44256</v>
      </c>
      <c r="M1860" s="28">
        <v>3</v>
      </c>
      <c r="N1860" s="32" t="s">
        <v>191</v>
      </c>
      <c r="O1860" s="28" t="s">
        <v>204</v>
      </c>
      <c r="P1860" s="28" t="s">
        <v>4485</v>
      </c>
      <c r="Q1860" s="28" t="s">
        <v>4426</v>
      </c>
      <c r="R1860" s="28" t="s">
        <v>3216</v>
      </c>
    </row>
    <row r="1861" spans="1:18" hidden="1">
      <c r="A1861" s="28">
        <v>4</v>
      </c>
      <c r="B1861" s="29" t="s">
        <v>306</v>
      </c>
      <c r="C1861" s="29" t="s">
        <v>624</v>
      </c>
      <c r="D1861" s="29" t="s">
        <v>630</v>
      </c>
      <c r="E1861" s="29" t="s">
        <v>172</v>
      </c>
      <c r="F1861" s="28" t="s">
        <v>3776</v>
      </c>
      <c r="G1861" s="28" t="s">
        <v>4213</v>
      </c>
      <c r="H1861" s="28" t="s">
        <v>384</v>
      </c>
      <c r="I1861" s="28">
        <v>8</v>
      </c>
      <c r="J1861" s="30">
        <v>3.6999999999999998E-2</v>
      </c>
      <c r="K1861" s="28" t="s">
        <v>345</v>
      </c>
      <c r="L1861" s="31">
        <v>44440</v>
      </c>
      <c r="M1861" s="28">
        <v>9</v>
      </c>
      <c r="N1861" s="32" t="s">
        <v>191</v>
      </c>
      <c r="O1861" s="28" t="s">
        <v>204</v>
      </c>
      <c r="P1861" s="28" t="s">
        <v>4486</v>
      </c>
      <c r="Q1861" s="28" t="s">
        <v>4487</v>
      </c>
      <c r="R1861" s="28" t="s">
        <v>4414</v>
      </c>
    </row>
    <row r="1862" spans="1:18" hidden="1">
      <c r="A1862" s="28">
        <v>4</v>
      </c>
      <c r="B1862" s="29" t="s">
        <v>306</v>
      </c>
      <c r="C1862" s="29" t="s">
        <v>624</v>
      </c>
      <c r="D1862" s="29" t="s">
        <v>630</v>
      </c>
      <c r="E1862" s="29" t="s">
        <v>172</v>
      </c>
      <c r="F1862" s="28" t="s">
        <v>3776</v>
      </c>
      <c r="G1862" s="28" t="s">
        <v>4213</v>
      </c>
      <c r="H1862" s="28" t="s">
        <v>384</v>
      </c>
      <c r="I1862" s="28">
        <v>8</v>
      </c>
      <c r="J1862" s="30">
        <v>3.6999999999999998E-2</v>
      </c>
      <c r="K1862" s="28" t="s">
        <v>345</v>
      </c>
      <c r="L1862" s="31">
        <v>44440</v>
      </c>
      <c r="M1862" s="28">
        <v>9</v>
      </c>
      <c r="N1862" s="32" t="s">
        <v>191</v>
      </c>
      <c r="O1862" s="28" t="s">
        <v>204</v>
      </c>
      <c r="P1862" s="28" t="s">
        <v>4488</v>
      </c>
      <c r="Q1862" s="28" t="s">
        <v>4483</v>
      </c>
      <c r="R1862" s="28" t="s">
        <v>4484</v>
      </c>
    </row>
    <row r="1863" spans="1:18" hidden="1">
      <c r="A1863" s="28">
        <v>4</v>
      </c>
      <c r="B1863" s="29" t="s">
        <v>306</v>
      </c>
      <c r="C1863" s="29" t="s">
        <v>624</v>
      </c>
      <c r="D1863" s="29" t="s">
        <v>630</v>
      </c>
      <c r="E1863" s="29" t="s">
        <v>172</v>
      </c>
      <c r="F1863" s="28" t="s">
        <v>3776</v>
      </c>
      <c r="G1863" s="28" t="s">
        <v>4213</v>
      </c>
      <c r="H1863" s="28" t="s">
        <v>384</v>
      </c>
      <c r="I1863" s="28">
        <v>8</v>
      </c>
      <c r="J1863" s="30">
        <v>3.6999999999999998E-2</v>
      </c>
      <c r="K1863" s="28" t="s">
        <v>670</v>
      </c>
      <c r="L1863" s="31">
        <v>44501</v>
      </c>
      <c r="M1863" s="28">
        <v>11</v>
      </c>
      <c r="N1863" s="32" t="s">
        <v>191</v>
      </c>
      <c r="O1863" s="28" t="s">
        <v>204</v>
      </c>
      <c r="P1863" s="28" t="s">
        <v>4489</v>
      </c>
      <c r="Q1863" s="28" t="s">
        <v>4422</v>
      </c>
      <c r="R1863" s="28" t="s">
        <v>3216</v>
      </c>
    </row>
    <row r="1864" spans="1:18" hidden="1">
      <c r="A1864" s="28">
        <v>4</v>
      </c>
      <c r="B1864" s="29" t="s">
        <v>306</v>
      </c>
      <c r="C1864" s="29" t="s">
        <v>649</v>
      </c>
      <c r="D1864" s="29" t="s">
        <v>2481</v>
      </c>
      <c r="E1864" s="29" t="s">
        <v>172</v>
      </c>
      <c r="F1864" s="28" t="s">
        <v>3776</v>
      </c>
      <c r="G1864" s="28" t="s">
        <v>3776</v>
      </c>
      <c r="H1864" s="28" t="s">
        <v>384</v>
      </c>
      <c r="I1864" s="28">
        <v>4</v>
      </c>
      <c r="J1864" s="30">
        <v>6.9000000000000006E-2</v>
      </c>
      <c r="K1864" s="28" t="s">
        <v>289</v>
      </c>
      <c r="L1864" s="31">
        <v>42795</v>
      </c>
      <c r="M1864" s="28">
        <v>3</v>
      </c>
      <c r="N1864" s="32" t="s">
        <v>191</v>
      </c>
      <c r="O1864" s="28" t="s">
        <v>177</v>
      </c>
      <c r="P1864" s="28" t="s">
        <v>4490</v>
      </c>
      <c r="Q1864" s="28" t="s">
        <v>4491</v>
      </c>
      <c r="R1864" s="28" t="s">
        <v>4492</v>
      </c>
    </row>
    <row r="1865" spans="1:18" hidden="1">
      <c r="A1865" s="28">
        <v>4</v>
      </c>
      <c r="B1865" s="29" t="s">
        <v>306</v>
      </c>
      <c r="C1865" s="29" t="s">
        <v>649</v>
      </c>
      <c r="D1865" s="29" t="s">
        <v>650</v>
      </c>
      <c r="E1865" s="29" t="s">
        <v>172</v>
      </c>
      <c r="F1865" s="28" t="s">
        <v>3776</v>
      </c>
      <c r="G1865" s="28" t="s">
        <v>3776</v>
      </c>
      <c r="H1865" s="28" t="s">
        <v>384</v>
      </c>
      <c r="I1865" s="28">
        <v>4</v>
      </c>
      <c r="J1865" s="30">
        <v>6.9000000000000006E-2</v>
      </c>
      <c r="K1865" s="28" t="s">
        <v>335</v>
      </c>
      <c r="L1865" s="31">
        <v>42614</v>
      </c>
      <c r="M1865" s="28">
        <v>9</v>
      </c>
      <c r="N1865" s="32" t="s">
        <v>191</v>
      </c>
      <c r="O1865" s="28" t="s">
        <v>204</v>
      </c>
      <c r="P1865" s="28" t="s">
        <v>4493</v>
      </c>
      <c r="Q1865" s="28" t="s">
        <v>4494</v>
      </c>
      <c r="R1865" s="28" t="s">
        <v>4495</v>
      </c>
    </row>
    <row r="1866" spans="1:18" hidden="1">
      <c r="A1866" s="28">
        <v>4</v>
      </c>
      <c r="B1866" s="29" t="s">
        <v>306</v>
      </c>
      <c r="C1866" s="29" t="s">
        <v>649</v>
      </c>
      <c r="D1866" s="29" t="s">
        <v>650</v>
      </c>
      <c r="E1866" s="29" t="s">
        <v>172</v>
      </c>
      <c r="F1866" s="28" t="s">
        <v>3776</v>
      </c>
      <c r="G1866" s="28" t="s">
        <v>4213</v>
      </c>
      <c r="H1866" s="28" t="s">
        <v>384</v>
      </c>
      <c r="I1866" s="28">
        <v>8</v>
      </c>
      <c r="J1866" s="30">
        <v>3.6999999999999998E-2</v>
      </c>
      <c r="K1866" s="28" t="s">
        <v>424</v>
      </c>
      <c r="L1866" s="31">
        <v>43678</v>
      </c>
      <c r="M1866" s="28">
        <v>8</v>
      </c>
      <c r="N1866" s="32" t="s">
        <v>184</v>
      </c>
      <c r="O1866" s="28" t="s">
        <v>204</v>
      </c>
      <c r="P1866" s="28" t="s">
        <v>4496</v>
      </c>
      <c r="Q1866" s="28" t="s">
        <v>4497</v>
      </c>
      <c r="R1866" s="28" t="s">
        <v>3216</v>
      </c>
    </row>
    <row r="1867" spans="1:18" hidden="1">
      <c r="A1867" s="28">
        <v>4</v>
      </c>
      <c r="B1867" s="29" t="s">
        <v>306</v>
      </c>
      <c r="C1867" s="29" t="s">
        <v>649</v>
      </c>
      <c r="D1867" s="29" t="s">
        <v>650</v>
      </c>
      <c r="E1867" s="29" t="s">
        <v>172</v>
      </c>
      <c r="F1867" s="28" t="s">
        <v>3776</v>
      </c>
      <c r="G1867" s="28" t="s">
        <v>4213</v>
      </c>
      <c r="H1867" s="28" t="s">
        <v>384</v>
      </c>
      <c r="I1867" s="28">
        <v>8</v>
      </c>
      <c r="J1867" s="30">
        <v>3.6999999999999998E-2</v>
      </c>
      <c r="K1867" s="28" t="s">
        <v>823</v>
      </c>
      <c r="L1867" s="31">
        <v>44136</v>
      </c>
      <c r="M1867" s="28">
        <v>11</v>
      </c>
      <c r="N1867" s="32" t="s">
        <v>191</v>
      </c>
      <c r="O1867" s="28" t="s">
        <v>204</v>
      </c>
      <c r="P1867" s="28" t="s">
        <v>4498</v>
      </c>
      <c r="Q1867" s="28" t="s">
        <v>4499</v>
      </c>
      <c r="R1867" s="28" t="s">
        <v>4500</v>
      </c>
    </row>
    <row r="1868" spans="1:18" hidden="1">
      <c r="A1868" s="28">
        <v>4</v>
      </c>
      <c r="B1868" s="29" t="s">
        <v>306</v>
      </c>
      <c r="C1868" s="29" t="s">
        <v>649</v>
      </c>
      <c r="D1868" s="29" t="s">
        <v>650</v>
      </c>
      <c r="E1868" s="29" t="s">
        <v>172</v>
      </c>
      <c r="F1868" s="28" t="s">
        <v>3776</v>
      </c>
      <c r="G1868" s="28" t="s">
        <v>4213</v>
      </c>
      <c r="H1868" s="28" t="s">
        <v>384</v>
      </c>
      <c r="I1868" s="28">
        <v>8</v>
      </c>
      <c r="J1868" s="30">
        <v>3.6999999999999998E-2</v>
      </c>
      <c r="K1868" s="28" t="s">
        <v>522</v>
      </c>
      <c r="L1868" s="31">
        <v>44256</v>
      </c>
      <c r="M1868" s="28">
        <v>3</v>
      </c>
      <c r="N1868" s="32" t="s">
        <v>191</v>
      </c>
      <c r="O1868" s="28" t="s">
        <v>204</v>
      </c>
      <c r="P1868" s="28" t="s">
        <v>4501</v>
      </c>
      <c r="Q1868" s="28" t="s">
        <v>4502</v>
      </c>
      <c r="R1868" s="28" t="s">
        <v>3216</v>
      </c>
    </row>
    <row r="1869" spans="1:18" hidden="1">
      <c r="A1869" s="28">
        <v>4</v>
      </c>
      <c r="B1869" s="29" t="s">
        <v>306</v>
      </c>
      <c r="C1869" s="29" t="s">
        <v>333</v>
      </c>
      <c r="D1869" s="29" t="s">
        <v>673</v>
      </c>
      <c r="E1869" s="29" t="s">
        <v>172</v>
      </c>
      <c r="F1869" s="28" t="s">
        <v>3776</v>
      </c>
      <c r="G1869" s="28" t="s">
        <v>3776</v>
      </c>
      <c r="H1869" s="28" t="s">
        <v>384</v>
      </c>
      <c r="I1869" s="28">
        <v>4</v>
      </c>
      <c r="J1869" s="30">
        <v>6.9000000000000006E-2</v>
      </c>
      <c r="K1869" s="28" t="s">
        <v>335</v>
      </c>
      <c r="L1869" s="31">
        <v>42614</v>
      </c>
      <c r="M1869" s="28">
        <v>9</v>
      </c>
      <c r="N1869" s="32" t="s">
        <v>191</v>
      </c>
      <c r="O1869" s="28" t="s">
        <v>204</v>
      </c>
      <c r="P1869" s="28" t="s">
        <v>4503</v>
      </c>
      <c r="Q1869" s="28" t="s">
        <v>4230</v>
      </c>
      <c r="R1869" s="28" t="s">
        <v>4504</v>
      </c>
    </row>
    <row r="1870" spans="1:18" hidden="1">
      <c r="A1870" s="28">
        <v>4</v>
      </c>
      <c r="B1870" s="29" t="s">
        <v>306</v>
      </c>
      <c r="C1870" s="29" t="s">
        <v>333</v>
      </c>
      <c r="D1870" s="29" t="s">
        <v>673</v>
      </c>
      <c r="E1870" s="29" t="s">
        <v>172</v>
      </c>
      <c r="F1870" s="28" t="s">
        <v>3776</v>
      </c>
      <c r="G1870" s="28" t="s">
        <v>3776</v>
      </c>
      <c r="H1870" s="28" t="s">
        <v>384</v>
      </c>
      <c r="I1870" s="28">
        <v>4</v>
      </c>
      <c r="J1870" s="30">
        <v>6.9000000000000006E-2</v>
      </c>
      <c r="K1870" s="28" t="s">
        <v>742</v>
      </c>
      <c r="L1870" s="31">
        <v>42948</v>
      </c>
      <c r="M1870" s="28">
        <v>8</v>
      </c>
      <c r="N1870" s="32" t="s">
        <v>184</v>
      </c>
      <c r="O1870" s="28" t="s">
        <v>204</v>
      </c>
      <c r="P1870" s="28" t="s">
        <v>4505</v>
      </c>
      <c r="Q1870" s="28" t="s">
        <v>4506</v>
      </c>
      <c r="R1870" s="28" t="s">
        <v>4507</v>
      </c>
    </row>
    <row r="1871" spans="1:18" hidden="1">
      <c r="A1871" s="28">
        <v>4</v>
      </c>
      <c r="B1871" s="29" t="s">
        <v>306</v>
      </c>
      <c r="C1871" s="29" t="s">
        <v>333</v>
      </c>
      <c r="D1871" s="29" t="s">
        <v>673</v>
      </c>
      <c r="E1871" s="29" t="s">
        <v>172</v>
      </c>
      <c r="F1871" s="28" t="s">
        <v>3776</v>
      </c>
      <c r="G1871" s="28" t="s">
        <v>4213</v>
      </c>
      <c r="H1871" s="28" t="s">
        <v>384</v>
      </c>
      <c r="I1871" s="28">
        <v>8</v>
      </c>
      <c r="J1871" s="30">
        <v>3.6999999999999998E-2</v>
      </c>
      <c r="K1871" s="28" t="s">
        <v>646</v>
      </c>
      <c r="L1871" s="31">
        <v>44075</v>
      </c>
      <c r="M1871" s="28">
        <v>9</v>
      </c>
      <c r="N1871" s="32" t="s">
        <v>191</v>
      </c>
      <c r="O1871" s="28" t="s">
        <v>204</v>
      </c>
      <c r="P1871" s="28" t="s">
        <v>4508</v>
      </c>
      <c r="Q1871" s="28" t="s">
        <v>4509</v>
      </c>
      <c r="R1871" s="28" t="s">
        <v>4510</v>
      </c>
    </row>
    <row r="1872" spans="1:18" hidden="1">
      <c r="A1872" s="28">
        <v>4</v>
      </c>
      <c r="B1872" s="29" t="s">
        <v>306</v>
      </c>
      <c r="C1872" s="29" t="s">
        <v>333</v>
      </c>
      <c r="D1872" s="29" t="s">
        <v>673</v>
      </c>
      <c r="E1872" s="29" t="s">
        <v>172</v>
      </c>
      <c r="F1872" s="28" t="s">
        <v>3776</v>
      </c>
      <c r="G1872" s="28" t="s">
        <v>3776</v>
      </c>
      <c r="H1872" s="28" t="s">
        <v>384</v>
      </c>
      <c r="I1872" s="28">
        <v>4</v>
      </c>
      <c r="J1872" s="30">
        <v>6.9000000000000006E-2</v>
      </c>
      <c r="K1872" s="28" t="s">
        <v>341</v>
      </c>
      <c r="L1872" s="31">
        <v>44228</v>
      </c>
      <c r="M1872" s="28">
        <v>2</v>
      </c>
      <c r="N1872" s="32" t="s">
        <v>176</v>
      </c>
      <c r="O1872" s="28" t="s">
        <v>204</v>
      </c>
      <c r="P1872" s="28" t="s">
        <v>4511</v>
      </c>
      <c r="Q1872" s="28" t="s">
        <v>4512</v>
      </c>
      <c r="R1872" s="28" t="s">
        <v>4513</v>
      </c>
    </row>
    <row r="1873" spans="1:18" hidden="1">
      <c r="A1873" s="28">
        <v>4</v>
      </c>
      <c r="B1873" s="29" t="s">
        <v>306</v>
      </c>
      <c r="C1873" s="29" t="s">
        <v>339</v>
      </c>
      <c r="D1873" s="29" t="s">
        <v>340</v>
      </c>
      <c r="E1873" s="29" t="s">
        <v>172</v>
      </c>
      <c r="F1873" s="28" t="s">
        <v>3776</v>
      </c>
      <c r="G1873" s="28" t="s">
        <v>4213</v>
      </c>
      <c r="H1873" s="28" t="s">
        <v>384</v>
      </c>
      <c r="I1873" s="28">
        <v>8</v>
      </c>
      <c r="J1873" s="30">
        <v>3.6999999999999998E-2</v>
      </c>
      <c r="K1873" s="28" t="s">
        <v>401</v>
      </c>
      <c r="L1873" s="31">
        <v>42705</v>
      </c>
      <c r="M1873" s="28">
        <v>12</v>
      </c>
      <c r="N1873" s="32" t="s">
        <v>176</v>
      </c>
      <c r="O1873" s="28" t="s">
        <v>204</v>
      </c>
      <c r="P1873" s="28" t="s">
        <v>4514</v>
      </c>
      <c r="Q1873" s="28" t="s">
        <v>4515</v>
      </c>
      <c r="R1873" s="28" t="s">
        <v>4516</v>
      </c>
    </row>
    <row r="1874" spans="1:18" hidden="1">
      <c r="A1874" s="28">
        <v>4</v>
      </c>
      <c r="B1874" s="29" t="s">
        <v>306</v>
      </c>
      <c r="C1874" s="29" t="s">
        <v>339</v>
      </c>
      <c r="D1874" s="29" t="s">
        <v>340</v>
      </c>
      <c r="E1874" s="29" t="s">
        <v>172</v>
      </c>
      <c r="F1874" s="28" t="s">
        <v>3776</v>
      </c>
      <c r="G1874" s="28" t="s">
        <v>3776</v>
      </c>
      <c r="H1874" s="28" t="s">
        <v>384</v>
      </c>
      <c r="I1874" s="28">
        <v>4</v>
      </c>
      <c r="J1874" s="30">
        <v>6.9000000000000006E-2</v>
      </c>
      <c r="K1874" s="28" t="s">
        <v>559</v>
      </c>
      <c r="L1874" s="31">
        <v>43252</v>
      </c>
      <c r="M1874" s="28">
        <v>6</v>
      </c>
      <c r="N1874" s="32" t="s">
        <v>184</v>
      </c>
      <c r="O1874" s="28" t="s">
        <v>204</v>
      </c>
      <c r="P1874" s="28" t="s">
        <v>4517</v>
      </c>
      <c r="Q1874" s="28" t="s">
        <v>4155</v>
      </c>
      <c r="R1874" s="28" t="s">
        <v>4507</v>
      </c>
    </row>
    <row r="1875" spans="1:18" hidden="1">
      <c r="A1875" s="28">
        <v>4</v>
      </c>
      <c r="B1875" s="29" t="s">
        <v>306</v>
      </c>
      <c r="C1875" s="29" t="s">
        <v>339</v>
      </c>
      <c r="D1875" s="29" t="s">
        <v>340</v>
      </c>
      <c r="E1875" s="29" t="s">
        <v>172</v>
      </c>
      <c r="F1875" s="28" t="s">
        <v>3776</v>
      </c>
      <c r="G1875" s="28" t="s">
        <v>4213</v>
      </c>
      <c r="H1875" s="28" t="s">
        <v>384</v>
      </c>
      <c r="I1875" s="28">
        <v>8</v>
      </c>
      <c r="J1875" s="30">
        <v>3.6999999999999998E-2</v>
      </c>
      <c r="K1875" s="28" t="s">
        <v>361</v>
      </c>
      <c r="L1875" s="31">
        <v>43435</v>
      </c>
      <c r="M1875" s="28">
        <v>12</v>
      </c>
      <c r="N1875" s="32" t="s">
        <v>176</v>
      </c>
      <c r="O1875" s="28" t="s">
        <v>204</v>
      </c>
      <c r="P1875" s="28" t="s">
        <v>4518</v>
      </c>
      <c r="Q1875" s="28" t="s">
        <v>4509</v>
      </c>
      <c r="R1875" s="28" t="s">
        <v>4510</v>
      </c>
    </row>
    <row r="1876" spans="1:18" hidden="1">
      <c r="A1876" s="28">
        <v>4</v>
      </c>
      <c r="B1876" s="29" t="s">
        <v>306</v>
      </c>
      <c r="C1876" s="29" t="s">
        <v>339</v>
      </c>
      <c r="D1876" s="29" t="s">
        <v>340</v>
      </c>
      <c r="E1876" s="29" t="s">
        <v>172</v>
      </c>
      <c r="F1876" s="28" t="s">
        <v>3776</v>
      </c>
      <c r="G1876" s="28" t="s">
        <v>3776</v>
      </c>
      <c r="H1876" s="28" t="s">
        <v>384</v>
      </c>
      <c r="I1876" s="28">
        <v>4</v>
      </c>
      <c r="J1876" s="30">
        <v>6.9000000000000006E-2</v>
      </c>
      <c r="K1876" s="28" t="s">
        <v>328</v>
      </c>
      <c r="L1876" s="31">
        <v>43891</v>
      </c>
      <c r="M1876" s="28">
        <v>3</v>
      </c>
      <c r="N1876" s="32" t="s">
        <v>191</v>
      </c>
      <c r="O1876" s="28" t="s">
        <v>204</v>
      </c>
      <c r="P1876" s="28" t="s">
        <v>4519</v>
      </c>
      <c r="Q1876" s="28" t="s">
        <v>4520</v>
      </c>
      <c r="R1876" s="28" t="s">
        <v>4507</v>
      </c>
    </row>
    <row r="1877" spans="1:18" hidden="1">
      <c r="A1877" s="28">
        <v>4</v>
      </c>
      <c r="B1877" s="29" t="s">
        <v>306</v>
      </c>
      <c r="C1877" s="29" t="s">
        <v>339</v>
      </c>
      <c r="D1877" s="29" t="s">
        <v>340</v>
      </c>
      <c r="E1877" s="29" t="s">
        <v>172</v>
      </c>
      <c r="F1877" s="28" t="s">
        <v>3776</v>
      </c>
      <c r="G1877" s="28" t="s">
        <v>3776</v>
      </c>
      <c r="H1877" s="28" t="s">
        <v>384</v>
      </c>
      <c r="I1877" s="28">
        <v>4</v>
      </c>
      <c r="J1877" s="30">
        <v>6.9000000000000006E-2</v>
      </c>
      <c r="K1877" s="28" t="s">
        <v>415</v>
      </c>
      <c r="L1877" s="31">
        <v>43952</v>
      </c>
      <c r="M1877" s="28">
        <v>5</v>
      </c>
      <c r="N1877" s="32" t="s">
        <v>191</v>
      </c>
      <c r="O1877" s="28" t="s">
        <v>204</v>
      </c>
      <c r="P1877" s="28" t="s">
        <v>4521</v>
      </c>
      <c r="Q1877" s="28" t="s">
        <v>4520</v>
      </c>
      <c r="R1877" s="28" t="s">
        <v>4507</v>
      </c>
    </row>
    <row r="1878" spans="1:18" hidden="1">
      <c r="A1878" s="28">
        <v>4</v>
      </c>
      <c r="B1878" s="29" t="s">
        <v>306</v>
      </c>
      <c r="C1878" s="29" t="s">
        <v>339</v>
      </c>
      <c r="D1878" s="29" t="s">
        <v>340</v>
      </c>
      <c r="E1878" s="29" t="s">
        <v>172</v>
      </c>
      <c r="F1878" s="28" t="s">
        <v>3776</v>
      </c>
      <c r="G1878" s="28" t="s">
        <v>3776</v>
      </c>
      <c r="H1878" s="28" t="s">
        <v>384</v>
      </c>
      <c r="I1878" s="28">
        <v>4</v>
      </c>
      <c r="J1878" s="30">
        <v>6.9000000000000006E-2</v>
      </c>
      <c r="K1878" s="28" t="s">
        <v>218</v>
      </c>
      <c r="L1878" s="31">
        <v>44044</v>
      </c>
      <c r="M1878" s="28">
        <v>8</v>
      </c>
      <c r="N1878" s="32" t="s">
        <v>184</v>
      </c>
      <c r="O1878" s="28" t="s">
        <v>204</v>
      </c>
      <c r="P1878" s="28" t="s">
        <v>4522</v>
      </c>
      <c r="Q1878" s="28" t="s">
        <v>4520</v>
      </c>
      <c r="R1878" s="28" t="s">
        <v>4507</v>
      </c>
    </row>
    <row r="1879" spans="1:18" hidden="1">
      <c r="A1879" s="28">
        <v>5</v>
      </c>
      <c r="B1879" s="29" t="s">
        <v>349</v>
      </c>
      <c r="C1879" s="29" t="s">
        <v>350</v>
      </c>
      <c r="D1879" s="29" t="s">
        <v>725</v>
      </c>
      <c r="E1879" s="29" t="s">
        <v>172</v>
      </c>
      <c r="F1879" s="28" t="s">
        <v>3776</v>
      </c>
      <c r="G1879" s="28" t="s">
        <v>3776</v>
      </c>
      <c r="H1879" s="28" t="s">
        <v>384</v>
      </c>
      <c r="I1879" s="28">
        <v>4</v>
      </c>
      <c r="J1879" s="30">
        <v>6.9000000000000006E-2</v>
      </c>
      <c r="K1879" s="28" t="s">
        <v>232</v>
      </c>
      <c r="L1879" s="31">
        <v>42522</v>
      </c>
      <c r="M1879" s="28">
        <v>6</v>
      </c>
      <c r="N1879" s="32" t="s">
        <v>184</v>
      </c>
      <c r="O1879" s="28" t="s">
        <v>204</v>
      </c>
      <c r="P1879" s="28" t="s">
        <v>4523</v>
      </c>
      <c r="Q1879" s="28" t="s">
        <v>4524</v>
      </c>
      <c r="R1879" s="28" t="s">
        <v>4525</v>
      </c>
    </row>
    <row r="1880" spans="1:18" hidden="1">
      <c r="A1880" s="28">
        <v>5</v>
      </c>
      <c r="B1880" s="29" t="s">
        <v>349</v>
      </c>
      <c r="C1880" s="29" t="s">
        <v>350</v>
      </c>
      <c r="D1880" s="29" t="s">
        <v>351</v>
      </c>
      <c r="E1880" s="29" t="s">
        <v>172</v>
      </c>
      <c r="F1880" s="28" t="s">
        <v>3776</v>
      </c>
      <c r="G1880" s="28" t="s">
        <v>3776</v>
      </c>
      <c r="H1880" s="28" t="s">
        <v>384</v>
      </c>
      <c r="I1880" s="28">
        <v>4</v>
      </c>
      <c r="J1880" s="30">
        <v>6.9000000000000006E-2</v>
      </c>
      <c r="K1880" s="28" t="s">
        <v>489</v>
      </c>
      <c r="L1880" s="31">
        <v>42491</v>
      </c>
      <c r="M1880" s="28">
        <v>5</v>
      </c>
      <c r="N1880" s="32" t="s">
        <v>191</v>
      </c>
      <c r="O1880" s="28" t="s">
        <v>204</v>
      </c>
      <c r="P1880" s="28" t="s">
        <v>4526</v>
      </c>
      <c r="Q1880" s="28" t="s">
        <v>4527</v>
      </c>
      <c r="R1880" s="28" t="s">
        <v>4525</v>
      </c>
    </row>
    <row r="1881" spans="1:18" hidden="1">
      <c r="A1881" s="28">
        <v>5</v>
      </c>
      <c r="B1881" s="29" t="s">
        <v>349</v>
      </c>
      <c r="C1881" s="29" t="s">
        <v>355</v>
      </c>
      <c r="D1881" s="29" t="s">
        <v>360</v>
      </c>
      <c r="E1881" s="29" t="s">
        <v>172</v>
      </c>
      <c r="F1881" s="28" t="s">
        <v>3776</v>
      </c>
      <c r="G1881" s="28" t="s">
        <v>4213</v>
      </c>
      <c r="H1881" s="28" t="s">
        <v>384</v>
      </c>
      <c r="I1881" s="28">
        <v>8</v>
      </c>
      <c r="J1881" s="30">
        <v>3.6999999999999998E-2</v>
      </c>
      <c r="K1881" s="28" t="s">
        <v>267</v>
      </c>
      <c r="L1881" s="31">
        <v>42583</v>
      </c>
      <c r="M1881" s="28">
        <v>8</v>
      </c>
      <c r="N1881" s="32" t="s">
        <v>184</v>
      </c>
      <c r="O1881" s="28" t="s">
        <v>204</v>
      </c>
      <c r="P1881" s="28" t="s">
        <v>4528</v>
      </c>
      <c r="Q1881" s="28" t="s">
        <v>4529</v>
      </c>
      <c r="R1881" s="28" t="s">
        <v>4530</v>
      </c>
    </row>
    <row r="1882" spans="1:18" hidden="1">
      <c r="A1882" s="28">
        <v>5</v>
      </c>
      <c r="B1882" s="29" t="s">
        <v>349</v>
      </c>
      <c r="C1882" s="29" t="s">
        <v>355</v>
      </c>
      <c r="D1882" s="29" t="s">
        <v>360</v>
      </c>
      <c r="E1882" s="29" t="s">
        <v>172</v>
      </c>
      <c r="F1882" s="28" t="s">
        <v>3776</v>
      </c>
      <c r="G1882" s="28" t="s">
        <v>4213</v>
      </c>
      <c r="H1882" s="28" t="s">
        <v>384</v>
      </c>
      <c r="I1882" s="28">
        <v>8</v>
      </c>
      <c r="J1882" s="30">
        <v>3.6999999999999998E-2</v>
      </c>
      <c r="K1882" s="28" t="s">
        <v>397</v>
      </c>
      <c r="L1882" s="31">
        <v>43739</v>
      </c>
      <c r="M1882" s="28">
        <v>10</v>
      </c>
      <c r="N1882" s="32" t="s">
        <v>191</v>
      </c>
      <c r="O1882" s="28" t="s">
        <v>204</v>
      </c>
      <c r="P1882" s="28" t="s">
        <v>4531</v>
      </c>
      <c r="Q1882" s="28" t="s">
        <v>4532</v>
      </c>
      <c r="R1882" s="28" t="s">
        <v>4530</v>
      </c>
    </row>
    <row r="1883" spans="1:18" hidden="1">
      <c r="A1883" s="28">
        <v>8</v>
      </c>
      <c r="B1883" s="29" t="s">
        <v>371</v>
      </c>
      <c r="C1883" s="29" t="s">
        <v>787</v>
      </c>
      <c r="D1883" s="29" t="s">
        <v>788</v>
      </c>
      <c r="E1883" s="29" t="s">
        <v>374</v>
      </c>
      <c r="F1883" s="28" t="s">
        <v>3776</v>
      </c>
      <c r="G1883" s="28" t="s">
        <v>3776</v>
      </c>
      <c r="H1883" s="28" t="s">
        <v>384</v>
      </c>
      <c r="I1883" s="28">
        <v>4</v>
      </c>
      <c r="J1883" s="30">
        <v>6.9000000000000006E-2</v>
      </c>
      <c r="K1883" s="28" t="s">
        <v>271</v>
      </c>
      <c r="L1883" s="31">
        <v>42856</v>
      </c>
      <c r="M1883" s="28">
        <v>5</v>
      </c>
      <c r="N1883" s="32" t="s">
        <v>191</v>
      </c>
      <c r="O1883" s="28" t="s">
        <v>204</v>
      </c>
      <c r="P1883" s="28" t="s">
        <v>4533</v>
      </c>
      <c r="Q1883" s="28" t="s">
        <v>4534</v>
      </c>
      <c r="R1883" s="28" t="s">
        <v>4535</v>
      </c>
    </row>
    <row r="1884" spans="1:18" hidden="1">
      <c r="A1884" s="28">
        <v>12</v>
      </c>
      <c r="B1884" s="29" t="s">
        <v>195</v>
      </c>
      <c r="C1884" s="29" t="s">
        <v>196</v>
      </c>
      <c r="D1884" s="29" t="s">
        <v>197</v>
      </c>
      <c r="E1884" s="29" t="s">
        <v>172</v>
      </c>
      <c r="F1884" s="28" t="s">
        <v>4536</v>
      </c>
      <c r="G1884" s="28" t="s">
        <v>4536</v>
      </c>
      <c r="H1884" s="28" t="s">
        <v>384</v>
      </c>
      <c r="I1884" s="28">
        <v>4</v>
      </c>
      <c r="J1884" s="30">
        <v>6.9000000000000006E-2</v>
      </c>
      <c r="K1884" s="28" t="s">
        <v>473</v>
      </c>
      <c r="L1884" s="31">
        <v>43160</v>
      </c>
      <c r="M1884" s="28">
        <v>3</v>
      </c>
      <c r="N1884" s="32" t="s">
        <v>191</v>
      </c>
      <c r="O1884" s="28" t="s">
        <v>204</v>
      </c>
      <c r="P1884" s="28" t="s">
        <v>4537</v>
      </c>
      <c r="Q1884" s="28" t="s">
        <v>4538</v>
      </c>
      <c r="R1884" s="28" t="s">
        <v>4539</v>
      </c>
    </row>
    <row r="1885" spans="1:18" hidden="1">
      <c r="A1885" s="28">
        <v>12</v>
      </c>
      <c r="B1885" s="29" t="s">
        <v>195</v>
      </c>
      <c r="C1885" s="29" t="s">
        <v>202</v>
      </c>
      <c r="D1885" s="29" t="s">
        <v>2087</v>
      </c>
      <c r="E1885" s="29" t="s">
        <v>172</v>
      </c>
      <c r="F1885" s="28" t="s">
        <v>4536</v>
      </c>
      <c r="G1885" s="28" t="s">
        <v>4536</v>
      </c>
      <c r="H1885" s="28" t="s">
        <v>384</v>
      </c>
      <c r="I1885" s="28">
        <v>4</v>
      </c>
      <c r="J1885" s="30">
        <v>6.9000000000000006E-2</v>
      </c>
      <c r="K1885" s="28" t="s">
        <v>302</v>
      </c>
      <c r="L1885" s="31">
        <v>43282</v>
      </c>
      <c r="M1885" s="28">
        <v>7</v>
      </c>
      <c r="N1885" s="32" t="s">
        <v>184</v>
      </c>
      <c r="O1885" s="28" t="s">
        <v>177</v>
      </c>
      <c r="P1885" s="28" t="s">
        <v>4540</v>
      </c>
      <c r="Q1885" s="28" t="s">
        <v>4541</v>
      </c>
      <c r="R1885" s="28" t="s">
        <v>4542</v>
      </c>
    </row>
    <row r="1886" spans="1:18" hidden="1">
      <c r="A1886" s="28">
        <v>12</v>
      </c>
      <c r="B1886" s="29" t="s">
        <v>195</v>
      </c>
      <c r="C1886" s="29" t="s">
        <v>202</v>
      </c>
      <c r="D1886" s="29" t="s">
        <v>4543</v>
      </c>
      <c r="E1886" s="29" t="s">
        <v>172</v>
      </c>
      <c r="F1886" s="28" t="s">
        <v>4536</v>
      </c>
      <c r="G1886" s="28" t="s">
        <v>4536</v>
      </c>
      <c r="H1886" s="28" t="s">
        <v>384</v>
      </c>
      <c r="I1886" s="28">
        <v>4</v>
      </c>
      <c r="J1886" s="30">
        <v>6.9000000000000006E-2</v>
      </c>
      <c r="K1886" s="28" t="s">
        <v>742</v>
      </c>
      <c r="L1886" s="31">
        <v>42948</v>
      </c>
      <c r="M1886" s="28">
        <v>8</v>
      </c>
      <c r="N1886" s="32" t="s">
        <v>184</v>
      </c>
      <c r="O1886" s="28" t="s">
        <v>204</v>
      </c>
      <c r="P1886" s="28" t="s">
        <v>4544</v>
      </c>
      <c r="Q1886" s="28" t="s">
        <v>4545</v>
      </c>
      <c r="R1886" s="28" t="s">
        <v>4546</v>
      </c>
    </row>
    <row r="1887" spans="1:18" hidden="1">
      <c r="A1887" s="28">
        <v>12</v>
      </c>
      <c r="B1887" s="29" t="s">
        <v>195</v>
      </c>
      <c r="C1887" s="29" t="s">
        <v>202</v>
      </c>
      <c r="D1887" s="29" t="s">
        <v>4543</v>
      </c>
      <c r="E1887" s="29" t="s">
        <v>172</v>
      </c>
      <c r="F1887" s="28" t="s">
        <v>4536</v>
      </c>
      <c r="G1887" s="28" t="s">
        <v>4536</v>
      </c>
      <c r="H1887" s="28" t="s">
        <v>384</v>
      </c>
      <c r="I1887" s="28">
        <v>4</v>
      </c>
      <c r="J1887" s="30">
        <v>6.9000000000000006E-2</v>
      </c>
      <c r="K1887" s="28" t="s">
        <v>302</v>
      </c>
      <c r="L1887" s="31">
        <v>43282</v>
      </c>
      <c r="M1887" s="28">
        <v>7</v>
      </c>
      <c r="N1887" s="32" t="s">
        <v>184</v>
      </c>
      <c r="O1887" s="28" t="s">
        <v>204</v>
      </c>
      <c r="P1887" s="28" t="s">
        <v>4547</v>
      </c>
      <c r="Q1887" s="28" t="s">
        <v>4545</v>
      </c>
      <c r="R1887" s="28" t="s">
        <v>4546</v>
      </c>
    </row>
    <row r="1888" spans="1:18" hidden="1">
      <c r="A1888" s="28">
        <v>12</v>
      </c>
      <c r="B1888" s="29" t="s">
        <v>195</v>
      </c>
      <c r="C1888" s="29" t="s">
        <v>1391</v>
      </c>
      <c r="D1888" s="29" t="s">
        <v>2708</v>
      </c>
      <c r="E1888" s="29" t="s">
        <v>172</v>
      </c>
      <c r="F1888" s="28" t="s">
        <v>4536</v>
      </c>
      <c r="G1888" s="28" t="s">
        <v>4536</v>
      </c>
      <c r="H1888" s="28" t="s">
        <v>384</v>
      </c>
      <c r="I1888" s="28">
        <v>4</v>
      </c>
      <c r="J1888" s="30">
        <v>6.9000000000000006E-2</v>
      </c>
      <c r="K1888" s="28" t="s">
        <v>293</v>
      </c>
      <c r="L1888" s="31">
        <v>43374</v>
      </c>
      <c r="M1888" s="28">
        <v>10</v>
      </c>
      <c r="N1888" s="32" t="s">
        <v>191</v>
      </c>
      <c r="O1888" s="28" t="s">
        <v>204</v>
      </c>
      <c r="P1888" s="28" t="s">
        <v>4548</v>
      </c>
      <c r="Q1888" s="28" t="s">
        <v>4549</v>
      </c>
      <c r="R1888" s="28" t="s">
        <v>4550</v>
      </c>
    </row>
    <row r="1889" spans="1:18" hidden="1">
      <c r="A1889" s="28">
        <v>12</v>
      </c>
      <c r="B1889" s="29" t="s">
        <v>195</v>
      </c>
      <c r="C1889" s="29" t="s">
        <v>230</v>
      </c>
      <c r="D1889" s="29" t="s">
        <v>231</v>
      </c>
      <c r="E1889" s="29" t="s">
        <v>172</v>
      </c>
      <c r="F1889" s="28" t="s">
        <v>4536</v>
      </c>
      <c r="G1889" s="28" t="s">
        <v>4536</v>
      </c>
      <c r="H1889" s="28" t="s">
        <v>384</v>
      </c>
      <c r="I1889" s="28">
        <v>4</v>
      </c>
      <c r="J1889" s="30">
        <v>6.9000000000000006E-2</v>
      </c>
      <c r="K1889" s="28" t="s">
        <v>391</v>
      </c>
      <c r="L1889" s="31">
        <v>42370</v>
      </c>
      <c r="M1889" s="28">
        <v>1</v>
      </c>
      <c r="N1889" s="32" t="s">
        <v>176</v>
      </c>
      <c r="O1889" s="28" t="s">
        <v>204</v>
      </c>
      <c r="P1889" s="28" t="s">
        <v>4551</v>
      </c>
      <c r="Q1889" s="28" t="s">
        <v>4552</v>
      </c>
      <c r="R1889" s="28" t="s">
        <v>4553</v>
      </c>
    </row>
    <row r="1890" spans="1:18" hidden="1">
      <c r="A1890" s="28">
        <v>12</v>
      </c>
      <c r="B1890" s="29" t="s">
        <v>195</v>
      </c>
      <c r="C1890" s="29" t="s">
        <v>230</v>
      </c>
      <c r="D1890" s="29" t="s">
        <v>231</v>
      </c>
      <c r="E1890" s="29" t="s">
        <v>172</v>
      </c>
      <c r="F1890" s="28" t="s">
        <v>4536</v>
      </c>
      <c r="G1890" s="28" t="s">
        <v>4536</v>
      </c>
      <c r="H1890" s="28" t="s">
        <v>384</v>
      </c>
      <c r="I1890" s="28">
        <v>4</v>
      </c>
      <c r="J1890" s="30">
        <v>6.9000000000000006E-2</v>
      </c>
      <c r="K1890" s="28" t="s">
        <v>1136</v>
      </c>
      <c r="L1890" s="31">
        <v>43497</v>
      </c>
      <c r="M1890" s="28">
        <v>2</v>
      </c>
      <c r="N1890" s="32" t="s">
        <v>176</v>
      </c>
      <c r="O1890" s="28" t="s">
        <v>204</v>
      </c>
      <c r="P1890" s="28" t="s">
        <v>4554</v>
      </c>
      <c r="Q1890" s="28" t="s">
        <v>4555</v>
      </c>
      <c r="R1890" s="28" t="s">
        <v>4556</v>
      </c>
    </row>
    <row r="1891" spans="1:18" hidden="1">
      <c r="A1891" s="28">
        <v>12</v>
      </c>
      <c r="B1891" s="29" t="s">
        <v>195</v>
      </c>
      <c r="C1891" s="29" t="s">
        <v>230</v>
      </c>
      <c r="D1891" s="29" t="s">
        <v>231</v>
      </c>
      <c r="E1891" s="29" t="s">
        <v>172</v>
      </c>
      <c r="F1891" s="28" t="s">
        <v>4536</v>
      </c>
      <c r="G1891" s="28" t="s">
        <v>4536</v>
      </c>
      <c r="H1891" s="28" t="s">
        <v>384</v>
      </c>
      <c r="I1891" s="28">
        <v>4</v>
      </c>
      <c r="J1891" s="30">
        <v>6.9000000000000006E-2</v>
      </c>
      <c r="K1891" s="28" t="s">
        <v>218</v>
      </c>
      <c r="L1891" s="31">
        <v>44044</v>
      </c>
      <c r="M1891" s="28">
        <v>8</v>
      </c>
      <c r="N1891" s="32" t="s">
        <v>184</v>
      </c>
      <c r="O1891" s="28" t="s">
        <v>204</v>
      </c>
      <c r="P1891" s="28" t="s">
        <v>4557</v>
      </c>
      <c r="Q1891" s="28" t="s">
        <v>4555</v>
      </c>
      <c r="R1891" s="28" t="s">
        <v>4556</v>
      </c>
    </row>
    <row r="1892" spans="1:18" hidden="1">
      <c r="A1892" s="28">
        <v>12</v>
      </c>
      <c r="B1892" s="29" t="s">
        <v>195</v>
      </c>
      <c r="C1892" s="29" t="s">
        <v>230</v>
      </c>
      <c r="D1892" s="29" t="s">
        <v>231</v>
      </c>
      <c r="E1892" s="29" t="s">
        <v>172</v>
      </c>
      <c r="F1892" s="28" t="s">
        <v>4536</v>
      </c>
      <c r="G1892" s="28" t="s">
        <v>4536</v>
      </c>
      <c r="H1892" s="28" t="s">
        <v>384</v>
      </c>
      <c r="I1892" s="28">
        <v>4</v>
      </c>
      <c r="J1892" s="30">
        <v>6.9000000000000006E-2</v>
      </c>
      <c r="K1892" s="28" t="s">
        <v>646</v>
      </c>
      <c r="L1892" s="31">
        <v>44075</v>
      </c>
      <c r="M1892" s="28">
        <v>9</v>
      </c>
      <c r="N1892" s="32" t="s">
        <v>191</v>
      </c>
      <c r="O1892" s="28" t="s">
        <v>204</v>
      </c>
      <c r="P1892" s="28" t="s">
        <v>4558</v>
      </c>
      <c r="Q1892" s="28" t="s">
        <v>4559</v>
      </c>
      <c r="R1892" s="28" t="s">
        <v>4560</v>
      </c>
    </row>
    <row r="1893" spans="1:18" hidden="1">
      <c r="A1893" s="28">
        <v>12</v>
      </c>
      <c r="B1893" s="29" t="s">
        <v>195</v>
      </c>
      <c r="C1893" s="29" t="s">
        <v>230</v>
      </c>
      <c r="D1893" s="29" t="s">
        <v>231</v>
      </c>
      <c r="E1893" s="29" t="s">
        <v>172</v>
      </c>
      <c r="F1893" s="28" t="s">
        <v>4536</v>
      </c>
      <c r="G1893" s="28" t="s">
        <v>4536</v>
      </c>
      <c r="H1893" s="28" t="s">
        <v>384</v>
      </c>
      <c r="I1893" s="28">
        <v>4</v>
      </c>
      <c r="J1893" s="30">
        <v>6.9000000000000006E-2</v>
      </c>
      <c r="K1893" s="28" t="s">
        <v>823</v>
      </c>
      <c r="L1893" s="31">
        <v>44136</v>
      </c>
      <c r="M1893" s="28">
        <v>11</v>
      </c>
      <c r="N1893" s="32" t="s">
        <v>191</v>
      </c>
      <c r="O1893" s="28" t="s">
        <v>204</v>
      </c>
      <c r="P1893" s="28" t="s">
        <v>4561</v>
      </c>
      <c r="Q1893" s="28" t="s">
        <v>4559</v>
      </c>
      <c r="R1893" s="28" t="s">
        <v>4560</v>
      </c>
    </row>
    <row r="1894" spans="1:18" hidden="1">
      <c r="A1894" s="28">
        <v>12</v>
      </c>
      <c r="B1894" s="29" t="s">
        <v>195</v>
      </c>
      <c r="C1894" s="29" t="s">
        <v>230</v>
      </c>
      <c r="D1894" s="29" t="s">
        <v>231</v>
      </c>
      <c r="E1894" s="29" t="s">
        <v>172</v>
      </c>
      <c r="F1894" s="28" t="s">
        <v>4536</v>
      </c>
      <c r="G1894" s="28" t="s">
        <v>4536</v>
      </c>
      <c r="H1894" s="28" t="s">
        <v>384</v>
      </c>
      <c r="I1894" s="28">
        <v>4</v>
      </c>
      <c r="J1894" s="30">
        <v>6.9000000000000006E-2</v>
      </c>
      <c r="K1894" s="28" t="s">
        <v>730</v>
      </c>
      <c r="L1894" s="31">
        <v>44166</v>
      </c>
      <c r="M1894" s="28">
        <v>12</v>
      </c>
      <c r="N1894" s="32" t="s">
        <v>176</v>
      </c>
      <c r="O1894" s="28" t="s">
        <v>204</v>
      </c>
      <c r="P1894" s="28" t="s">
        <v>4562</v>
      </c>
      <c r="Q1894" s="28" t="s">
        <v>4552</v>
      </c>
      <c r="R1894" s="28" t="s">
        <v>4553</v>
      </c>
    </row>
    <row r="1895" spans="1:18" hidden="1">
      <c r="A1895" s="28">
        <v>2</v>
      </c>
      <c r="B1895" s="29" t="s">
        <v>240</v>
      </c>
      <c r="C1895" s="29" t="s">
        <v>241</v>
      </c>
      <c r="D1895" s="29" t="s">
        <v>509</v>
      </c>
      <c r="E1895" s="29" t="s">
        <v>172</v>
      </c>
      <c r="F1895" s="28" t="s">
        <v>4536</v>
      </c>
      <c r="G1895" s="28" t="s">
        <v>4536</v>
      </c>
      <c r="H1895" s="28" t="s">
        <v>384</v>
      </c>
      <c r="I1895" s="28">
        <v>4</v>
      </c>
      <c r="J1895" s="30">
        <v>6.9000000000000006E-2</v>
      </c>
      <c r="K1895" s="28" t="s">
        <v>341</v>
      </c>
      <c r="L1895" s="31">
        <v>44228</v>
      </c>
      <c r="M1895" s="28">
        <v>2</v>
      </c>
      <c r="N1895" s="32" t="s">
        <v>176</v>
      </c>
      <c r="O1895" s="28" t="s">
        <v>204</v>
      </c>
      <c r="P1895" s="28" t="s">
        <v>4563</v>
      </c>
      <c r="Q1895" s="28" t="s">
        <v>4564</v>
      </c>
      <c r="R1895" s="28" t="s">
        <v>4565</v>
      </c>
    </row>
    <row r="1896" spans="1:18" hidden="1">
      <c r="A1896" s="28">
        <v>2</v>
      </c>
      <c r="B1896" s="29" t="s">
        <v>240</v>
      </c>
      <c r="C1896" s="29" t="s">
        <v>241</v>
      </c>
      <c r="D1896" s="29" t="s">
        <v>252</v>
      </c>
      <c r="E1896" s="29" t="s">
        <v>172</v>
      </c>
      <c r="F1896" s="28" t="s">
        <v>4536</v>
      </c>
      <c r="G1896" s="28" t="s">
        <v>4536</v>
      </c>
      <c r="H1896" s="28" t="s">
        <v>384</v>
      </c>
      <c r="I1896" s="28">
        <v>4</v>
      </c>
      <c r="J1896" s="30">
        <v>6.9000000000000006E-2</v>
      </c>
      <c r="K1896" s="28" t="s">
        <v>707</v>
      </c>
      <c r="L1896" s="31">
        <v>43770</v>
      </c>
      <c r="M1896" s="28">
        <v>11</v>
      </c>
      <c r="N1896" s="32" t="s">
        <v>191</v>
      </c>
      <c r="O1896" s="28" t="s">
        <v>204</v>
      </c>
      <c r="P1896" s="28" t="s">
        <v>4566</v>
      </c>
      <c r="Q1896" s="28" t="s">
        <v>4567</v>
      </c>
      <c r="R1896" s="28" t="s">
        <v>4568</v>
      </c>
    </row>
    <row r="1897" spans="1:18" hidden="1">
      <c r="A1897" s="28">
        <v>2</v>
      </c>
      <c r="B1897" s="29" t="s">
        <v>240</v>
      </c>
      <c r="C1897" s="29" t="s">
        <v>261</v>
      </c>
      <c r="D1897" s="29" t="s">
        <v>532</v>
      </c>
      <c r="E1897" s="29" t="s">
        <v>172</v>
      </c>
      <c r="F1897" s="28" t="s">
        <v>4536</v>
      </c>
      <c r="G1897" s="28" t="s">
        <v>4536</v>
      </c>
      <c r="H1897" s="28" t="s">
        <v>384</v>
      </c>
      <c r="I1897" s="28">
        <v>4</v>
      </c>
      <c r="J1897" s="30">
        <v>6.9000000000000006E-2</v>
      </c>
      <c r="K1897" s="28" t="s">
        <v>651</v>
      </c>
      <c r="L1897" s="31">
        <v>42644</v>
      </c>
      <c r="M1897" s="28">
        <v>10</v>
      </c>
      <c r="N1897" s="32" t="s">
        <v>191</v>
      </c>
      <c r="O1897" s="28" t="s">
        <v>204</v>
      </c>
      <c r="P1897" s="28" t="s">
        <v>4569</v>
      </c>
      <c r="Q1897" s="28" t="s">
        <v>4570</v>
      </c>
      <c r="R1897" s="28" t="s">
        <v>4571</v>
      </c>
    </row>
    <row r="1898" spans="1:18" hidden="1">
      <c r="A1898" s="28">
        <v>2</v>
      </c>
      <c r="B1898" s="29" t="s">
        <v>240</v>
      </c>
      <c r="C1898" s="29" t="s">
        <v>261</v>
      </c>
      <c r="D1898" s="29" t="s">
        <v>532</v>
      </c>
      <c r="E1898" s="29" t="s">
        <v>172</v>
      </c>
      <c r="F1898" s="28" t="s">
        <v>4536</v>
      </c>
      <c r="G1898" s="28" t="s">
        <v>4536</v>
      </c>
      <c r="H1898" s="28" t="s">
        <v>384</v>
      </c>
      <c r="I1898" s="28">
        <v>4</v>
      </c>
      <c r="J1898" s="30">
        <v>6.9000000000000006E-2</v>
      </c>
      <c r="K1898" s="28" t="s">
        <v>271</v>
      </c>
      <c r="L1898" s="31">
        <v>42856</v>
      </c>
      <c r="M1898" s="28">
        <v>5</v>
      </c>
      <c r="N1898" s="32" t="s">
        <v>191</v>
      </c>
      <c r="O1898" s="28" t="s">
        <v>204</v>
      </c>
      <c r="P1898" s="28" t="s">
        <v>4572</v>
      </c>
      <c r="Q1898" s="28" t="s">
        <v>4573</v>
      </c>
      <c r="R1898" s="28" t="s">
        <v>4571</v>
      </c>
    </row>
    <row r="1899" spans="1:18">
      <c r="A1899" s="28">
        <v>3</v>
      </c>
      <c r="B1899" s="29" t="s">
        <v>286</v>
      </c>
      <c r="C1899" s="29" t="s">
        <v>287</v>
      </c>
      <c r="D1899" s="29" t="s">
        <v>288</v>
      </c>
      <c r="E1899" s="29" t="s">
        <v>172</v>
      </c>
      <c r="F1899" s="28" t="s">
        <v>4536</v>
      </c>
      <c r="G1899" s="28" t="s">
        <v>4536</v>
      </c>
      <c r="H1899" s="28" t="s">
        <v>384</v>
      </c>
      <c r="I1899" s="28">
        <v>4</v>
      </c>
      <c r="J1899" s="30">
        <v>6.9000000000000006E-2</v>
      </c>
      <c r="K1899" s="28" t="s">
        <v>464</v>
      </c>
      <c r="L1899" s="31">
        <v>42887</v>
      </c>
      <c r="M1899" s="28">
        <v>6</v>
      </c>
      <c r="N1899" s="32" t="s">
        <v>184</v>
      </c>
      <c r="O1899" s="28" t="s">
        <v>204</v>
      </c>
      <c r="P1899" s="28" t="s">
        <v>4574</v>
      </c>
      <c r="Q1899" s="28" t="s">
        <v>4575</v>
      </c>
      <c r="R1899" s="28" t="s">
        <v>4576</v>
      </c>
    </row>
    <row r="1900" spans="1:18">
      <c r="A1900" s="28">
        <v>3</v>
      </c>
      <c r="B1900" s="29" t="s">
        <v>286</v>
      </c>
      <c r="C1900" s="29" t="s">
        <v>287</v>
      </c>
      <c r="D1900" s="29" t="s">
        <v>288</v>
      </c>
      <c r="E1900" s="29" t="s">
        <v>172</v>
      </c>
      <c r="F1900" s="28" t="s">
        <v>4536</v>
      </c>
      <c r="G1900" s="28" t="s">
        <v>4536</v>
      </c>
      <c r="H1900" s="28" t="s">
        <v>384</v>
      </c>
      <c r="I1900" s="28">
        <v>4</v>
      </c>
      <c r="J1900" s="30">
        <v>6.9000000000000006E-2</v>
      </c>
      <c r="K1900" s="28" t="s">
        <v>183</v>
      </c>
      <c r="L1900" s="31">
        <v>43983</v>
      </c>
      <c r="M1900" s="28">
        <v>6</v>
      </c>
      <c r="N1900" s="32" t="s">
        <v>184</v>
      </c>
      <c r="O1900" s="28" t="s">
        <v>204</v>
      </c>
      <c r="P1900" s="28" t="s">
        <v>4577</v>
      </c>
      <c r="Q1900" s="28" t="s">
        <v>4578</v>
      </c>
      <c r="R1900" s="28" t="s">
        <v>4579</v>
      </c>
    </row>
    <row r="1901" spans="1:18">
      <c r="A1901" s="28">
        <v>3</v>
      </c>
      <c r="B1901" s="29" t="s">
        <v>286</v>
      </c>
      <c r="C1901" s="29" t="s">
        <v>287</v>
      </c>
      <c r="D1901" s="29" t="s">
        <v>288</v>
      </c>
      <c r="E1901" s="29" t="s">
        <v>172</v>
      </c>
      <c r="F1901" s="28" t="s">
        <v>4536</v>
      </c>
      <c r="G1901" s="28" t="s">
        <v>4536</v>
      </c>
      <c r="H1901" s="28" t="s">
        <v>384</v>
      </c>
      <c r="I1901" s="28">
        <v>4</v>
      </c>
      <c r="J1901" s="30">
        <v>6.9000000000000006E-2</v>
      </c>
      <c r="K1901" s="28" t="s">
        <v>430</v>
      </c>
      <c r="L1901" s="31">
        <v>44105</v>
      </c>
      <c r="M1901" s="28">
        <v>10</v>
      </c>
      <c r="N1901" s="32" t="s">
        <v>191</v>
      </c>
      <c r="O1901" s="28" t="s">
        <v>204</v>
      </c>
      <c r="P1901" s="28" t="s">
        <v>4580</v>
      </c>
      <c r="Q1901" s="28" t="s">
        <v>4581</v>
      </c>
      <c r="R1901" s="28" t="s">
        <v>4582</v>
      </c>
    </row>
    <row r="1902" spans="1:18">
      <c r="A1902" s="28">
        <v>3</v>
      </c>
      <c r="B1902" s="29" t="s">
        <v>286</v>
      </c>
      <c r="C1902" s="29" t="s">
        <v>287</v>
      </c>
      <c r="D1902" s="29" t="s">
        <v>288</v>
      </c>
      <c r="E1902" s="29" t="s">
        <v>172</v>
      </c>
      <c r="F1902" s="28" t="s">
        <v>4536</v>
      </c>
      <c r="G1902" s="28" t="s">
        <v>4536</v>
      </c>
      <c r="H1902" s="28" t="s">
        <v>384</v>
      </c>
      <c r="I1902" s="28">
        <v>4</v>
      </c>
      <c r="J1902" s="30">
        <v>6.9000000000000006E-2</v>
      </c>
      <c r="K1902" s="28" t="s">
        <v>670</v>
      </c>
      <c r="L1902" s="31">
        <v>44501</v>
      </c>
      <c r="M1902" s="28">
        <v>11</v>
      </c>
      <c r="N1902" s="32" t="s">
        <v>191</v>
      </c>
      <c r="O1902" s="28" t="s">
        <v>204</v>
      </c>
      <c r="P1902" s="28" t="s">
        <v>4583</v>
      </c>
      <c r="Q1902" s="28" t="s">
        <v>4584</v>
      </c>
      <c r="R1902" s="28" t="s">
        <v>4585</v>
      </c>
    </row>
    <row r="1903" spans="1:18" hidden="1">
      <c r="A1903" s="28">
        <v>4</v>
      </c>
      <c r="B1903" s="29" t="s">
        <v>306</v>
      </c>
      <c r="C1903" s="29" t="s">
        <v>307</v>
      </c>
      <c r="D1903" s="29" t="s">
        <v>592</v>
      </c>
      <c r="E1903" s="29" t="s">
        <v>172</v>
      </c>
      <c r="F1903" s="28" t="s">
        <v>4536</v>
      </c>
      <c r="G1903" s="28" t="s">
        <v>4536</v>
      </c>
      <c r="H1903" s="28" t="s">
        <v>384</v>
      </c>
      <c r="I1903" s="28">
        <v>4</v>
      </c>
      <c r="J1903" s="30">
        <v>6.9000000000000006E-2</v>
      </c>
      <c r="K1903" s="28" t="s">
        <v>844</v>
      </c>
      <c r="L1903" s="31">
        <v>43586</v>
      </c>
      <c r="M1903" s="28">
        <v>5</v>
      </c>
      <c r="N1903" s="32" t="s">
        <v>191</v>
      </c>
      <c r="O1903" s="28" t="s">
        <v>204</v>
      </c>
      <c r="P1903" s="28" t="s">
        <v>4586</v>
      </c>
      <c r="Q1903" s="28" t="s">
        <v>4587</v>
      </c>
      <c r="R1903" s="28" t="s">
        <v>4539</v>
      </c>
    </row>
    <row r="1904" spans="1:18" hidden="1">
      <c r="A1904" s="28">
        <v>4</v>
      </c>
      <c r="B1904" s="29" t="s">
        <v>306</v>
      </c>
      <c r="C1904" s="29" t="s">
        <v>307</v>
      </c>
      <c r="D1904" s="29" t="s">
        <v>604</v>
      </c>
      <c r="E1904" s="29" t="s">
        <v>172</v>
      </c>
      <c r="F1904" s="28" t="s">
        <v>4536</v>
      </c>
      <c r="G1904" s="28" t="s">
        <v>4536</v>
      </c>
      <c r="H1904" s="28" t="s">
        <v>384</v>
      </c>
      <c r="I1904" s="28">
        <v>4</v>
      </c>
      <c r="J1904" s="30">
        <v>6.9000000000000006E-2</v>
      </c>
      <c r="K1904" s="28" t="s">
        <v>559</v>
      </c>
      <c r="L1904" s="31">
        <v>43252</v>
      </c>
      <c r="M1904" s="28">
        <v>6</v>
      </c>
      <c r="N1904" s="32" t="s">
        <v>184</v>
      </c>
      <c r="O1904" s="28" t="s">
        <v>204</v>
      </c>
      <c r="P1904" s="28" t="s">
        <v>4588</v>
      </c>
      <c r="Q1904" s="28" t="s">
        <v>4589</v>
      </c>
      <c r="R1904" s="28" t="s">
        <v>4590</v>
      </c>
    </row>
    <row r="1905" spans="1:18" hidden="1">
      <c r="A1905" s="28">
        <v>4</v>
      </c>
      <c r="B1905" s="29" t="s">
        <v>306</v>
      </c>
      <c r="C1905" s="29" t="s">
        <v>307</v>
      </c>
      <c r="D1905" s="29" t="s">
        <v>308</v>
      </c>
      <c r="E1905" s="29" t="s">
        <v>172</v>
      </c>
      <c r="F1905" s="28" t="s">
        <v>4536</v>
      </c>
      <c r="G1905" s="28" t="s">
        <v>4536</v>
      </c>
      <c r="H1905" s="28" t="s">
        <v>384</v>
      </c>
      <c r="I1905" s="28">
        <v>4</v>
      </c>
      <c r="J1905" s="30">
        <v>6.9000000000000006E-2</v>
      </c>
      <c r="K1905" s="28" t="s">
        <v>401</v>
      </c>
      <c r="L1905" s="31">
        <v>42705</v>
      </c>
      <c r="M1905" s="28">
        <v>12</v>
      </c>
      <c r="N1905" s="32" t="s">
        <v>176</v>
      </c>
      <c r="O1905" s="28" t="s">
        <v>204</v>
      </c>
      <c r="P1905" s="28" t="s">
        <v>4591</v>
      </c>
      <c r="Q1905" s="28" t="s">
        <v>4592</v>
      </c>
      <c r="R1905" s="28" t="s">
        <v>4593</v>
      </c>
    </row>
    <row r="1906" spans="1:18" hidden="1">
      <c r="A1906" s="28">
        <v>4</v>
      </c>
      <c r="B1906" s="29" t="s">
        <v>306</v>
      </c>
      <c r="C1906" s="29" t="s">
        <v>307</v>
      </c>
      <c r="D1906" s="29" t="s">
        <v>308</v>
      </c>
      <c r="E1906" s="29" t="s">
        <v>172</v>
      </c>
      <c r="F1906" s="28" t="s">
        <v>4536</v>
      </c>
      <c r="G1906" s="28" t="s">
        <v>4536</v>
      </c>
      <c r="H1906" s="28" t="s">
        <v>384</v>
      </c>
      <c r="I1906" s="28">
        <v>4</v>
      </c>
      <c r="J1906" s="30">
        <v>6.9000000000000006E-2</v>
      </c>
      <c r="K1906" s="28" t="s">
        <v>208</v>
      </c>
      <c r="L1906" s="31">
        <v>43101</v>
      </c>
      <c r="M1906" s="28">
        <v>1</v>
      </c>
      <c r="N1906" s="32" t="s">
        <v>176</v>
      </c>
      <c r="O1906" s="28" t="s">
        <v>204</v>
      </c>
      <c r="P1906" s="28" t="s">
        <v>4594</v>
      </c>
      <c r="Q1906" s="28" t="s">
        <v>4595</v>
      </c>
      <c r="R1906" s="28" t="s">
        <v>4539</v>
      </c>
    </row>
    <row r="1907" spans="1:18" hidden="1">
      <c r="A1907" s="28">
        <v>4</v>
      </c>
      <c r="B1907" s="29" t="s">
        <v>306</v>
      </c>
      <c r="C1907" s="29" t="s">
        <v>307</v>
      </c>
      <c r="D1907" s="29" t="s">
        <v>308</v>
      </c>
      <c r="E1907" s="29" t="s">
        <v>172</v>
      </c>
      <c r="F1907" s="28" t="s">
        <v>4536</v>
      </c>
      <c r="G1907" s="28" t="s">
        <v>4536</v>
      </c>
      <c r="H1907" s="28" t="s">
        <v>384</v>
      </c>
      <c r="I1907" s="28">
        <v>4</v>
      </c>
      <c r="J1907" s="30">
        <v>6.9000000000000006E-2</v>
      </c>
      <c r="K1907" s="28" t="s">
        <v>559</v>
      </c>
      <c r="L1907" s="31">
        <v>43252</v>
      </c>
      <c r="M1907" s="28">
        <v>6</v>
      </c>
      <c r="N1907" s="32" t="s">
        <v>184</v>
      </c>
      <c r="O1907" s="28" t="s">
        <v>204</v>
      </c>
      <c r="P1907" s="28" t="s">
        <v>4596</v>
      </c>
      <c r="Q1907" s="28" t="s">
        <v>4595</v>
      </c>
      <c r="R1907" s="28" t="s">
        <v>4539</v>
      </c>
    </row>
    <row r="1908" spans="1:18" hidden="1">
      <c r="A1908" s="28">
        <v>4</v>
      </c>
      <c r="B1908" s="29" t="s">
        <v>306</v>
      </c>
      <c r="C1908" s="29" t="s">
        <v>312</v>
      </c>
      <c r="D1908" s="29" t="s">
        <v>313</v>
      </c>
      <c r="E1908" s="29" t="s">
        <v>172</v>
      </c>
      <c r="F1908" s="28" t="s">
        <v>4536</v>
      </c>
      <c r="G1908" s="28" t="s">
        <v>4536</v>
      </c>
      <c r="H1908" s="28" t="s">
        <v>384</v>
      </c>
      <c r="I1908" s="28">
        <v>4</v>
      </c>
      <c r="J1908" s="30">
        <v>6.9000000000000006E-2</v>
      </c>
      <c r="K1908" s="28" t="s">
        <v>335</v>
      </c>
      <c r="L1908" s="31">
        <v>42614</v>
      </c>
      <c r="M1908" s="28">
        <v>9</v>
      </c>
      <c r="N1908" s="32" t="s">
        <v>191</v>
      </c>
      <c r="O1908" s="28" t="s">
        <v>204</v>
      </c>
      <c r="P1908" s="28" t="s">
        <v>4597</v>
      </c>
      <c r="Q1908" s="28" t="s">
        <v>4598</v>
      </c>
      <c r="R1908" s="28" t="s">
        <v>4599</v>
      </c>
    </row>
    <row r="1909" spans="1:18" hidden="1">
      <c r="A1909" s="28">
        <v>4</v>
      </c>
      <c r="B1909" s="29" t="s">
        <v>306</v>
      </c>
      <c r="C1909" s="29" t="s">
        <v>312</v>
      </c>
      <c r="D1909" s="29" t="s">
        <v>313</v>
      </c>
      <c r="E1909" s="29" t="s">
        <v>172</v>
      </c>
      <c r="F1909" s="28" t="s">
        <v>4536</v>
      </c>
      <c r="G1909" s="28" t="s">
        <v>4536</v>
      </c>
      <c r="H1909" s="28" t="s">
        <v>384</v>
      </c>
      <c r="I1909" s="28">
        <v>4</v>
      </c>
      <c r="J1909" s="30">
        <v>6.9000000000000006E-2</v>
      </c>
      <c r="K1909" s="28" t="s">
        <v>324</v>
      </c>
      <c r="L1909" s="31">
        <v>43862</v>
      </c>
      <c r="M1909" s="28">
        <v>2</v>
      </c>
      <c r="N1909" s="32" t="s">
        <v>176</v>
      </c>
      <c r="O1909" s="28" t="s">
        <v>204</v>
      </c>
      <c r="P1909" s="28" t="s">
        <v>4600</v>
      </c>
      <c r="Q1909" s="28" t="s">
        <v>4601</v>
      </c>
      <c r="R1909" s="28" t="s">
        <v>4602</v>
      </c>
    </row>
    <row r="1910" spans="1:18" hidden="1">
      <c r="A1910" s="28">
        <v>4</v>
      </c>
      <c r="B1910" s="29" t="s">
        <v>306</v>
      </c>
      <c r="C1910" s="29" t="s">
        <v>312</v>
      </c>
      <c r="D1910" s="29" t="s">
        <v>313</v>
      </c>
      <c r="E1910" s="29" t="s">
        <v>172</v>
      </c>
      <c r="F1910" s="28" t="s">
        <v>4536</v>
      </c>
      <c r="G1910" s="28" t="s">
        <v>4536</v>
      </c>
      <c r="H1910" s="28" t="s">
        <v>384</v>
      </c>
      <c r="I1910" s="28">
        <v>4</v>
      </c>
      <c r="J1910" s="30">
        <v>6.9000000000000006E-2</v>
      </c>
      <c r="K1910" s="28" t="s">
        <v>504</v>
      </c>
      <c r="L1910" s="31">
        <v>43922</v>
      </c>
      <c r="M1910" s="28">
        <v>4</v>
      </c>
      <c r="N1910" s="32" t="s">
        <v>191</v>
      </c>
      <c r="O1910" s="28" t="s">
        <v>204</v>
      </c>
      <c r="P1910" s="28" t="s">
        <v>4603</v>
      </c>
      <c r="Q1910" s="28" t="s">
        <v>4598</v>
      </c>
      <c r="R1910" s="28" t="s">
        <v>4599</v>
      </c>
    </row>
    <row r="1911" spans="1:18" hidden="1">
      <c r="A1911" s="28">
        <v>4</v>
      </c>
      <c r="B1911" s="29" t="s">
        <v>306</v>
      </c>
      <c r="C1911" s="29" t="s">
        <v>312</v>
      </c>
      <c r="D1911" s="29" t="s">
        <v>313</v>
      </c>
      <c r="E1911" s="29" t="s">
        <v>172</v>
      </c>
      <c r="F1911" s="28" t="s">
        <v>4536</v>
      </c>
      <c r="G1911" s="28" t="s">
        <v>4536</v>
      </c>
      <c r="H1911" s="28" t="s">
        <v>384</v>
      </c>
      <c r="I1911" s="28">
        <v>4</v>
      </c>
      <c r="J1911" s="30">
        <v>6.9000000000000006E-2</v>
      </c>
      <c r="K1911" s="28" t="s">
        <v>646</v>
      </c>
      <c r="L1911" s="31">
        <v>44075</v>
      </c>
      <c r="M1911" s="28">
        <v>9</v>
      </c>
      <c r="N1911" s="32" t="s">
        <v>191</v>
      </c>
      <c r="O1911" s="28" t="s">
        <v>204</v>
      </c>
      <c r="P1911" s="28" t="s">
        <v>4604</v>
      </c>
      <c r="Q1911" s="28" t="s">
        <v>4598</v>
      </c>
      <c r="R1911" s="28" t="s">
        <v>4599</v>
      </c>
    </row>
    <row r="1912" spans="1:18" hidden="1">
      <c r="A1912" s="28">
        <v>4</v>
      </c>
      <c r="B1912" s="29" t="s">
        <v>306</v>
      </c>
      <c r="C1912" s="29" t="s">
        <v>312</v>
      </c>
      <c r="D1912" s="29" t="s">
        <v>313</v>
      </c>
      <c r="E1912" s="29" t="s">
        <v>172</v>
      </c>
      <c r="F1912" s="28" t="s">
        <v>4536</v>
      </c>
      <c r="G1912" s="28" t="s">
        <v>4536</v>
      </c>
      <c r="H1912" s="28" t="s">
        <v>384</v>
      </c>
      <c r="I1912" s="28">
        <v>4</v>
      </c>
      <c r="J1912" s="30">
        <v>6.9000000000000006E-2</v>
      </c>
      <c r="K1912" s="28" t="s">
        <v>730</v>
      </c>
      <c r="L1912" s="31">
        <v>44166</v>
      </c>
      <c r="M1912" s="28">
        <v>12</v>
      </c>
      <c r="N1912" s="32" t="s">
        <v>176</v>
      </c>
      <c r="O1912" s="28" t="s">
        <v>204</v>
      </c>
      <c r="P1912" s="28" t="s">
        <v>4605</v>
      </c>
      <c r="Q1912" s="28" t="s">
        <v>4598</v>
      </c>
      <c r="R1912" s="28" t="s">
        <v>4599</v>
      </c>
    </row>
    <row r="1913" spans="1:18" hidden="1">
      <c r="A1913" s="28">
        <v>4</v>
      </c>
      <c r="B1913" s="29" t="s">
        <v>306</v>
      </c>
      <c r="C1913" s="29" t="s">
        <v>1776</v>
      </c>
      <c r="D1913" s="29" t="s">
        <v>3494</v>
      </c>
      <c r="E1913" s="29" t="s">
        <v>172</v>
      </c>
      <c r="F1913" s="28" t="s">
        <v>4536</v>
      </c>
      <c r="G1913" s="28" t="s">
        <v>4536</v>
      </c>
      <c r="H1913" s="28" t="s">
        <v>384</v>
      </c>
      <c r="I1913" s="28">
        <v>4</v>
      </c>
      <c r="J1913" s="30">
        <v>6.9000000000000006E-2</v>
      </c>
      <c r="K1913" s="28" t="s">
        <v>4606</v>
      </c>
      <c r="L1913" s="31">
        <v>43466</v>
      </c>
      <c r="M1913" s="28">
        <v>1</v>
      </c>
      <c r="N1913" s="32" t="s">
        <v>176</v>
      </c>
      <c r="O1913" s="28" t="s">
        <v>204</v>
      </c>
      <c r="P1913" s="28" t="s">
        <v>4607</v>
      </c>
      <c r="Q1913" s="28" t="s">
        <v>4608</v>
      </c>
      <c r="R1913" s="28" t="s">
        <v>4539</v>
      </c>
    </row>
    <row r="1914" spans="1:18" hidden="1">
      <c r="A1914" s="28">
        <v>4</v>
      </c>
      <c r="B1914" s="29" t="s">
        <v>306</v>
      </c>
      <c r="C1914" s="29" t="s">
        <v>624</v>
      </c>
      <c r="D1914" s="29" t="s">
        <v>2672</v>
      </c>
      <c r="E1914" s="29" t="s">
        <v>172</v>
      </c>
      <c r="F1914" s="28" t="s">
        <v>4536</v>
      </c>
      <c r="G1914" s="28" t="s">
        <v>4536</v>
      </c>
      <c r="H1914" s="28" t="s">
        <v>384</v>
      </c>
      <c r="I1914" s="28">
        <v>4</v>
      </c>
      <c r="J1914" s="30">
        <v>6.9000000000000006E-2</v>
      </c>
      <c r="K1914" s="28" t="s">
        <v>430</v>
      </c>
      <c r="L1914" s="31">
        <v>44105</v>
      </c>
      <c r="M1914" s="28">
        <v>10</v>
      </c>
      <c r="N1914" s="32" t="s">
        <v>191</v>
      </c>
      <c r="O1914" s="28" t="s">
        <v>204</v>
      </c>
      <c r="P1914" s="28" t="s">
        <v>4609</v>
      </c>
      <c r="Q1914" s="28" t="s">
        <v>4610</v>
      </c>
      <c r="R1914" s="28" t="s">
        <v>4539</v>
      </c>
    </row>
    <row r="1915" spans="1:18" hidden="1">
      <c r="A1915" s="28">
        <v>4</v>
      </c>
      <c r="B1915" s="29" t="s">
        <v>306</v>
      </c>
      <c r="C1915" s="29" t="s">
        <v>624</v>
      </c>
      <c r="D1915" s="29" t="s">
        <v>625</v>
      </c>
      <c r="E1915" s="29" t="s">
        <v>172</v>
      </c>
      <c r="F1915" s="28" t="s">
        <v>4536</v>
      </c>
      <c r="G1915" s="28" t="s">
        <v>4536</v>
      </c>
      <c r="H1915" s="28" t="s">
        <v>384</v>
      </c>
      <c r="I1915" s="28">
        <v>4</v>
      </c>
      <c r="J1915" s="30">
        <v>6.9000000000000006E-2</v>
      </c>
      <c r="K1915" s="28" t="s">
        <v>587</v>
      </c>
      <c r="L1915" s="31">
        <v>42736</v>
      </c>
      <c r="M1915" s="28">
        <v>1</v>
      </c>
      <c r="N1915" s="32" t="s">
        <v>176</v>
      </c>
      <c r="O1915" s="28" t="s">
        <v>204</v>
      </c>
      <c r="P1915" s="28" t="s">
        <v>4611</v>
      </c>
      <c r="Q1915" s="28" t="s">
        <v>4612</v>
      </c>
      <c r="R1915" s="28" t="s">
        <v>4539</v>
      </c>
    </row>
    <row r="1916" spans="1:18" hidden="1">
      <c r="A1916" s="28">
        <v>4</v>
      </c>
      <c r="B1916" s="29" t="s">
        <v>306</v>
      </c>
      <c r="C1916" s="29" t="s">
        <v>624</v>
      </c>
      <c r="D1916" s="29" t="s">
        <v>625</v>
      </c>
      <c r="E1916" s="29" t="s">
        <v>172</v>
      </c>
      <c r="F1916" s="28" t="s">
        <v>4536</v>
      </c>
      <c r="G1916" s="28" t="s">
        <v>4536</v>
      </c>
      <c r="H1916" s="28" t="s">
        <v>384</v>
      </c>
      <c r="I1916" s="28">
        <v>4</v>
      </c>
      <c r="J1916" s="30">
        <v>6.9000000000000006E-2</v>
      </c>
      <c r="K1916" s="28" t="s">
        <v>971</v>
      </c>
      <c r="L1916" s="31">
        <v>42979</v>
      </c>
      <c r="M1916" s="28">
        <v>9</v>
      </c>
      <c r="N1916" s="32" t="s">
        <v>191</v>
      </c>
      <c r="O1916" s="28" t="s">
        <v>204</v>
      </c>
      <c r="P1916" s="28" t="s">
        <v>4613</v>
      </c>
      <c r="Q1916" s="28" t="s">
        <v>4612</v>
      </c>
      <c r="R1916" s="28" t="s">
        <v>4539</v>
      </c>
    </row>
    <row r="1917" spans="1:18" hidden="1">
      <c r="A1917" s="28">
        <v>4</v>
      </c>
      <c r="B1917" s="29" t="s">
        <v>306</v>
      </c>
      <c r="C1917" s="29" t="s">
        <v>624</v>
      </c>
      <c r="D1917" s="29" t="s">
        <v>625</v>
      </c>
      <c r="E1917" s="29" t="s">
        <v>172</v>
      </c>
      <c r="F1917" s="28" t="s">
        <v>4536</v>
      </c>
      <c r="G1917" s="28" t="s">
        <v>4536</v>
      </c>
      <c r="H1917" s="28" t="s">
        <v>384</v>
      </c>
      <c r="I1917" s="28">
        <v>4</v>
      </c>
      <c r="J1917" s="30">
        <v>6.9000000000000006E-2</v>
      </c>
      <c r="K1917" s="28" t="s">
        <v>361</v>
      </c>
      <c r="L1917" s="31">
        <v>43435</v>
      </c>
      <c r="M1917" s="28">
        <v>12</v>
      </c>
      <c r="N1917" s="32" t="s">
        <v>176</v>
      </c>
      <c r="O1917" s="28" t="s">
        <v>204</v>
      </c>
      <c r="P1917" s="28" t="s">
        <v>4614</v>
      </c>
      <c r="Q1917" s="28" t="s">
        <v>4612</v>
      </c>
      <c r="R1917" s="28" t="s">
        <v>4539</v>
      </c>
    </row>
    <row r="1918" spans="1:18" hidden="1">
      <c r="A1918" s="28">
        <v>4</v>
      </c>
      <c r="B1918" s="29" t="s">
        <v>306</v>
      </c>
      <c r="C1918" s="29" t="s">
        <v>624</v>
      </c>
      <c r="D1918" s="29" t="s">
        <v>625</v>
      </c>
      <c r="E1918" s="29" t="s">
        <v>172</v>
      </c>
      <c r="F1918" s="28" t="s">
        <v>4536</v>
      </c>
      <c r="G1918" s="28" t="s">
        <v>4536</v>
      </c>
      <c r="H1918" s="28" t="s">
        <v>384</v>
      </c>
      <c r="I1918" s="28">
        <v>4</v>
      </c>
      <c r="J1918" s="30">
        <v>6.9000000000000006E-2</v>
      </c>
      <c r="K1918" s="28" t="s">
        <v>479</v>
      </c>
      <c r="L1918" s="31">
        <v>43770</v>
      </c>
      <c r="M1918" s="28">
        <v>11</v>
      </c>
      <c r="N1918" s="32" t="s">
        <v>191</v>
      </c>
      <c r="O1918" s="28" t="s">
        <v>329</v>
      </c>
      <c r="P1918" s="28" t="s">
        <v>4615</v>
      </c>
      <c r="Q1918" s="28" t="s">
        <v>4616</v>
      </c>
      <c r="R1918" s="28" t="s">
        <v>4539</v>
      </c>
    </row>
    <row r="1919" spans="1:18" hidden="1">
      <c r="A1919" s="28">
        <v>4</v>
      </c>
      <c r="B1919" s="29" t="s">
        <v>306</v>
      </c>
      <c r="C1919" s="29" t="s">
        <v>624</v>
      </c>
      <c r="D1919" s="29" t="s">
        <v>625</v>
      </c>
      <c r="E1919" s="29" t="s">
        <v>172</v>
      </c>
      <c r="F1919" s="28" t="s">
        <v>4536</v>
      </c>
      <c r="G1919" s="28" t="s">
        <v>4536</v>
      </c>
      <c r="H1919" s="28" t="s">
        <v>384</v>
      </c>
      <c r="I1919" s="28">
        <v>4</v>
      </c>
      <c r="J1919" s="30">
        <v>6.9000000000000006E-2</v>
      </c>
      <c r="K1919" s="28" t="s">
        <v>183</v>
      </c>
      <c r="L1919" s="31">
        <v>43983</v>
      </c>
      <c r="M1919" s="28">
        <v>6</v>
      </c>
      <c r="N1919" s="32" t="s">
        <v>184</v>
      </c>
      <c r="O1919" s="28" t="s">
        <v>204</v>
      </c>
      <c r="P1919" s="28" t="s">
        <v>4617</v>
      </c>
      <c r="Q1919" s="28" t="s">
        <v>4618</v>
      </c>
      <c r="R1919" s="28" t="s">
        <v>4539</v>
      </c>
    </row>
    <row r="1920" spans="1:18" hidden="1">
      <c r="A1920" s="28">
        <v>4</v>
      </c>
      <c r="B1920" s="29" t="s">
        <v>306</v>
      </c>
      <c r="C1920" s="29" t="s">
        <v>624</v>
      </c>
      <c r="D1920" s="29" t="s">
        <v>625</v>
      </c>
      <c r="E1920" s="29" t="s">
        <v>172</v>
      </c>
      <c r="F1920" s="28" t="s">
        <v>4536</v>
      </c>
      <c r="G1920" s="28" t="s">
        <v>4536</v>
      </c>
      <c r="H1920" s="28" t="s">
        <v>384</v>
      </c>
      <c r="I1920" s="28">
        <v>4</v>
      </c>
      <c r="J1920" s="30">
        <v>6.9000000000000006E-2</v>
      </c>
      <c r="K1920" s="28" t="s">
        <v>4619</v>
      </c>
      <c r="L1920" s="31" t="s">
        <v>221</v>
      </c>
      <c r="M1920" s="28" t="e">
        <v>#VALUE!</v>
      </c>
      <c r="N1920" s="32" t="e">
        <v>#VALUE!</v>
      </c>
      <c r="O1920" s="28" t="s">
        <v>204</v>
      </c>
      <c r="P1920" s="28" t="s">
        <v>4620</v>
      </c>
      <c r="Q1920" s="28" t="s">
        <v>4612</v>
      </c>
      <c r="R1920" s="28" t="s">
        <v>4539</v>
      </c>
    </row>
    <row r="1921" spans="1:18" hidden="1">
      <c r="A1921" s="28">
        <v>4</v>
      </c>
      <c r="B1921" s="29" t="s">
        <v>306</v>
      </c>
      <c r="C1921" s="29" t="s">
        <v>624</v>
      </c>
      <c r="D1921" s="29" t="s">
        <v>630</v>
      </c>
      <c r="E1921" s="29" t="s">
        <v>172</v>
      </c>
      <c r="F1921" s="28" t="s">
        <v>4536</v>
      </c>
      <c r="G1921" s="28" t="s">
        <v>4536</v>
      </c>
      <c r="H1921" s="28" t="s">
        <v>384</v>
      </c>
      <c r="I1921" s="28">
        <v>4</v>
      </c>
      <c r="J1921" s="30">
        <v>6.9000000000000006E-2</v>
      </c>
      <c r="K1921" s="28" t="s">
        <v>485</v>
      </c>
      <c r="L1921" s="31">
        <v>42401</v>
      </c>
      <c r="M1921" s="28">
        <v>2</v>
      </c>
      <c r="N1921" s="32" t="s">
        <v>176</v>
      </c>
      <c r="O1921" s="28" t="s">
        <v>204</v>
      </c>
      <c r="P1921" s="28" t="s">
        <v>4621</v>
      </c>
      <c r="Q1921" s="28" t="s">
        <v>4618</v>
      </c>
      <c r="R1921" s="28" t="s">
        <v>4539</v>
      </c>
    </row>
    <row r="1922" spans="1:18" hidden="1">
      <c r="A1922" s="28">
        <v>4</v>
      </c>
      <c r="B1922" s="29" t="s">
        <v>306</v>
      </c>
      <c r="C1922" s="29" t="s">
        <v>624</v>
      </c>
      <c r="D1922" s="29" t="s">
        <v>630</v>
      </c>
      <c r="E1922" s="29" t="s">
        <v>172</v>
      </c>
      <c r="F1922" s="28" t="s">
        <v>4536</v>
      </c>
      <c r="G1922" s="28" t="s">
        <v>4536</v>
      </c>
      <c r="H1922" s="28" t="s">
        <v>384</v>
      </c>
      <c r="I1922" s="28">
        <v>4</v>
      </c>
      <c r="J1922" s="30">
        <v>6.9000000000000006E-2</v>
      </c>
      <c r="K1922" s="28" t="s">
        <v>587</v>
      </c>
      <c r="L1922" s="31">
        <v>42736</v>
      </c>
      <c r="M1922" s="28">
        <v>1</v>
      </c>
      <c r="N1922" s="32" t="s">
        <v>176</v>
      </c>
      <c r="O1922" s="28" t="s">
        <v>204</v>
      </c>
      <c r="P1922" s="28" t="s">
        <v>4622</v>
      </c>
      <c r="Q1922" s="28" t="s">
        <v>4623</v>
      </c>
      <c r="R1922" s="28" t="s">
        <v>4539</v>
      </c>
    </row>
    <row r="1923" spans="1:18" hidden="1">
      <c r="A1923" s="28">
        <v>4</v>
      </c>
      <c r="B1923" s="29" t="s">
        <v>306</v>
      </c>
      <c r="C1923" s="29" t="s">
        <v>624</v>
      </c>
      <c r="D1923" s="29" t="s">
        <v>630</v>
      </c>
      <c r="E1923" s="29" t="s">
        <v>172</v>
      </c>
      <c r="F1923" s="28" t="s">
        <v>4536</v>
      </c>
      <c r="G1923" s="28" t="s">
        <v>4536</v>
      </c>
      <c r="H1923" s="28" t="s">
        <v>384</v>
      </c>
      <c r="I1923" s="28">
        <v>4</v>
      </c>
      <c r="J1923" s="30">
        <v>6.9000000000000006E-2</v>
      </c>
      <c r="K1923" s="28" t="s">
        <v>496</v>
      </c>
      <c r="L1923" s="31">
        <v>42917</v>
      </c>
      <c r="M1923" s="28">
        <v>7</v>
      </c>
      <c r="N1923" s="32" t="s">
        <v>184</v>
      </c>
      <c r="O1923" s="28" t="s">
        <v>204</v>
      </c>
      <c r="P1923" s="28" t="s">
        <v>4624</v>
      </c>
      <c r="Q1923" s="28" t="s">
        <v>4623</v>
      </c>
      <c r="R1923" s="28" t="s">
        <v>4539</v>
      </c>
    </row>
    <row r="1924" spans="1:18" hidden="1">
      <c r="A1924" s="28">
        <v>4</v>
      </c>
      <c r="B1924" s="29" t="s">
        <v>306</v>
      </c>
      <c r="C1924" s="29" t="s">
        <v>624</v>
      </c>
      <c r="D1924" s="29" t="s">
        <v>630</v>
      </c>
      <c r="E1924" s="29" t="s">
        <v>172</v>
      </c>
      <c r="F1924" s="28" t="s">
        <v>4536</v>
      </c>
      <c r="G1924" s="28" t="s">
        <v>4536</v>
      </c>
      <c r="H1924" s="28" t="s">
        <v>384</v>
      </c>
      <c r="I1924" s="28">
        <v>4</v>
      </c>
      <c r="J1924" s="30">
        <v>6.9000000000000006E-2</v>
      </c>
      <c r="K1924" s="28" t="s">
        <v>742</v>
      </c>
      <c r="L1924" s="31">
        <v>42948</v>
      </c>
      <c r="M1924" s="28">
        <v>8</v>
      </c>
      <c r="N1924" s="32" t="s">
        <v>184</v>
      </c>
      <c r="O1924" s="28" t="s">
        <v>204</v>
      </c>
      <c r="P1924" s="28" t="s">
        <v>4625</v>
      </c>
      <c r="Q1924" s="28" t="s">
        <v>4626</v>
      </c>
      <c r="R1924" s="28" t="s">
        <v>4627</v>
      </c>
    </row>
    <row r="1925" spans="1:18" hidden="1">
      <c r="A1925" s="28">
        <v>4</v>
      </c>
      <c r="B1925" s="29" t="s">
        <v>306</v>
      </c>
      <c r="C1925" s="29" t="s">
        <v>318</v>
      </c>
      <c r="D1925" s="29" t="s">
        <v>319</v>
      </c>
      <c r="E1925" s="29" t="s">
        <v>172</v>
      </c>
      <c r="F1925" s="28" t="s">
        <v>4536</v>
      </c>
      <c r="G1925" s="28" t="s">
        <v>4536</v>
      </c>
      <c r="H1925" s="28" t="s">
        <v>384</v>
      </c>
      <c r="I1925" s="28">
        <v>4</v>
      </c>
      <c r="J1925" s="30">
        <v>6.9000000000000006E-2</v>
      </c>
      <c r="K1925" s="28" t="s">
        <v>489</v>
      </c>
      <c r="L1925" s="31">
        <v>42491</v>
      </c>
      <c r="M1925" s="28">
        <v>5</v>
      </c>
      <c r="N1925" s="32" t="s">
        <v>191</v>
      </c>
      <c r="O1925" s="28" t="s">
        <v>204</v>
      </c>
      <c r="P1925" s="28" t="s">
        <v>4628</v>
      </c>
      <c r="Q1925" s="28" t="s">
        <v>4626</v>
      </c>
      <c r="R1925" s="28" t="s">
        <v>4539</v>
      </c>
    </row>
    <row r="1926" spans="1:18" hidden="1">
      <c r="A1926" s="28">
        <v>4</v>
      </c>
      <c r="B1926" s="29" t="s">
        <v>306</v>
      </c>
      <c r="C1926" s="29" t="s">
        <v>318</v>
      </c>
      <c r="D1926" s="29" t="s">
        <v>323</v>
      </c>
      <c r="E1926" s="29" t="s">
        <v>172</v>
      </c>
      <c r="F1926" s="28" t="s">
        <v>4536</v>
      </c>
      <c r="G1926" s="28" t="s">
        <v>4536</v>
      </c>
      <c r="H1926" s="28" t="s">
        <v>384</v>
      </c>
      <c r="I1926" s="28">
        <v>4</v>
      </c>
      <c r="J1926" s="30">
        <v>6.9000000000000006E-2</v>
      </c>
      <c r="K1926" s="28" t="s">
        <v>243</v>
      </c>
      <c r="L1926" s="31">
        <v>42461</v>
      </c>
      <c r="M1926" s="28">
        <v>4</v>
      </c>
      <c r="N1926" s="32" t="s">
        <v>191</v>
      </c>
      <c r="O1926" s="28" t="s">
        <v>204</v>
      </c>
      <c r="P1926" s="28" t="s">
        <v>4629</v>
      </c>
      <c r="Q1926" s="28" t="s">
        <v>4626</v>
      </c>
      <c r="R1926" s="28" t="s">
        <v>4539</v>
      </c>
    </row>
    <row r="1927" spans="1:18" hidden="1">
      <c r="A1927" s="28">
        <v>4</v>
      </c>
      <c r="B1927" s="29" t="s">
        <v>306</v>
      </c>
      <c r="C1927" s="29" t="s">
        <v>318</v>
      </c>
      <c r="D1927" s="29" t="s">
        <v>323</v>
      </c>
      <c r="E1927" s="29" t="s">
        <v>172</v>
      </c>
      <c r="F1927" s="28" t="s">
        <v>4536</v>
      </c>
      <c r="G1927" s="28" t="s">
        <v>4536</v>
      </c>
      <c r="H1927" s="28" t="s">
        <v>384</v>
      </c>
      <c r="I1927" s="28">
        <v>4</v>
      </c>
      <c r="J1927" s="30">
        <v>6.9000000000000006E-2</v>
      </c>
      <c r="K1927" s="28" t="s">
        <v>271</v>
      </c>
      <c r="L1927" s="31">
        <v>42856</v>
      </c>
      <c r="M1927" s="28">
        <v>5</v>
      </c>
      <c r="N1927" s="32" t="s">
        <v>191</v>
      </c>
      <c r="O1927" s="28" t="s">
        <v>204</v>
      </c>
      <c r="P1927" s="28" t="s">
        <v>4630</v>
      </c>
      <c r="Q1927" s="28" t="s">
        <v>4631</v>
      </c>
      <c r="R1927" s="28" t="s">
        <v>4539</v>
      </c>
    </row>
    <row r="1928" spans="1:18" hidden="1">
      <c r="A1928" s="28">
        <v>4</v>
      </c>
      <c r="B1928" s="29" t="s">
        <v>306</v>
      </c>
      <c r="C1928" s="29" t="s">
        <v>318</v>
      </c>
      <c r="D1928" s="29" t="s">
        <v>323</v>
      </c>
      <c r="E1928" s="29" t="s">
        <v>172</v>
      </c>
      <c r="F1928" s="28" t="s">
        <v>4536</v>
      </c>
      <c r="G1928" s="28" t="s">
        <v>4536</v>
      </c>
      <c r="H1928" s="28" t="s">
        <v>384</v>
      </c>
      <c r="I1928" s="28">
        <v>4</v>
      </c>
      <c r="J1928" s="30">
        <v>6.9000000000000006E-2</v>
      </c>
      <c r="K1928" s="28" t="s">
        <v>742</v>
      </c>
      <c r="L1928" s="31">
        <v>42948</v>
      </c>
      <c r="M1928" s="28">
        <v>8</v>
      </c>
      <c r="N1928" s="32" t="s">
        <v>184</v>
      </c>
      <c r="O1928" s="28" t="s">
        <v>204</v>
      </c>
      <c r="P1928" s="28" t="s">
        <v>4632</v>
      </c>
      <c r="Q1928" s="28" t="s">
        <v>3546</v>
      </c>
      <c r="R1928" s="28" t="s">
        <v>4539</v>
      </c>
    </row>
    <row r="1929" spans="1:18" hidden="1">
      <c r="A1929" s="28">
        <v>4</v>
      </c>
      <c r="B1929" s="29" t="s">
        <v>306</v>
      </c>
      <c r="C1929" s="29" t="s">
        <v>318</v>
      </c>
      <c r="D1929" s="29" t="s">
        <v>323</v>
      </c>
      <c r="E1929" s="29" t="s">
        <v>172</v>
      </c>
      <c r="F1929" s="28" t="s">
        <v>4536</v>
      </c>
      <c r="G1929" s="28" t="s">
        <v>4536</v>
      </c>
      <c r="H1929" s="28" t="s">
        <v>384</v>
      </c>
      <c r="I1929" s="28">
        <v>4</v>
      </c>
      <c r="J1929" s="30">
        <v>6.9000000000000006E-2</v>
      </c>
      <c r="K1929" s="28" t="s">
        <v>678</v>
      </c>
      <c r="L1929" s="31">
        <v>43344</v>
      </c>
      <c r="M1929" s="28">
        <v>9</v>
      </c>
      <c r="N1929" s="32" t="s">
        <v>191</v>
      </c>
      <c r="O1929" s="28" t="s">
        <v>204</v>
      </c>
      <c r="P1929" s="28" t="s">
        <v>4633</v>
      </c>
      <c r="Q1929" s="28" t="s">
        <v>4634</v>
      </c>
      <c r="R1929" s="28" t="s">
        <v>4539</v>
      </c>
    </row>
    <row r="1930" spans="1:18" hidden="1">
      <c r="A1930" s="28">
        <v>4</v>
      </c>
      <c r="B1930" s="29" t="s">
        <v>306</v>
      </c>
      <c r="C1930" s="29" t="s">
        <v>318</v>
      </c>
      <c r="D1930" s="29" t="s">
        <v>323</v>
      </c>
      <c r="E1930" s="29" t="s">
        <v>172</v>
      </c>
      <c r="F1930" s="28" t="s">
        <v>4536</v>
      </c>
      <c r="G1930" s="28" t="s">
        <v>4536</v>
      </c>
      <c r="H1930" s="28" t="s">
        <v>384</v>
      </c>
      <c r="I1930" s="28">
        <v>4</v>
      </c>
      <c r="J1930" s="30">
        <v>6.9000000000000006E-2</v>
      </c>
      <c r="K1930" s="28" t="s">
        <v>293</v>
      </c>
      <c r="L1930" s="31">
        <v>43374</v>
      </c>
      <c r="M1930" s="28">
        <v>10</v>
      </c>
      <c r="N1930" s="32" t="s">
        <v>191</v>
      </c>
      <c r="O1930" s="28" t="s">
        <v>204</v>
      </c>
      <c r="P1930" s="28" t="s">
        <v>4635</v>
      </c>
      <c r="Q1930" s="28" t="s">
        <v>4636</v>
      </c>
      <c r="R1930" s="28" t="s">
        <v>4539</v>
      </c>
    </row>
    <row r="1931" spans="1:18" hidden="1">
      <c r="A1931" s="28">
        <v>4</v>
      </c>
      <c r="B1931" s="29" t="s">
        <v>306</v>
      </c>
      <c r="C1931" s="29" t="s">
        <v>318</v>
      </c>
      <c r="D1931" s="29" t="s">
        <v>323</v>
      </c>
      <c r="E1931" s="29" t="s">
        <v>172</v>
      </c>
      <c r="F1931" s="28" t="s">
        <v>4536</v>
      </c>
      <c r="G1931" s="28" t="s">
        <v>4536</v>
      </c>
      <c r="H1931" s="28" t="s">
        <v>384</v>
      </c>
      <c r="I1931" s="28">
        <v>4</v>
      </c>
      <c r="J1931" s="30">
        <v>6.9000000000000006E-2</v>
      </c>
      <c r="K1931" s="28" t="s">
        <v>411</v>
      </c>
      <c r="L1931" s="31">
        <v>43556</v>
      </c>
      <c r="M1931" s="28">
        <v>4</v>
      </c>
      <c r="N1931" s="32" t="s">
        <v>191</v>
      </c>
      <c r="O1931" s="28" t="s">
        <v>204</v>
      </c>
      <c r="P1931" s="28" t="s">
        <v>4637</v>
      </c>
      <c r="Q1931" s="28" t="s">
        <v>4638</v>
      </c>
      <c r="R1931" s="28" t="s">
        <v>4539</v>
      </c>
    </row>
    <row r="1932" spans="1:18" hidden="1">
      <c r="A1932" s="28">
        <v>4</v>
      </c>
      <c r="B1932" s="29" t="s">
        <v>306</v>
      </c>
      <c r="C1932" s="29" t="s">
        <v>318</v>
      </c>
      <c r="D1932" s="29" t="s">
        <v>323</v>
      </c>
      <c r="E1932" s="29" t="s">
        <v>172</v>
      </c>
      <c r="F1932" s="28" t="s">
        <v>4536</v>
      </c>
      <c r="G1932" s="28" t="s">
        <v>4536</v>
      </c>
      <c r="H1932" s="28" t="s">
        <v>384</v>
      </c>
      <c r="I1932" s="28">
        <v>4</v>
      </c>
      <c r="J1932" s="30">
        <v>6.9000000000000006E-2</v>
      </c>
      <c r="K1932" s="28" t="s">
        <v>646</v>
      </c>
      <c r="L1932" s="31">
        <v>44075</v>
      </c>
      <c r="M1932" s="28">
        <v>9</v>
      </c>
      <c r="N1932" s="32" t="s">
        <v>191</v>
      </c>
      <c r="O1932" s="28" t="s">
        <v>204</v>
      </c>
      <c r="P1932" s="28" t="s">
        <v>4639</v>
      </c>
      <c r="Q1932" s="28" t="s">
        <v>4640</v>
      </c>
      <c r="R1932" s="28" t="s">
        <v>4539</v>
      </c>
    </row>
    <row r="1933" spans="1:18" hidden="1">
      <c r="A1933" s="28">
        <v>4</v>
      </c>
      <c r="B1933" s="29" t="s">
        <v>306</v>
      </c>
      <c r="C1933" s="29" t="s">
        <v>318</v>
      </c>
      <c r="D1933" s="29" t="s">
        <v>323</v>
      </c>
      <c r="E1933" s="29" t="s">
        <v>172</v>
      </c>
      <c r="F1933" s="28" t="s">
        <v>4536</v>
      </c>
      <c r="G1933" s="28" t="s">
        <v>4536</v>
      </c>
      <c r="H1933" s="28" t="s">
        <v>384</v>
      </c>
      <c r="I1933" s="28">
        <v>4</v>
      </c>
      <c r="J1933" s="30">
        <v>6.9000000000000006E-2</v>
      </c>
      <c r="K1933" s="28" t="s">
        <v>190</v>
      </c>
      <c r="L1933" s="31">
        <v>44287</v>
      </c>
      <c r="M1933" s="28">
        <v>4</v>
      </c>
      <c r="N1933" s="32" t="s">
        <v>191</v>
      </c>
      <c r="O1933" s="28" t="s">
        <v>204</v>
      </c>
      <c r="P1933" s="28" t="s">
        <v>4641</v>
      </c>
      <c r="Q1933" s="28" t="s">
        <v>4642</v>
      </c>
      <c r="R1933" s="28" t="s">
        <v>4539</v>
      </c>
    </row>
    <row r="1934" spans="1:18" hidden="1">
      <c r="A1934" s="28">
        <v>4</v>
      </c>
      <c r="B1934" s="29" t="s">
        <v>306</v>
      </c>
      <c r="C1934" s="29" t="s">
        <v>649</v>
      </c>
      <c r="D1934" s="29" t="s">
        <v>650</v>
      </c>
      <c r="E1934" s="29" t="s">
        <v>172</v>
      </c>
      <c r="F1934" s="28" t="s">
        <v>4536</v>
      </c>
      <c r="G1934" s="28" t="s">
        <v>4536</v>
      </c>
      <c r="H1934" s="28" t="s">
        <v>384</v>
      </c>
      <c r="I1934" s="28">
        <v>4</v>
      </c>
      <c r="J1934" s="30">
        <v>6.9000000000000006E-2</v>
      </c>
      <c r="K1934" s="28" t="s">
        <v>742</v>
      </c>
      <c r="L1934" s="31">
        <v>42948</v>
      </c>
      <c r="M1934" s="28">
        <v>8</v>
      </c>
      <c r="N1934" s="32" t="s">
        <v>184</v>
      </c>
      <c r="O1934" s="28" t="s">
        <v>204</v>
      </c>
      <c r="P1934" s="28" t="s">
        <v>4643</v>
      </c>
      <c r="Q1934" s="28" t="s">
        <v>4644</v>
      </c>
      <c r="R1934" s="28" t="s">
        <v>4645</v>
      </c>
    </row>
    <row r="1935" spans="1:18" hidden="1">
      <c r="A1935" s="28">
        <v>4</v>
      </c>
      <c r="B1935" s="29" t="s">
        <v>306</v>
      </c>
      <c r="C1935" s="29" t="s">
        <v>649</v>
      </c>
      <c r="D1935" s="29" t="s">
        <v>650</v>
      </c>
      <c r="E1935" s="29" t="s">
        <v>172</v>
      </c>
      <c r="F1935" s="28" t="s">
        <v>4536</v>
      </c>
      <c r="G1935" s="28" t="s">
        <v>4536</v>
      </c>
      <c r="H1935" s="28" t="s">
        <v>384</v>
      </c>
      <c r="I1935" s="28">
        <v>4</v>
      </c>
      <c r="J1935" s="30">
        <v>6.9000000000000006E-2</v>
      </c>
      <c r="K1935" s="28" t="s">
        <v>218</v>
      </c>
      <c r="L1935" s="31">
        <v>44044</v>
      </c>
      <c r="M1935" s="28">
        <v>8</v>
      </c>
      <c r="N1935" s="32" t="s">
        <v>184</v>
      </c>
      <c r="O1935" s="28" t="s">
        <v>204</v>
      </c>
      <c r="P1935" s="28" t="s">
        <v>4646</v>
      </c>
      <c r="Q1935" s="28" t="s">
        <v>4647</v>
      </c>
      <c r="R1935" s="28" t="s">
        <v>4648</v>
      </c>
    </row>
    <row r="1936" spans="1:18" hidden="1">
      <c r="A1936" s="28">
        <v>4</v>
      </c>
      <c r="B1936" s="29" t="s">
        <v>306</v>
      </c>
      <c r="C1936" s="29" t="s">
        <v>333</v>
      </c>
      <c r="D1936" s="29" t="s">
        <v>673</v>
      </c>
      <c r="E1936" s="29" t="s">
        <v>172</v>
      </c>
      <c r="F1936" s="28" t="s">
        <v>4536</v>
      </c>
      <c r="G1936" s="28" t="s">
        <v>4536</v>
      </c>
      <c r="H1936" s="28" t="s">
        <v>384</v>
      </c>
      <c r="I1936" s="28">
        <v>4</v>
      </c>
      <c r="J1936" s="30">
        <v>6.9000000000000006E-2</v>
      </c>
      <c r="K1936" s="28" t="s">
        <v>243</v>
      </c>
      <c r="L1936" s="31">
        <v>42461</v>
      </c>
      <c r="M1936" s="28">
        <v>4</v>
      </c>
      <c r="N1936" s="32" t="s">
        <v>191</v>
      </c>
      <c r="O1936" s="28" t="s">
        <v>204</v>
      </c>
      <c r="P1936" s="28" t="s">
        <v>4649</v>
      </c>
      <c r="Q1936" s="28" t="s">
        <v>4650</v>
      </c>
      <c r="R1936" s="28" t="s">
        <v>4651</v>
      </c>
    </row>
    <row r="1937" spans="1:18" hidden="1">
      <c r="A1937" s="28">
        <v>4</v>
      </c>
      <c r="B1937" s="29" t="s">
        <v>306</v>
      </c>
      <c r="C1937" s="29" t="s">
        <v>333</v>
      </c>
      <c r="D1937" s="29" t="s">
        <v>673</v>
      </c>
      <c r="E1937" s="29" t="s">
        <v>172</v>
      </c>
      <c r="F1937" s="28" t="s">
        <v>4536</v>
      </c>
      <c r="G1937" s="28" t="s">
        <v>4536</v>
      </c>
      <c r="H1937" s="28" t="s">
        <v>384</v>
      </c>
      <c r="I1937" s="28">
        <v>4</v>
      </c>
      <c r="J1937" s="30">
        <v>6.9000000000000006E-2</v>
      </c>
      <c r="K1937" s="28" t="s">
        <v>271</v>
      </c>
      <c r="L1937" s="31">
        <v>42856</v>
      </c>
      <c r="M1937" s="28">
        <v>5</v>
      </c>
      <c r="N1937" s="32" t="s">
        <v>191</v>
      </c>
      <c r="O1937" s="28" t="s">
        <v>204</v>
      </c>
      <c r="P1937" s="28" t="s">
        <v>4652</v>
      </c>
      <c r="Q1937" s="28" t="s">
        <v>4653</v>
      </c>
      <c r="R1937" s="28" t="s">
        <v>4654</v>
      </c>
    </row>
    <row r="1938" spans="1:18" hidden="1">
      <c r="A1938" s="28">
        <v>4</v>
      </c>
      <c r="B1938" s="29" t="s">
        <v>306</v>
      </c>
      <c r="C1938" s="29" t="s">
        <v>333</v>
      </c>
      <c r="D1938" s="29" t="s">
        <v>673</v>
      </c>
      <c r="E1938" s="29" t="s">
        <v>172</v>
      </c>
      <c r="F1938" s="28" t="s">
        <v>4536</v>
      </c>
      <c r="G1938" s="28" t="s">
        <v>4536</v>
      </c>
      <c r="H1938" s="28" t="s">
        <v>384</v>
      </c>
      <c r="I1938" s="28">
        <v>4</v>
      </c>
      <c r="J1938" s="30">
        <v>6.9000000000000006E-2</v>
      </c>
      <c r="K1938" s="28" t="s">
        <v>559</v>
      </c>
      <c r="L1938" s="31">
        <v>43252</v>
      </c>
      <c r="M1938" s="28">
        <v>6</v>
      </c>
      <c r="N1938" s="32" t="s">
        <v>184</v>
      </c>
      <c r="O1938" s="28" t="s">
        <v>204</v>
      </c>
      <c r="P1938" s="28" t="s">
        <v>4655</v>
      </c>
      <c r="Q1938" s="28" t="s">
        <v>4656</v>
      </c>
      <c r="R1938" s="28" t="s">
        <v>4651</v>
      </c>
    </row>
    <row r="1939" spans="1:18" hidden="1">
      <c r="A1939" s="28">
        <v>4</v>
      </c>
      <c r="B1939" s="29" t="s">
        <v>306</v>
      </c>
      <c r="C1939" s="29" t="s">
        <v>333</v>
      </c>
      <c r="D1939" s="29" t="s">
        <v>673</v>
      </c>
      <c r="E1939" s="29" t="s">
        <v>172</v>
      </c>
      <c r="F1939" s="28" t="s">
        <v>4536</v>
      </c>
      <c r="G1939" s="28" t="s">
        <v>4536</v>
      </c>
      <c r="H1939" s="28" t="s">
        <v>384</v>
      </c>
      <c r="I1939" s="28">
        <v>4</v>
      </c>
      <c r="J1939" s="30">
        <v>6.9000000000000006E-2</v>
      </c>
      <c r="K1939" s="28" t="s">
        <v>501</v>
      </c>
      <c r="L1939" s="31">
        <v>43405</v>
      </c>
      <c r="M1939" s="28">
        <v>11</v>
      </c>
      <c r="N1939" s="32" t="s">
        <v>191</v>
      </c>
      <c r="O1939" s="28" t="s">
        <v>204</v>
      </c>
      <c r="P1939" s="28" t="s">
        <v>4657</v>
      </c>
      <c r="Q1939" s="28" t="s">
        <v>4656</v>
      </c>
      <c r="R1939" s="28" t="s">
        <v>4651</v>
      </c>
    </row>
    <row r="1940" spans="1:18" hidden="1">
      <c r="A1940" s="28">
        <v>4</v>
      </c>
      <c r="B1940" s="29" t="s">
        <v>306</v>
      </c>
      <c r="C1940" s="29" t="s">
        <v>333</v>
      </c>
      <c r="D1940" s="29" t="s">
        <v>673</v>
      </c>
      <c r="E1940" s="29" t="s">
        <v>172</v>
      </c>
      <c r="F1940" s="28" t="s">
        <v>4536</v>
      </c>
      <c r="G1940" s="28" t="s">
        <v>4536</v>
      </c>
      <c r="H1940" s="28" t="s">
        <v>384</v>
      </c>
      <c r="I1940" s="28">
        <v>4</v>
      </c>
      <c r="J1940" s="30">
        <v>6.9000000000000006E-2</v>
      </c>
      <c r="K1940" s="28" t="s">
        <v>278</v>
      </c>
      <c r="L1940" s="31">
        <v>43525</v>
      </c>
      <c r="M1940" s="28">
        <v>3</v>
      </c>
      <c r="N1940" s="32" t="s">
        <v>191</v>
      </c>
      <c r="O1940" s="28" t="s">
        <v>204</v>
      </c>
      <c r="P1940" s="28" t="s">
        <v>4658</v>
      </c>
      <c r="Q1940" s="28" t="s">
        <v>4650</v>
      </c>
      <c r="R1940" s="28" t="s">
        <v>4651</v>
      </c>
    </row>
    <row r="1941" spans="1:18" hidden="1">
      <c r="A1941" s="28">
        <v>4</v>
      </c>
      <c r="B1941" s="29" t="s">
        <v>306</v>
      </c>
      <c r="C1941" s="29" t="s">
        <v>333</v>
      </c>
      <c r="D1941" s="29" t="s">
        <v>673</v>
      </c>
      <c r="E1941" s="29" t="s">
        <v>172</v>
      </c>
      <c r="F1941" s="28" t="s">
        <v>4536</v>
      </c>
      <c r="G1941" s="28" t="s">
        <v>4536</v>
      </c>
      <c r="H1941" s="28" t="s">
        <v>384</v>
      </c>
      <c r="I1941" s="28">
        <v>4</v>
      </c>
      <c r="J1941" s="30">
        <v>6.9000000000000006E-2</v>
      </c>
      <c r="K1941" s="28" t="s">
        <v>411</v>
      </c>
      <c r="L1941" s="31">
        <v>43556</v>
      </c>
      <c r="M1941" s="28">
        <v>4</v>
      </c>
      <c r="N1941" s="32" t="s">
        <v>191</v>
      </c>
      <c r="O1941" s="28" t="s">
        <v>204</v>
      </c>
      <c r="P1941" s="28" t="s">
        <v>4659</v>
      </c>
      <c r="Q1941" s="28" t="s">
        <v>4660</v>
      </c>
      <c r="R1941" s="28" t="s">
        <v>4661</v>
      </c>
    </row>
    <row r="1942" spans="1:18" hidden="1">
      <c r="A1942" s="28">
        <v>4</v>
      </c>
      <c r="B1942" s="29" t="s">
        <v>306</v>
      </c>
      <c r="C1942" s="29" t="s">
        <v>333</v>
      </c>
      <c r="D1942" s="29" t="s">
        <v>673</v>
      </c>
      <c r="E1942" s="29" t="s">
        <v>172</v>
      </c>
      <c r="F1942" s="28" t="s">
        <v>4536</v>
      </c>
      <c r="G1942" s="28" t="s">
        <v>4536</v>
      </c>
      <c r="H1942" s="28" t="s">
        <v>384</v>
      </c>
      <c r="I1942" s="28">
        <v>4</v>
      </c>
      <c r="J1942" s="30">
        <v>6.9000000000000006E-2</v>
      </c>
      <c r="K1942" s="28" t="s">
        <v>328</v>
      </c>
      <c r="L1942" s="31">
        <v>43891</v>
      </c>
      <c r="M1942" s="28">
        <v>3</v>
      </c>
      <c r="N1942" s="32" t="s">
        <v>191</v>
      </c>
      <c r="O1942" s="28" t="s">
        <v>204</v>
      </c>
      <c r="P1942" s="28" t="s">
        <v>4662</v>
      </c>
      <c r="Q1942" s="28" t="s">
        <v>4663</v>
      </c>
      <c r="R1942" s="28" t="s">
        <v>4651</v>
      </c>
    </row>
    <row r="1943" spans="1:18" hidden="1">
      <c r="A1943" s="28">
        <v>4</v>
      </c>
      <c r="B1943" s="29" t="s">
        <v>306</v>
      </c>
      <c r="C1943" s="29" t="s">
        <v>333</v>
      </c>
      <c r="D1943" s="29" t="s">
        <v>673</v>
      </c>
      <c r="E1943" s="29" t="s">
        <v>172</v>
      </c>
      <c r="F1943" s="28" t="s">
        <v>4536</v>
      </c>
      <c r="G1943" s="28" t="s">
        <v>4536</v>
      </c>
      <c r="H1943" s="28" t="s">
        <v>384</v>
      </c>
      <c r="I1943" s="28">
        <v>4</v>
      </c>
      <c r="J1943" s="30">
        <v>6.9000000000000006E-2</v>
      </c>
      <c r="K1943" s="28" t="s">
        <v>218</v>
      </c>
      <c r="L1943" s="31">
        <v>44044</v>
      </c>
      <c r="M1943" s="28">
        <v>8</v>
      </c>
      <c r="N1943" s="32" t="s">
        <v>184</v>
      </c>
      <c r="O1943" s="28" t="s">
        <v>204</v>
      </c>
      <c r="P1943" s="28" t="s">
        <v>4664</v>
      </c>
      <c r="Q1943" s="28" t="s">
        <v>4665</v>
      </c>
      <c r="R1943" s="28" t="s">
        <v>4654</v>
      </c>
    </row>
    <row r="1944" spans="1:18" hidden="1">
      <c r="A1944" s="28">
        <v>4</v>
      </c>
      <c r="B1944" s="29" t="s">
        <v>306</v>
      </c>
      <c r="C1944" s="29" t="s">
        <v>333</v>
      </c>
      <c r="D1944" s="29" t="s">
        <v>673</v>
      </c>
      <c r="E1944" s="29" t="s">
        <v>172</v>
      </c>
      <c r="F1944" s="28" t="s">
        <v>4536</v>
      </c>
      <c r="G1944" s="28" t="s">
        <v>4536</v>
      </c>
      <c r="H1944" s="28" t="s">
        <v>384</v>
      </c>
      <c r="I1944" s="28">
        <v>4</v>
      </c>
      <c r="J1944" s="30">
        <v>6.9000000000000006E-2</v>
      </c>
      <c r="K1944" s="28" t="s">
        <v>345</v>
      </c>
      <c r="L1944" s="31">
        <v>44440</v>
      </c>
      <c r="M1944" s="28">
        <v>9</v>
      </c>
      <c r="N1944" s="32" t="s">
        <v>191</v>
      </c>
      <c r="O1944" s="28" t="s">
        <v>204</v>
      </c>
      <c r="P1944" s="28" t="s">
        <v>4666</v>
      </c>
      <c r="Q1944" s="28" t="s">
        <v>4667</v>
      </c>
      <c r="R1944" s="28" t="s">
        <v>4654</v>
      </c>
    </row>
    <row r="1945" spans="1:18" hidden="1">
      <c r="A1945" s="28">
        <v>4</v>
      </c>
      <c r="B1945" s="29" t="s">
        <v>306</v>
      </c>
      <c r="C1945" s="29" t="s">
        <v>339</v>
      </c>
      <c r="D1945" s="29" t="s">
        <v>687</v>
      </c>
      <c r="E1945" s="29" t="s">
        <v>172</v>
      </c>
      <c r="F1945" s="28" t="s">
        <v>4536</v>
      </c>
      <c r="G1945" s="28" t="s">
        <v>4536</v>
      </c>
      <c r="H1945" s="28" t="s">
        <v>384</v>
      </c>
      <c r="I1945" s="28">
        <v>4</v>
      </c>
      <c r="J1945" s="30">
        <v>6.9000000000000006E-2</v>
      </c>
      <c r="K1945" s="28" t="s">
        <v>278</v>
      </c>
      <c r="L1945" s="31">
        <v>43525</v>
      </c>
      <c r="M1945" s="28">
        <v>3</v>
      </c>
      <c r="N1945" s="32" t="s">
        <v>191</v>
      </c>
      <c r="O1945" s="28" t="s">
        <v>204</v>
      </c>
      <c r="P1945" s="28" t="s">
        <v>4668</v>
      </c>
      <c r="Q1945" s="28" t="s">
        <v>4669</v>
      </c>
      <c r="R1945" s="28" t="s">
        <v>4651</v>
      </c>
    </row>
    <row r="1946" spans="1:18" hidden="1">
      <c r="A1946" s="28">
        <v>4</v>
      </c>
      <c r="B1946" s="29" t="s">
        <v>306</v>
      </c>
      <c r="C1946" s="29" t="s">
        <v>339</v>
      </c>
      <c r="D1946" s="29" t="s">
        <v>340</v>
      </c>
      <c r="E1946" s="29" t="s">
        <v>172</v>
      </c>
      <c r="F1946" s="28" t="s">
        <v>4536</v>
      </c>
      <c r="G1946" s="28" t="s">
        <v>4536</v>
      </c>
      <c r="H1946" s="28" t="s">
        <v>384</v>
      </c>
      <c r="I1946" s="28">
        <v>4</v>
      </c>
      <c r="J1946" s="30">
        <v>6.9000000000000006E-2</v>
      </c>
      <c r="K1946" s="28" t="s">
        <v>335</v>
      </c>
      <c r="L1946" s="31">
        <v>42614</v>
      </c>
      <c r="M1946" s="28">
        <v>9</v>
      </c>
      <c r="N1946" s="32" t="s">
        <v>191</v>
      </c>
      <c r="O1946" s="28" t="s">
        <v>204</v>
      </c>
      <c r="P1946" s="28" t="s">
        <v>4670</v>
      </c>
      <c r="Q1946" s="28" t="s">
        <v>4671</v>
      </c>
      <c r="R1946" s="28" t="s">
        <v>4672</v>
      </c>
    </row>
    <row r="1947" spans="1:18" hidden="1">
      <c r="A1947" s="28">
        <v>4</v>
      </c>
      <c r="B1947" s="29" t="s">
        <v>306</v>
      </c>
      <c r="C1947" s="29" t="s">
        <v>339</v>
      </c>
      <c r="D1947" s="29" t="s">
        <v>340</v>
      </c>
      <c r="E1947" s="29" t="s">
        <v>172</v>
      </c>
      <c r="F1947" s="28" t="s">
        <v>4536</v>
      </c>
      <c r="G1947" s="28" t="s">
        <v>4536</v>
      </c>
      <c r="H1947" s="28" t="s">
        <v>384</v>
      </c>
      <c r="I1947" s="28">
        <v>4</v>
      </c>
      <c r="J1947" s="30">
        <v>6.9000000000000006E-2</v>
      </c>
      <c r="K1947" s="28" t="s">
        <v>401</v>
      </c>
      <c r="L1947" s="31">
        <v>42705</v>
      </c>
      <c r="M1947" s="28">
        <v>12</v>
      </c>
      <c r="N1947" s="32" t="s">
        <v>176</v>
      </c>
      <c r="O1947" s="28" t="s">
        <v>204</v>
      </c>
      <c r="P1947" s="28" t="s">
        <v>4673</v>
      </c>
      <c r="Q1947" s="28" t="s">
        <v>4674</v>
      </c>
      <c r="R1947" s="28" t="s">
        <v>4672</v>
      </c>
    </row>
    <row r="1948" spans="1:18" hidden="1">
      <c r="A1948" s="28">
        <v>4</v>
      </c>
      <c r="B1948" s="29" t="s">
        <v>306</v>
      </c>
      <c r="C1948" s="29" t="s">
        <v>339</v>
      </c>
      <c r="D1948" s="29" t="s">
        <v>340</v>
      </c>
      <c r="E1948" s="29" t="s">
        <v>172</v>
      </c>
      <c r="F1948" s="28" t="s">
        <v>4536</v>
      </c>
      <c r="G1948" s="28" t="s">
        <v>4536</v>
      </c>
      <c r="H1948" s="28" t="s">
        <v>384</v>
      </c>
      <c r="I1948" s="28">
        <v>4</v>
      </c>
      <c r="J1948" s="30">
        <v>6.9000000000000006E-2</v>
      </c>
      <c r="K1948" s="28" t="s">
        <v>464</v>
      </c>
      <c r="L1948" s="31">
        <v>42887</v>
      </c>
      <c r="M1948" s="28">
        <v>6</v>
      </c>
      <c r="N1948" s="32" t="s">
        <v>184</v>
      </c>
      <c r="O1948" s="28" t="s">
        <v>204</v>
      </c>
      <c r="P1948" s="28" t="s">
        <v>4675</v>
      </c>
      <c r="Q1948" s="28" t="s">
        <v>4676</v>
      </c>
      <c r="R1948" s="28" t="s">
        <v>3515</v>
      </c>
    </row>
    <row r="1949" spans="1:18" hidden="1">
      <c r="A1949" s="28">
        <v>4</v>
      </c>
      <c r="B1949" s="29" t="s">
        <v>306</v>
      </c>
      <c r="C1949" s="29" t="s">
        <v>339</v>
      </c>
      <c r="D1949" s="29" t="s">
        <v>340</v>
      </c>
      <c r="E1949" s="29" t="s">
        <v>172</v>
      </c>
      <c r="F1949" s="28" t="s">
        <v>4536</v>
      </c>
      <c r="G1949" s="28" t="s">
        <v>4536</v>
      </c>
      <c r="H1949" s="28" t="s">
        <v>384</v>
      </c>
      <c r="I1949" s="28">
        <v>4</v>
      </c>
      <c r="J1949" s="30">
        <v>6.9000000000000006E-2</v>
      </c>
      <c r="K1949" s="28" t="s">
        <v>2489</v>
      </c>
      <c r="L1949" s="31">
        <v>43040</v>
      </c>
      <c r="M1949" s="28">
        <v>11</v>
      </c>
      <c r="N1949" s="32" t="s">
        <v>191</v>
      </c>
      <c r="O1949" s="28" t="s">
        <v>204</v>
      </c>
      <c r="P1949" s="28" t="s">
        <v>4677</v>
      </c>
      <c r="Q1949" s="28" t="s">
        <v>4678</v>
      </c>
      <c r="R1949" s="28" t="s">
        <v>4672</v>
      </c>
    </row>
    <row r="1950" spans="1:18" hidden="1">
      <c r="A1950" s="28">
        <v>4</v>
      </c>
      <c r="B1950" s="29" t="s">
        <v>306</v>
      </c>
      <c r="C1950" s="29" t="s">
        <v>339</v>
      </c>
      <c r="D1950" s="29" t="s">
        <v>340</v>
      </c>
      <c r="E1950" s="29" t="s">
        <v>172</v>
      </c>
      <c r="F1950" s="28" t="s">
        <v>4536</v>
      </c>
      <c r="G1950" s="28" t="s">
        <v>4536</v>
      </c>
      <c r="H1950" s="28" t="s">
        <v>384</v>
      </c>
      <c r="I1950" s="28">
        <v>4</v>
      </c>
      <c r="J1950" s="30">
        <v>6.9000000000000006E-2</v>
      </c>
      <c r="K1950" s="28" t="s">
        <v>248</v>
      </c>
      <c r="L1950" s="31">
        <v>43070</v>
      </c>
      <c r="M1950" s="28">
        <v>12</v>
      </c>
      <c r="N1950" s="32" t="s">
        <v>176</v>
      </c>
      <c r="O1950" s="28" t="s">
        <v>204</v>
      </c>
      <c r="P1950" s="28" t="s">
        <v>4679</v>
      </c>
      <c r="Q1950" s="28" t="s">
        <v>4680</v>
      </c>
      <c r="R1950" s="28" t="s">
        <v>4672</v>
      </c>
    </row>
    <row r="1951" spans="1:18" hidden="1">
      <c r="A1951" s="28">
        <v>4</v>
      </c>
      <c r="B1951" s="29" t="s">
        <v>306</v>
      </c>
      <c r="C1951" s="29" t="s">
        <v>339</v>
      </c>
      <c r="D1951" s="29" t="s">
        <v>340</v>
      </c>
      <c r="E1951" s="29" t="s">
        <v>172</v>
      </c>
      <c r="F1951" s="28" t="s">
        <v>4536</v>
      </c>
      <c r="G1951" s="28" t="s">
        <v>4536</v>
      </c>
      <c r="H1951" s="28" t="s">
        <v>384</v>
      </c>
      <c r="I1951" s="28">
        <v>4</v>
      </c>
      <c r="J1951" s="30">
        <v>6.9000000000000006E-2</v>
      </c>
      <c r="K1951" s="28" t="s">
        <v>473</v>
      </c>
      <c r="L1951" s="31">
        <v>43160</v>
      </c>
      <c r="M1951" s="28">
        <v>3</v>
      </c>
      <c r="N1951" s="32" t="s">
        <v>191</v>
      </c>
      <c r="O1951" s="28" t="s">
        <v>204</v>
      </c>
      <c r="P1951" s="28" t="s">
        <v>4681</v>
      </c>
      <c r="Q1951" s="28" t="s">
        <v>4663</v>
      </c>
      <c r="R1951" s="28" t="s">
        <v>4672</v>
      </c>
    </row>
    <row r="1952" spans="1:18" hidden="1">
      <c r="A1952" s="28">
        <v>4</v>
      </c>
      <c r="B1952" s="29" t="s">
        <v>306</v>
      </c>
      <c r="C1952" s="29" t="s">
        <v>339</v>
      </c>
      <c r="D1952" s="29" t="s">
        <v>340</v>
      </c>
      <c r="E1952" s="29" t="s">
        <v>172</v>
      </c>
      <c r="F1952" s="28" t="s">
        <v>4536</v>
      </c>
      <c r="G1952" s="28" t="s">
        <v>4536</v>
      </c>
      <c r="H1952" s="28" t="s">
        <v>384</v>
      </c>
      <c r="I1952" s="28">
        <v>4</v>
      </c>
      <c r="J1952" s="30">
        <v>6.9000000000000006E-2</v>
      </c>
      <c r="K1952" s="28" t="s">
        <v>212</v>
      </c>
      <c r="L1952" s="31">
        <v>43313</v>
      </c>
      <c r="M1952" s="28">
        <v>8</v>
      </c>
      <c r="N1952" s="32" t="s">
        <v>184</v>
      </c>
      <c r="O1952" s="28" t="s">
        <v>204</v>
      </c>
      <c r="P1952" s="28" t="s">
        <v>4682</v>
      </c>
      <c r="Q1952" s="28" t="s">
        <v>4671</v>
      </c>
      <c r="R1952" s="28" t="s">
        <v>4672</v>
      </c>
    </row>
    <row r="1953" spans="1:18" hidden="1">
      <c r="A1953" s="28">
        <v>4</v>
      </c>
      <c r="B1953" s="29" t="s">
        <v>306</v>
      </c>
      <c r="C1953" s="29" t="s">
        <v>339</v>
      </c>
      <c r="D1953" s="29" t="s">
        <v>340</v>
      </c>
      <c r="E1953" s="29" t="s">
        <v>172</v>
      </c>
      <c r="F1953" s="28" t="s">
        <v>4536</v>
      </c>
      <c r="G1953" s="28" t="s">
        <v>4536</v>
      </c>
      <c r="H1953" s="28" t="s">
        <v>384</v>
      </c>
      <c r="I1953" s="28">
        <v>4</v>
      </c>
      <c r="J1953" s="30">
        <v>6.9000000000000006E-2</v>
      </c>
      <c r="K1953" s="28" t="s">
        <v>361</v>
      </c>
      <c r="L1953" s="31">
        <v>43435</v>
      </c>
      <c r="M1953" s="28">
        <v>12</v>
      </c>
      <c r="N1953" s="32" t="s">
        <v>176</v>
      </c>
      <c r="O1953" s="28" t="s">
        <v>204</v>
      </c>
      <c r="P1953" s="28" t="s">
        <v>4683</v>
      </c>
      <c r="Q1953" s="28" t="s">
        <v>4671</v>
      </c>
      <c r="R1953" s="28" t="s">
        <v>4672</v>
      </c>
    </row>
    <row r="1954" spans="1:18" hidden="1">
      <c r="A1954" s="28">
        <v>4</v>
      </c>
      <c r="B1954" s="29" t="s">
        <v>306</v>
      </c>
      <c r="C1954" s="29" t="s">
        <v>339</v>
      </c>
      <c r="D1954" s="29" t="s">
        <v>340</v>
      </c>
      <c r="E1954" s="29" t="s">
        <v>172</v>
      </c>
      <c r="F1954" s="28" t="s">
        <v>4536</v>
      </c>
      <c r="G1954" s="28" t="s">
        <v>4536</v>
      </c>
      <c r="H1954" s="28" t="s">
        <v>384</v>
      </c>
      <c r="I1954" s="28">
        <v>4</v>
      </c>
      <c r="J1954" s="30">
        <v>6.9000000000000006E-2</v>
      </c>
      <c r="K1954" s="28" t="s">
        <v>844</v>
      </c>
      <c r="L1954" s="31">
        <v>43586</v>
      </c>
      <c r="M1954" s="28">
        <v>5</v>
      </c>
      <c r="N1954" s="32" t="s">
        <v>191</v>
      </c>
      <c r="O1954" s="28" t="s">
        <v>204</v>
      </c>
      <c r="P1954" s="28" t="s">
        <v>4684</v>
      </c>
      <c r="Q1954" s="28" t="s">
        <v>4685</v>
      </c>
      <c r="R1954" s="28" t="s">
        <v>4651</v>
      </c>
    </row>
    <row r="1955" spans="1:18" hidden="1">
      <c r="A1955" s="28">
        <v>4</v>
      </c>
      <c r="B1955" s="29" t="s">
        <v>306</v>
      </c>
      <c r="C1955" s="29" t="s">
        <v>339</v>
      </c>
      <c r="D1955" s="29" t="s">
        <v>340</v>
      </c>
      <c r="E1955" s="29" t="s">
        <v>172</v>
      </c>
      <c r="F1955" s="28" t="s">
        <v>4536</v>
      </c>
      <c r="G1955" s="28" t="s">
        <v>4536</v>
      </c>
      <c r="H1955" s="28" t="s">
        <v>384</v>
      </c>
      <c r="I1955" s="28">
        <v>4</v>
      </c>
      <c r="J1955" s="30">
        <v>6.9000000000000006E-2</v>
      </c>
      <c r="K1955" s="28" t="s">
        <v>236</v>
      </c>
      <c r="L1955" s="31">
        <v>43617</v>
      </c>
      <c r="M1955" s="28">
        <v>6</v>
      </c>
      <c r="N1955" s="32" t="s">
        <v>184</v>
      </c>
      <c r="O1955" s="28" t="s">
        <v>204</v>
      </c>
      <c r="P1955" s="28" t="s">
        <v>4686</v>
      </c>
      <c r="Q1955" s="28" t="s">
        <v>4671</v>
      </c>
      <c r="R1955" s="28" t="s">
        <v>4672</v>
      </c>
    </row>
    <row r="1956" spans="1:18" hidden="1">
      <c r="A1956" s="28">
        <v>4</v>
      </c>
      <c r="B1956" s="29" t="s">
        <v>306</v>
      </c>
      <c r="C1956" s="29" t="s">
        <v>339</v>
      </c>
      <c r="D1956" s="29" t="s">
        <v>340</v>
      </c>
      <c r="E1956" s="29" t="s">
        <v>172</v>
      </c>
      <c r="F1956" s="28" t="s">
        <v>4536</v>
      </c>
      <c r="G1956" s="28" t="s">
        <v>4536</v>
      </c>
      <c r="H1956" s="28" t="s">
        <v>384</v>
      </c>
      <c r="I1956" s="28">
        <v>4</v>
      </c>
      <c r="J1956" s="30">
        <v>6.9000000000000006E-2</v>
      </c>
      <c r="K1956" s="28" t="s">
        <v>442</v>
      </c>
      <c r="L1956" s="31">
        <v>43647</v>
      </c>
      <c r="M1956" s="28">
        <v>7</v>
      </c>
      <c r="N1956" s="32" t="s">
        <v>184</v>
      </c>
      <c r="O1956" s="28" t="s">
        <v>204</v>
      </c>
      <c r="P1956" s="28" t="s">
        <v>4687</v>
      </c>
      <c r="Q1956" s="28" t="s">
        <v>4688</v>
      </c>
      <c r="R1956" s="28" t="s">
        <v>4672</v>
      </c>
    </row>
    <row r="1957" spans="1:18" hidden="1">
      <c r="A1957" s="28">
        <v>5</v>
      </c>
      <c r="B1957" s="29" t="s">
        <v>349</v>
      </c>
      <c r="C1957" s="29" t="s">
        <v>350</v>
      </c>
      <c r="D1957" s="29" t="s">
        <v>714</v>
      </c>
      <c r="E1957" s="29" t="s">
        <v>172</v>
      </c>
      <c r="F1957" s="28" t="s">
        <v>4536</v>
      </c>
      <c r="G1957" s="28" t="s">
        <v>4536</v>
      </c>
      <c r="H1957" s="28" t="s">
        <v>384</v>
      </c>
      <c r="I1957" s="28">
        <v>4</v>
      </c>
      <c r="J1957" s="30">
        <v>6.9000000000000006E-2</v>
      </c>
      <c r="K1957" s="28" t="s">
        <v>971</v>
      </c>
      <c r="L1957" s="31">
        <v>42979</v>
      </c>
      <c r="M1957" s="28">
        <v>9</v>
      </c>
      <c r="N1957" s="32" t="s">
        <v>191</v>
      </c>
      <c r="O1957" s="28" t="s">
        <v>204</v>
      </c>
      <c r="P1957" s="28" t="s">
        <v>4689</v>
      </c>
      <c r="Q1957" s="28" t="s">
        <v>4690</v>
      </c>
      <c r="R1957" s="28" t="s">
        <v>4691</v>
      </c>
    </row>
    <row r="1958" spans="1:18" hidden="1">
      <c r="A1958" s="28">
        <v>5</v>
      </c>
      <c r="B1958" s="29" t="s">
        <v>349</v>
      </c>
      <c r="C1958" s="29" t="s">
        <v>350</v>
      </c>
      <c r="D1958" s="29" t="s">
        <v>716</v>
      </c>
      <c r="E1958" s="29" t="s">
        <v>172</v>
      </c>
      <c r="F1958" s="28" t="s">
        <v>4536</v>
      </c>
      <c r="G1958" s="28" t="s">
        <v>4536</v>
      </c>
      <c r="H1958" s="28" t="s">
        <v>384</v>
      </c>
      <c r="I1958" s="28">
        <v>4</v>
      </c>
      <c r="J1958" s="30">
        <v>6.9000000000000006E-2</v>
      </c>
      <c r="K1958" s="28" t="s">
        <v>271</v>
      </c>
      <c r="L1958" s="31">
        <v>42856</v>
      </c>
      <c r="M1958" s="28">
        <v>5</v>
      </c>
      <c r="N1958" s="32" t="s">
        <v>191</v>
      </c>
      <c r="O1958" s="28" t="s">
        <v>204</v>
      </c>
      <c r="P1958" s="28" t="s">
        <v>4692</v>
      </c>
      <c r="Q1958" s="28" t="s">
        <v>4656</v>
      </c>
      <c r="R1958" s="28" t="s">
        <v>4693</v>
      </c>
    </row>
    <row r="1959" spans="1:18" hidden="1">
      <c r="A1959" s="28">
        <v>5</v>
      </c>
      <c r="B1959" s="29" t="s">
        <v>349</v>
      </c>
      <c r="C1959" s="29" t="s">
        <v>350</v>
      </c>
      <c r="D1959" s="29" t="s">
        <v>716</v>
      </c>
      <c r="E1959" s="29" t="s">
        <v>172</v>
      </c>
      <c r="F1959" s="28" t="s">
        <v>4536</v>
      </c>
      <c r="G1959" s="28" t="s">
        <v>4536</v>
      </c>
      <c r="H1959" s="28" t="s">
        <v>384</v>
      </c>
      <c r="I1959" s="28">
        <v>4</v>
      </c>
      <c r="J1959" s="30">
        <v>6.9000000000000006E-2</v>
      </c>
      <c r="K1959" s="28" t="s">
        <v>496</v>
      </c>
      <c r="L1959" s="31">
        <v>42917</v>
      </c>
      <c r="M1959" s="28">
        <v>7</v>
      </c>
      <c r="N1959" s="32" t="s">
        <v>184</v>
      </c>
      <c r="O1959" s="28" t="s">
        <v>2537</v>
      </c>
      <c r="P1959" s="28" t="s">
        <v>4694</v>
      </c>
      <c r="Q1959" s="28" t="s">
        <v>4695</v>
      </c>
      <c r="R1959" s="28" t="s">
        <v>4696</v>
      </c>
    </row>
    <row r="1960" spans="1:18" hidden="1">
      <c r="A1960" s="28">
        <v>5</v>
      </c>
      <c r="B1960" s="29" t="s">
        <v>349</v>
      </c>
      <c r="C1960" s="29" t="s">
        <v>350</v>
      </c>
      <c r="D1960" s="29" t="s">
        <v>716</v>
      </c>
      <c r="E1960" s="29" t="s">
        <v>172</v>
      </c>
      <c r="F1960" s="28" t="s">
        <v>4536</v>
      </c>
      <c r="G1960" s="28" t="s">
        <v>4536</v>
      </c>
      <c r="H1960" s="28" t="s">
        <v>384</v>
      </c>
      <c r="I1960" s="28">
        <v>4</v>
      </c>
      <c r="J1960" s="30">
        <v>6.9000000000000006E-2</v>
      </c>
      <c r="K1960" s="28" t="s">
        <v>361</v>
      </c>
      <c r="L1960" s="31">
        <v>43435</v>
      </c>
      <c r="M1960" s="28">
        <v>12</v>
      </c>
      <c r="N1960" s="32" t="s">
        <v>176</v>
      </c>
      <c r="O1960" s="28" t="s">
        <v>204</v>
      </c>
      <c r="P1960" s="28" t="s">
        <v>4697</v>
      </c>
      <c r="Q1960" s="28" t="s">
        <v>4698</v>
      </c>
      <c r="R1960" s="28" t="s">
        <v>4691</v>
      </c>
    </row>
    <row r="1961" spans="1:18" hidden="1">
      <c r="A1961" s="28">
        <v>5</v>
      </c>
      <c r="B1961" s="29" t="s">
        <v>349</v>
      </c>
      <c r="C1961" s="29" t="s">
        <v>350</v>
      </c>
      <c r="D1961" s="29" t="s">
        <v>716</v>
      </c>
      <c r="E1961" s="29" t="s">
        <v>172</v>
      </c>
      <c r="F1961" s="28" t="s">
        <v>4536</v>
      </c>
      <c r="G1961" s="28" t="s">
        <v>4536</v>
      </c>
      <c r="H1961" s="28" t="s">
        <v>384</v>
      </c>
      <c r="I1961" s="28">
        <v>4</v>
      </c>
      <c r="J1961" s="30">
        <v>6.9000000000000006E-2</v>
      </c>
      <c r="K1961" s="28" t="s">
        <v>236</v>
      </c>
      <c r="L1961" s="31">
        <v>43617</v>
      </c>
      <c r="M1961" s="28">
        <v>6</v>
      </c>
      <c r="N1961" s="32" t="s">
        <v>184</v>
      </c>
      <c r="O1961" s="28" t="s">
        <v>204</v>
      </c>
      <c r="P1961" s="28" t="s">
        <v>4699</v>
      </c>
      <c r="Q1961" s="28" t="s">
        <v>4700</v>
      </c>
      <c r="R1961" s="28" t="s">
        <v>4693</v>
      </c>
    </row>
    <row r="1962" spans="1:18" hidden="1">
      <c r="A1962" s="28">
        <v>5</v>
      </c>
      <c r="B1962" s="29" t="s">
        <v>349</v>
      </c>
      <c r="C1962" s="29" t="s">
        <v>350</v>
      </c>
      <c r="D1962" s="29" t="s">
        <v>716</v>
      </c>
      <c r="E1962" s="29" t="s">
        <v>172</v>
      </c>
      <c r="F1962" s="28" t="s">
        <v>4536</v>
      </c>
      <c r="G1962" s="28" t="s">
        <v>4536</v>
      </c>
      <c r="H1962" s="28" t="s">
        <v>384</v>
      </c>
      <c r="I1962" s="28">
        <v>4</v>
      </c>
      <c r="J1962" s="30">
        <v>6.9000000000000006E-2</v>
      </c>
      <c r="K1962" s="28" t="s">
        <v>442</v>
      </c>
      <c r="L1962" s="31">
        <v>43647</v>
      </c>
      <c r="M1962" s="28">
        <v>7</v>
      </c>
      <c r="N1962" s="32" t="s">
        <v>184</v>
      </c>
      <c r="O1962" s="28" t="s">
        <v>204</v>
      </c>
      <c r="P1962" s="28" t="s">
        <v>4701</v>
      </c>
      <c r="Q1962" s="28" t="s">
        <v>4700</v>
      </c>
      <c r="R1962" s="28" t="s">
        <v>4693</v>
      </c>
    </row>
    <row r="1963" spans="1:18" hidden="1">
      <c r="A1963" s="28">
        <v>5</v>
      </c>
      <c r="B1963" s="29" t="s">
        <v>349</v>
      </c>
      <c r="C1963" s="29" t="s">
        <v>350</v>
      </c>
      <c r="D1963" s="29" t="s">
        <v>716</v>
      </c>
      <c r="E1963" s="29" t="s">
        <v>172</v>
      </c>
      <c r="F1963" s="28" t="s">
        <v>4536</v>
      </c>
      <c r="G1963" s="28" t="s">
        <v>4536</v>
      </c>
      <c r="H1963" s="28" t="s">
        <v>384</v>
      </c>
      <c r="I1963" s="28">
        <v>4</v>
      </c>
      <c r="J1963" s="30">
        <v>6.9000000000000006E-2</v>
      </c>
      <c r="K1963" s="28" t="s">
        <v>479</v>
      </c>
      <c r="L1963" s="31">
        <v>43770</v>
      </c>
      <c r="M1963" s="28">
        <v>11</v>
      </c>
      <c r="N1963" s="32" t="s">
        <v>191</v>
      </c>
      <c r="O1963" s="28" t="s">
        <v>204</v>
      </c>
      <c r="P1963" s="28" t="s">
        <v>4702</v>
      </c>
      <c r="Q1963" s="28" t="s">
        <v>4700</v>
      </c>
      <c r="R1963" s="28" t="s">
        <v>4693</v>
      </c>
    </row>
    <row r="1964" spans="1:18" hidden="1">
      <c r="A1964" s="28">
        <v>5</v>
      </c>
      <c r="B1964" s="29" t="s">
        <v>349</v>
      </c>
      <c r="C1964" s="29" t="s">
        <v>350</v>
      </c>
      <c r="D1964" s="29" t="s">
        <v>716</v>
      </c>
      <c r="E1964" s="29" t="s">
        <v>172</v>
      </c>
      <c r="F1964" s="28" t="s">
        <v>4536</v>
      </c>
      <c r="G1964" s="28" t="s">
        <v>4536</v>
      </c>
      <c r="H1964" s="28" t="s">
        <v>384</v>
      </c>
      <c r="I1964" s="28">
        <v>4</v>
      </c>
      <c r="J1964" s="30">
        <v>6.9000000000000006E-2</v>
      </c>
      <c r="K1964" s="28" t="s">
        <v>483</v>
      </c>
      <c r="L1964" s="31">
        <v>44197</v>
      </c>
      <c r="M1964" s="28">
        <v>1</v>
      </c>
      <c r="N1964" s="32" t="s">
        <v>176</v>
      </c>
      <c r="O1964" s="28" t="s">
        <v>204</v>
      </c>
      <c r="P1964" s="28" t="s">
        <v>4703</v>
      </c>
      <c r="Q1964" s="28" t="s">
        <v>4704</v>
      </c>
      <c r="R1964" s="28" t="s">
        <v>4693</v>
      </c>
    </row>
    <row r="1965" spans="1:18" hidden="1">
      <c r="A1965" s="28">
        <v>5</v>
      </c>
      <c r="B1965" s="29" t="s">
        <v>349</v>
      </c>
      <c r="C1965" s="29" t="s">
        <v>350</v>
      </c>
      <c r="D1965" s="29" t="s">
        <v>725</v>
      </c>
      <c r="E1965" s="29" t="s">
        <v>172</v>
      </c>
      <c r="F1965" s="28" t="s">
        <v>4536</v>
      </c>
      <c r="G1965" s="28" t="s">
        <v>4536</v>
      </c>
      <c r="H1965" s="28" t="s">
        <v>384</v>
      </c>
      <c r="I1965" s="28">
        <v>4</v>
      </c>
      <c r="J1965" s="30">
        <v>6.9000000000000006E-2</v>
      </c>
      <c r="K1965" s="28" t="s">
        <v>485</v>
      </c>
      <c r="L1965" s="31">
        <v>42401</v>
      </c>
      <c r="M1965" s="28">
        <v>2</v>
      </c>
      <c r="N1965" s="32" t="s">
        <v>176</v>
      </c>
      <c r="O1965" s="28" t="s">
        <v>204</v>
      </c>
      <c r="P1965" s="28" t="s">
        <v>4705</v>
      </c>
      <c r="Q1965" s="28" t="s">
        <v>4706</v>
      </c>
      <c r="R1965" s="28" t="s">
        <v>4707</v>
      </c>
    </row>
    <row r="1966" spans="1:18" hidden="1">
      <c r="A1966" s="28">
        <v>5</v>
      </c>
      <c r="B1966" s="29" t="s">
        <v>349</v>
      </c>
      <c r="C1966" s="29" t="s">
        <v>350</v>
      </c>
      <c r="D1966" s="29" t="s">
        <v>725</v>
      </c>
      <c r="E1966" s="29" t="s">
        <v>172</v>
      </c>
      <c r="F1966" s="28" t="s">
        <v>4536</v>
      </c>
      <c r="G1966" s="28" t="s">
        <v>4536</v>
      </c>
      <c r="H1966" s="28" t="s">
        <v>384</v>
      </c>
      <c r="I1966" s="28">
        <v>4</v>
      </c>
      <c r="J1966" s="30">
        <v>6.9000000000000006E-2</v>
      </c>
      <c r="K1966" s="28" t="s">
        <v>464</v>
      </c>
      <c r="L1966" s="31">
        <v>42887</v>
      </c>
      <c r="M1966" s="28">
        <v>6</v>
      </c>
      <c r="N1966" s="32" t="s">
        <v>184</v>
      </c>
      <c r="O1966" s="28" t="s">
        <v>204</v>
      </c>
      <c r="P1966" s="28" t="s">
        <v>4708</v>
      </c>
      <c r="Q1966" s="28" t="s">
        <v>4704</v>
      </c>
      <c r="R1966" s="28" t="s">
        <v>4693</v>
      </c>
    </row>
    <row r="1967" spans="1:18" hidden="1">
      <c r="A1967" s="28">
        <v>5</v>
      </c>
      <c r="B1967" s="29" t="s">
        <v>349</v>
      </c>
      <c r="C1967" s="29" t="s">
        <v>350</v>
      </c>
      <c r="D1967" s="29" t="s">
        <v>725</v>
      </c>
      <c r="E1967" s="29" t="s">
        <v>172</v>
      </c>
      <c r="F1967" s="28" t="s">
        <v>4536</v>
      </c>
      <c r="G1967" s="28" t="s">
        <v>4536</v>
      </c>
      <c r="H1967" s="28" t="s">
        <v>384</v>
      </c>
      <c r="I1967" s="28">
        <v>4</v>
      </c>
      <c r="J1967" s="30">
        <v>6.9000000000000006E-2</v>
      </c>
      <c r="K1967" s="28" t="s">
        <v>971</v>
      </c>
      <c r="L1967" s="31">
        <v>42979</v>
      </c>
      <c r="M1967" s="28">
        <v>9</v>
      </c>
      <c r="N1967" s="32" t="s">
        <v>191</v>
      </c>
      <c r="O1967" s="28" t="s">
        <v>204</v>
      </c>
      <c r="P1967" s="28" t="s">
        <v>4709</v>
      </c>
      <c r="Q1967" s="28" t="s">
        <v>4710</v>
      </c>
      <c r="R1967" s="28" t="s">
        <v>4711</v>
      </c>
    </row>
    <row r="1968" spans="1:18" hidden="1">
      <c r="A1968" s="28">
        <v>5</v>
      </c>
      <c r="B1968" s="29" t="s">
        <v>349</v>
      </c>
      <c r="C1968" s="29" t="s">
        <v>350</v>
      </c>
      <c r="D1968" s="29" t="s">
        <v>725</v>
      </c>
      <c r="E1968" s="29" t="s">
        <v>172</v>
      </c>
      <c r="F1968" s="28" t="s">
        <v>4536</v>
      </c>
      <c r="G1968" s="28" t="s">
        <v>4536</v>
      </c>
      <c r="H1968" s="28" t="s">
        <v>384</v>
      </c>
      <c r="I1968" s="28">
        <v>4</v>
      </c>
      <c r="J1968" s="30">
        <v>6.9000000000000006E-2</v>
      </c>
      <c r="K1968" s="28" t="s">
        <v>813</v>
      </c>
      <c r="L1968" s="31">
        <v>43009</v>
      </c>
      <c r="M1968" s="28">
        <v>10</v>
      </c>
      <c r="N1968" s="32" t="s">
        <v>191</v>
      </c>
      <c r="O1968" s="28" t="s">
        <v>204</v>
      </c>
      <c r="P1968" s="28" t="s">
        <v>4712</v>
      </c>
      <c r="Q1968" s="28" t="s">
        <v>4704</v>
      </c>
      <c r="R1968" s="28" t="s">
        <v>4693</v>
      </c>
    </row>
    <row r="1969" spans="1:18" hidden="1">
      <c r="A1969" s="28">
        <v>5</v>
      </c>
      <c r="B1969" s="29" t="s">
        <v>349</v>
      </c>
      <c r="C1969" s="29" t="s">
        <v>350</v>
      </c>
      <c r="D1969" s="29" t="s">
        <v>725</v>
      </c>
      <c r="E1969" s="29" t="s">
        <v>172</v>
      </c>
      <c r="F1969" s="28" t="s">
        <v>4536</v>
      </c>
      <c r="G1969" s="28" t="s">
        <v>4536</v>
      </c>
      <c r="H1969" s="28" t="s">
        <v>384</v>
      </c>
      <c r="I1969" s="28">
        <v>4</v>
      </c>
      <c r="J1969" s="30">
        <v>6.9000000000000006E-2</v>
      </c>
      <c r="K1969" s="28" t="s">
        <v>208</v>
      </c>
      <c r="L1969" s="31">
        <v>43101</v>
      </c>
      <c r="M1969" s="28">
        <v>1</v>
      </c>
      <c r="N1969" s="32" t="s">
        <v>176</v>
      </c>
      <c r="O1969" s="28" t="s">
        <v>204</v>
      </c>
      <c r="P1969" s="28" t="s">
        <v>4713</v>
      </c>
      <c r="Q1969" s="28" t="s">
        <v>4714</v>
      </c>
      <c r="R1969" s="28" t="s">
        <v>4693</v>
      </c>
    </row>
    <row r="1970" spans="1:18" hidden="1">
      <c r="A1970" s="28">
        <v>5</v>
      </c>
      <c r="B1970" s="29" t="s">
        <v>349</v>
      </c>
      <c r="C1970" s="29" t="s">
        <v>350</v>
      </c>
      <c r="D1970" s="29" t="s">
        <v>725</v>
      </c>
      <c r="E1970" s="29" t="s">
        <v>172</v>
      </c>
      <c r="F1970" s="28" t="s">
        <v>4536</v>
      </c>
      <c r="G1970" s="28" t="s">
        <v>4536</v>
      </c>
      <c r="H1970" s="28" t="s">
        <v>384</v>
      </c>
      <c r="I1970" s="28">
        <v>4</v>
      </c>
      <c r="J1970" s="30">
        <v>6.9000000000000006E-2</v>
      </c>
      <c r="K1970" s="28" t="s">
        <v>361</v>
      </c>
      <c r="L1970" s="31">
        <v>43435</v>
      </c>
      <c r="M1970" s="28">
        <v>12</v>
      </c>
      <c r="N1970" s="32" t="s">
        <v>176</v>
      </c>
      <c r="O1970" s="28" t="s">
        <v>204</v>
      </c>
      <c r="P1970" s="28" t="s">
        <v>4715</v>
      </c>
      <c r="Q1970" s="28" t="s">
        <v>4656</v>
      </c>
      <c r="R1970" s="28" t="s">
        <v>4693</v>
      </c>
    </row>
    <row r="1971" spans="1:18" hidden="1">
      <c r="A1971" s="28">
        <v>5</v>
      </c>
      <c r="B1971" s="29" t="s">
        <v>349</v>
      </c>
      <c r="C1971" s="29" t="s">
        <v>350</v>
      </c>
      <c r="D1971" s="29" t="s">
        <v>725</v>
      </c>
      <c r="E1971" s="29" t="s">
        <v>172</v>
      </c>
      <c r="F1971" s="28" t="s">
        <v>4536</v>
      </c>
      <c r="G1971" s="28" t="s">
        <v>4536</v>
      </c>
      <c r="H1971" s="28" t="s">
        <v>384</v>
      </c>
      <c r="I1971" s="28">
        <v>4</v>
      </c>
      <c r="J1971" s="30">
        <v>6.9000000000000006E-2</v>
      </c>
      <c r="K1971" s="28" t="s">
        <v>4716</v>
      </c>
      <c r="L1971" s="31">
        <v>43497</v>
      </c>
      <c r="M1971" s="28">
        <v>2</v>
      </c>
      <c r="N1971" s="32" t="s">
        <v>176</v>
      </c>
      <c r="O1971" s="28" t="s">
        <v>204</v>
      </c>
      <c r="P1971" s="28" t="s">
        <v>4717</v>
      </c>
      <c r="Q1971" s="28" t="s">
        <v>4704</v>
      </c>
      <c r="R1971" s="28" t="s">
        <v>4693</v>
      </c>
    </row>
    <row r="1972" spans="1:18" hidden="1">
      <c r="A1972" s="28">
        <v>5</v>
      </c>
      <c r="B1972" s="29" t="s">
        <v>349</v>
      </c>
      <c r="C1972" s="29" t="s">
        <v>350</v>
      </c>
      <c r="D1972" s="29" t="s">
        <v>725</v>
      </c>
      <c r="E1972" s="29" t="s">
        <v>172</v>
      </c>
      <c r="F1972" s="28" t="s">
        <v>4536</v>
      </c>
      <c r="G1972" s="28" t="s">
        <v>4536</v>
      </c>
      <c r="H1972" s="28" t="s">
        <v>384</v>
      </c>
      <c r="I1972" s="28">
        <v>4</v>
      </c>
      <c r="J1972" s="30">
        <v>6.9000000000000006E-2</v>
      </c>
      <c r="K1972" s="28" t="s">
        <v>1136</v>
      </c>
      <c r="L1972" s="31">
        <v>43497</v>
      </c>
      <c r="M1972" s="28">
        <v>2</v>
      </c>
      <c r="N1972" s="32" t="s">
        <v>176</v>
      </c>
      <c r="O1972" s="28" t="s">
        <v>204</v>
      </c>
      <c r="P1972" s="28" t="s">
        <v>4718</v>
      </c>
      <c r="Q1972" s="28" t="s">
        <v>4719</v>
      </c>
      <c r="R1972" s="28" t="s">
        <v>4693</v>
      </c>
    </row>
    <row r="1973" spans="1:18" hidden="1">
      <c r="A1973" s="28">
        <v>5</v>
      </c>
      <c r="B1973" s="29" t="s">
        <v>349</v>
      </c>
      <c r="C1973" s="29" t="s">
        <v>350</v>
      </c>
      <c r="D1973" s="29" t="s">
        <v>725</v>
      </c>
      <c r="E1973" s="29" t="s">
        <v>172</v>
      </c>
      <c r="F1973" s="28" t="s">
        <v>4536</v>
      </c>
      <c r="G1973" s="28" t="s">
        <v>4536</v>
      </c>
      <c r="H1973" s="28" t="s">
        <v>384</v>
      </c>
      <c r="I1973" s="28">
        <v>4</v>
      </c>
      <c r="J1973" s="30">
        <v>6.9000000000000006E-2</v>
      </c>
      <c r="K1973" s="28" t="s">
        <v>397</v>
      </c>
      <c r="L1973" s="31">
        <v>43739</v>
      </c>
      <c r="M1973" s="28">
        <v>10</v>
      </c>
      <c r="N1973" s="32" t="s">
        <v>191</v>
      </c>
      <c r="O1973" s="28" t="s">
        <v>204</v>
      </c>
      <c r="P1973" s="28" t="s">
        <v>4720</v>
      </c>
      <c r="Q1973" s="28" t="s">
        <v>4700</v>
      </c>
      <c r="R1973" s="28" t="s">
        <v>4693</v>
      </c>
    </row>
    <row r="1974" spans="1:18" hidden="1">
      <c r="A1974" s="28">
        <v>5</v>
      </c>
      <c r="B1974" s="29" t="s">
        <v>349</v>
      </c>
      <c r="C1974" s="29" t="s">
        <v>350</v>
      </c>
      <c r="D1974" s="29" t="s">
        <v>725</v>
      </c>
      <c r="E1974" s="29" t="s">
        <v>172</v>
      </c>
      <c r="F1974" s="28" t="s">
        <v>4536</v>
      </c>
      <c r="G1974" s="28" t="s">
        <v>4536</v>
      </c>
      <c r="H1974" s="28" t="s">
        <v>384</v>
      </c>
      <c r="I1974" s="28">
        <v>4</v>
      </c>
      <c r="J1974" s="30">
        <v>6.9000000000000006E-2</v>
      </c>
      <c r="K1974" s="28" t="s">
        <v>632</v>
      </c>
      <c r="L1974" s="31">
        <v>44378</v>
      </c>
      <c r="M1974" s="28">
        <v>7</v>
      </c>
      <c r="N1974" s="32" t="s">
        <v>184</v>
      </c>
      <c r="O1974" s="28" t="s">
        <v>204</v>
      </c>
      <c r="P1974" s="28" t="s">
        <v>4721</v>
      </c>
      <c r="Q1974" s="28" t="s">
        <v>4704</v>
      </c>
      <c r="R1974" s="28" t="s">
        <v>4693</v>
      </c>
    </row>
    <row r="1975" spans="1:18" hidden="1">
      <c r="A1975" s="28">
        <v>5</v>
      </c>
      <c r="B1975" s="29" t="s">
        <v>349</v>
      </c>
      <c r="C1975" s="29" t="s">
        <v>355</v>
      </c>
      <c r="D1975" s="29" t="s">
        <v>356</v>
      </c>
      <c r="E1975" s="29" t="s">
        <v>172</v>
      </c>
      <c r="F1975" s="28" t="s">
        <v>4536</v>
      </c>
      <c r="G1975" s="28" t="s">
        <v>4536</v>
      </c>
      <c r="H1975" s="28" t="s">
        <v>384</v>
      </c>
      <c r="I1975" s="28">
        <v>4</v>
      </c>
      <c r="J1975" s="30">
        <v>6.9000000000000006E-2</v>
      </c>
      <c r="K1975" s="28" t="s">
        <v>460</v>
      </c>
      <c r="L1975" s="31">
        <v>42675</v>
      </c>
      <c r="M1975" s="28">
        <v>11</v>
      </c>
      <c r="N1975" s="32" t="s">
        <v>191</v>
      </c>
      <c r="O1975" s="28" t="s">
        <v>204</v>
      </c>
      <c r="P1975" s="28" t="s">
        <v>4722</v>
      </c>
      <c r="Q1975" s="28" t="s">
        <v>4626</v>
      </c>
      <c r="R1975" s="28" t="s">
        <v>4723</v>
      </c>
    </row>
    <row r="1976" spans="1:18" hidden="1">
      <c r="A1976" s="28">
        <v>5</v>
      </c>
      <c r="B1976" s="29" t="s">
        <v>349</v>
      </c>
      <c r="C1976" s="29" t="s">
        <v>355</v>
      </c>
      <c r="D1976" s="29" t="s">
        <v>356</v>
      </c>
      <c r="E1976" s="29" t="s">
        <v>172</v>
      </c>
      <c r="F1976" s="28" t="s">
        <v>4536</v>
      </c>
      <c r="G1976" s="28" t="s">
        <v>4536</v>
      </c>
      <c r="H1976" s="28" t="s">
        <v>384</v>
      </c>
      <c r="I1976" s="28">
        <v>4</v>
      </c>
      <c r="J1976" s="30">
        <v>6.9000000000000006E-2</v>
      </c>
      <c r="K1976" s="28" t="s">
        <v>248</v>
      </c>
      <c r="L1976" s="31">
        <v>43070</v>
      </c>
      <c r="M1976" s="28">
        <v>12</v>
      </c>
      <c r="N1976" s="32" t="s">
        <v>176</v>
      </c>
      <c r="O1976" s="28" t="s">
        <v>204</v>
      </c>
      <c r="P1976" s="28" t="s">
        <v>4724</v>
      </c>
      <c r="Q1976" s="28" t="s">
        <v>4725</v>
      </c>
      <c r="R1976" s="28" t="s">
        <v>4723</v>
      </c>
    </row>
    <row r="1977" spans="1:18" hidden="1">
      <c r="A1977" s="28">
        <v>5</v>
      </c>
      <c r="B1977" s="29" t="s">
        <v>349</v>
      </c>
      <c r="C1977" s="29" t="s">
        <v>355</v>
      </c>
      <c r="D1977" s="29" t="s">
        <v>356</v>
      </c>
      <c r="E1977" s="29" t="s">
        <v>172</v>
      </c>
      <c r="F1977" s="28" t="s">
        <v>4536</v>
      </c>
      <c r="G1977" s="28" t="s">
        <v>4536</v>
      </c>
      <c r="H1977" s="28" t="s">
        <v>384</v>
      </c>
      <c r="I1977" s="28">
        <v>4</v>
      </c>
      <c r="J1977" s="30">
        <v>6.9000000000000006E-2</v>
      </c>
      <c r="K1977" s="28" t="s">
        <v>361</v>
      </c>
      <c r="L1977" s="31">
        <v>43435</v>
      </c>
      <c r="M1977" s="28">
        <v>12</v>
      </c>
      <c r="N1977" s="32" t="s">
        <v>176</v>
      </c>
      <c r="O1977" s="28" t="s">
        <v>204</v>
      </c>
      <c r="P1977" s="28" t="s">
        <v>4726</v>
      </c>
      <c r="Q1977" s="28" t="s">
        <v>4725</v>
      </c>
      <c r="R1977" s="28" t="s">
        <v>4723</v>
      </c>
    </row>
    <row r="1978" spans="1:18" hidden="1">
      <c r="A1978" s="28">
        <v>5</v>
      </c>
      <c r="B1978" s="29" t="s">
        <v>349</v>
      </c>
      <c r="C1978" s="29" t="s">
        <v>355</v>
      </c>
      <c r="D1978" s="29" t="s">
        <v>360</v>
      </c>
      <c r="E1978" s="29" t="s">
        <v>172</v>
      </c>
      <c r="F1978" s="28" t="s">
        <v>4536</v>
      </c>
      <c r="G1978" s="28" t="s">
        <v>4536</v>
      </c>
      <c r="H1978" s="28" t="s">
        <v>384</v>
      </c>
      <c r="I1978" s="28">
        <v>4</v>
      </c>
      <c r="J1978" s="30">
        <v>6.9000000000000006E-2</v>
      </c>
      <c r="K1978" s="28" t="s">
        <v>4727</v>
      </c>
      <c r="L1978" s="31">
        <v>41944</v>
      </c>
      <c r="M1978" s="28">
        <v>11</v>
      </c>
      <c r="N1978" s="32" t="s">
        <v>191</v>
      </c>
      <c r="O1978" s="28" t="s">
        <v>204</v>
      </c>
      <c r="P1978" s="28" t="s">
        <v>4728</v>
      </c>
      <c r="Q1978" s="28" t="s">
        <v>4729</v>
      </c>
      <c r="R1978" s="28" t="s">
        <v>4730</v>
      </c>
    </row>
    <row r="1979" spans="1:18" hidden="1">
      <c r="A1979" s="28">
        <v>5</v>
      </c>
      <c r="B1979" s="29" t="s">
        <v>349</v>
      </c>
      <c r="C1979" s="29" t="s">
        <v>355</v>
      </c>
      <c r="D1979" s="29" t="s">
        <v>360</v>
      </c>
      <c r="E1979" s="29" t="s">
        <v>172</v>
      </c>
      <c r="F1979" s="28" t="s">
        <v>4536</v>
      </c>
      <c r="G1979" s="28" t="s">
        <v>4536</v>
      </c>
      <c r="H1979" s="28" t="s">
        <v>384</v>
      </c>
      <c r="I1979" s="28">
        <v>4</v>
      </c>
      <c r="J1979" s="30">
        <v>6.9000000000000006E-2</v>
      </c>
      <c r="K1979" s="28" t="s">
        <v>4731</v>
      </c>
      <c r="L1979" s="31">
        <v>42217</v>
      </c>
      <c r="M1979" s="28">
        <v>8</v>
      </c>
      <c r="N1979" s="32" t="s">
        <v>184</v>
      </c>
      <c r="O1979" s="28" t="s">
        <v>204</v>
      </c>
      <c r="P1979" s="28" t="s">
        <v>4732</v>
      </c>
      <c r="Q1979" s="28" t="s">
        <v>4729</v>
      </c>
      <c r="R1979" s="28" t="s">
        <v>4730</v>
      </c>
    </row>
    <row r="1980" spans="1:18" hidden="1">
      <c r="A1980" s="28">
        <v>5</v>
      </c>
      <c r="B1980" s="29" t="s">
        <v>349</v>
      </c>
      <c r="C1980" s="29" t="s">
        <v>355</v>
      </c>
      <c r="D1980" s="29" t="s">
        <v>360</v>
      </c>
      <c r="E1980" s="29" t="s">
        <v>172</v>
      </c>
      <c r="F1980" s="28" t="s">
        <v>4536</v>
      </c>
      <c r="G1980" s="28" t="s">
        <v>4536</v>
      </c>
      <c r="H1980" s="28" t="s">
        <v>384</v>
      </c>
      <c r="I1980" s="28">
        <v>4</v>
      </c>
      <c r="J1980" s="30">
        <v>6.9000000000000006E-2</v>
      </c>
      <c r="K1980" s="28" t="s">
        <v>257</v>
      </c>
      <c r="L1980" s="31">
        <v>42552</v>
      </c>
      <c r="M1980" s="28">
        <v>7</v>
      </c>
      <c r="N1980" s="32" t="s">
        <v>184</v>
      </c>
      <c r="O1980" s="28" t="s">
        <v>204</v>
      </c>
      <c r="P1980" s="28" t="s">
        <v>4733</v>
      </c>
      <c r="Q1980" s="28" t="s">
        <v>4734</v>
      </c>
      <c r="R1980" s="28" t="s">
        <v>4730</v>
      </c>
    </row>
    <row r="1981" spans="1:18" hidden="1">
      <c r="A1981" s="28">
        <v>5</v>
      </c>
      <c r="B1981" s="29" t="s">
        <v>349</v>
      </c>
      <c r="C1981" s="29" t="s">
        <v>355</v>
      </c>
      <c r="D1981" s="29" t="s">
        <v>360</v>
      </c>
      <c r="E1981" s="29" t="s">
        <v>172</v>
      </c>
      <c r="F1981" s="28" t="s">
        <v>4536</v>
      </c>
      <c r="G1981" s="28" t="s">
        <v>4536</v>
      </c>
      <c r="H1981" s="28" t="s">
        <v>384</v>
      </c>
      <c r="I1981" s="28">
        <v>4</v>
      </c>
      <c r="J1981" s="30">
        <v>6.9000000000000006E-2</v>
      </c>
      <c r="K1981" s="28" t="s">
        <v>587</v>
      </c>
      <c r="L1981" s="31">
        <v>42736</v>
      </c>
      <c r="M1981" s="28">
        <v>1</v>
      </c>
      <c r="N1981" s="32" t="s">
        <v>176</v>
      </c>
      <c r="O1981" s="28" t="s">
        <v>204</v>
      </c>
      <c r="P1981" s="28" t="s">
        <v>4735</v>
      </c>
      <c r="Q1981" s="28" t="s">
        <v>4736</v>
      </c>
      <c r="R1981" s="28" t="s">
        <v>4730</v>
      </c>
    </row>
    <row r="1982" spans="1:18" hidden="1">
      <c r="A1982" s="28">
        <v>5</v>
      </c>
      <c r="B1982" s="29" t="s">
        <v>349</v>
      </c>
      <c r="C1982" s="29" t="s">
        <v>355</v>
      </c>
      <c r="D1982" s="29" t="s">
        <v>360</v>
      </c>
      <c r="E1982" s="29" t="s">
        <v>172</v>
      </c>
      <c r="F1982" s="28" t="s">
        <v>4536</v>
      </c>
      <c r="G1982" s="28" t="s">
        <v>4536</v>
      </c>
      <c r="H1982" s="28" t="s">
        <v>384</v>
      </c>
      <c r="I1982" s="28">
        <v>4</v>
      </c>
      <c r="J1982" s="30">
        <v>6.9000000000000006E-2</v>
      </c>
      <c r="K1982" s="28" t="s">
        <v>271</v>
      </c>
      <c r="L1982" s="31">
        <v>42856</v>
      </c>
      <c r="M1982" s="28">
        <v>5</v>
      </c>
      <c r="N1982" s="32" t="s">
        <v>191</v>
      </c>
      <c r="O1982" s="28" t="s">
        <v>204</v>
      </c>
      <c r="P1982" s="28" t="s">
        <v>4737</v>
      </c>
      <c r="Q1982" s="28" t="s">
        <v>4734</v>
      </c>
      <c r="R1982" s="28" t="s">
        <v>4730</v>
      </c>
    </row>
    <row r="1983" spans="1:18" hidden="1">
      <c r="A1983" s="28">
        <v>5</v>
      </c>
      <c r="B1983" s="29" t="s">
        <v>349</v>
      </c>
      <c r="C1983" s="29" t="s">
        <v>355</v>
      </c>
      <c r="D1983" s="29" t="s">
        <v>360</v>
      </c>
      <c r="E1983" s="29" t="s">
        <v>172</v>
      </c>
      <c r="F1983" s="28" t="s">
        <v>4536</v>
      </c>
      <c r="G1983" s="28" t="s">
        <v>4536</v>
      </c>
      <c r="H1983" s="28" t="s">
        <v>384</v>
      </c>
      <c r="I1983" s="28">
        <v>4</v>
      </c>
      <c r="J1983" s="30">
        <v>6.9000000000000006E-2</v>
      </c>
      <c r="K1983" s="28" t="s">
        <v>248</v>
      </c>
      <c r="L1983" s="31">
        <v>43070</v>
      </c>
      <c r="M1983" s="28">
        <v>12</v>
      </c>
      <c r="N1983" s="32" t="s">
        <v>176</v>
      </c>
      <c r="O1983" s="28" t="s">
        <v>204</v>
      </c>
      <c r="P1983" s="28" t="s">
        <v>4738</v>
      </c>
      <c r="Q1983" s="28" t="s">
        <v>4739</v>
      </c>
      <c r="R1983" s="28" t="s">
        <v>4730</v>
      </c>
    </row>
    <row r="1984" spans="1:18" hidden="1">
      <c r="A1984" s="28">
        <v>5</v>
      </c>
      <c r="B1984" s="29" t="s">
        <v>349</v>
      </c>
      <c r="C1984" s="29" t="s">
        <v>355</v>
      </c>
      <c r="D1984" s="29" t="s">
        <v>360</v>
      </c>
      <c r="E1984" s="29" t="s">
        <v>172</v>
      </c>
      <c r="F1984" s="28" t="s">
        <v>4536</v>
      </c>
      <c r="G1984" s="28" t="s">
        <v>4536</v>
      </c>
      <c r="H1984" s="28" t="s">
        <v>384</v>
      </c>
      <c r="I1984" s="28">
        <v>4</v>
      </c>
      <c r="J1984" s="30">
        <v>6.9000000000000006E-2</v>
      </c>
      <c r="K1984" s="28" t="s">
        <v>1896</v>
      </c>
      <c r="L1984" s="31">
        <v>43132</v>
      </c>
      <c r="M1984" s="28">
        <v>2</v>
      </c>
      <c r="N1984" s="32" t="s">
        <v>176</v>
      </c>
      <c r="O1984" s="28" t="s">
        <v>204</v>
      </c>
      <c r="P1984" s="28" t="s">
        <v>4740</v>
      </c>
      <c r="Q1984" s="28" t="s">
        <v>4626</v>
      </c>
      <c r="R1984" s="28" t="s">
        <v>4723</v>
      </c>
    </row>
    <row r="1985" spans="1:18" hidden="1">
      <c r="A1985" s="28">
        <v>5</v>
      </c>
      <c r="B1985" s="29" t="s">
        <v>349</v>
      </c>
      <c r="C1985" s="29" t="s">
        <v>355</v>
      </c>
      <c r="D1985" s="29" t="s">
        <v>360</v>
      </c>
      <c r="E1985" s="29" t="s">
        <v>172</v>
      </c>
      <c r="F1985" s="28" t="s">
        <v>4536</v>
      </c>
      <c r="G1985" s="28" t="s">
        <v>4536</v>
      </c>
      <c r="H1985" s="28" t="s">
        <v>384</v>
      </c>
      <c r="I1985" s="28">
        <v>4</v>
      </c>
      <c r="J1985" s="30">
        <v>6.9000000000000006E-2</v>
      </c>
      <c r="K1985" s="28" t="s">
        <v>475</v>
      </c>
      <c r="L1985" s="31">
        <v>43191</v>
      </c>
      <c r="M1985" s="28">
        <v>4</v>
      </c>
      <c r="N1985" s="32" t="s">
        <v>191</v>
      </c>
      <c r="O1985" s="28" t="s">
        <v>204</v>
      </c>
      <c r="P1985" s="28" t="s">
        <v>4741</v>
      </c>
      <c r="Q1985" s="28" t="s">
        <v>4742</v>
      </c>
      <c r="R1985" s="28" t="s">
        <v>4743</v>
      </c>
    </row>
    <row r="1986" spans="1:18" hidden="1">
      <c r="A1986" s="28">
        <v>5</v>
      </c>
      <c r="B1986" s="29" t="s">
        <v>349</v>
      </c>
      <c r="C1986" s="29" t="s">
        <v>355</v>
      </c>
      <c r="D1986" s="29" t="s">
        <v>360</v>
      </c>
      <c r="E1986" s="29" t="s">
        <v>172</v>
      </c>
      <c r="F1986" s="28" t="s">
        <v>4536</v>
      </c>
      <c r="G1986" s="28" t="s">
        <v>4536</v>
      </c>
      <c r="H1986" s="28" t="s">
        <v>384</v>
      </c>
      <c r="I1986" s="28">
        <v>4</v>
      </c>
      <c r="J1986" s="30">
        <v>6.9000000000000006E-2</v>
      </c>
      <c r="K1986" s="28" t="s">
        <v>212</v>
      </c>
      <c r="L1986" s="31">
        <v>43313</v>
      </c>
      <c r="M1986" s="28">
        <v>8</v>
      </c>
      <c r="N1986" s="32" t="s">
        <v>184</v>
      </c>
      <c r="O1986" s="28" t="s">
        <v>204</v>
      </c>
      <c r="P1986" s="28" t="s">
        <v>4744</v>
      </c>
      <c r="Q1986" s="28" t="s">
        <v>4734</v>
      </c>
      <c r="R1986" s="28" t="s">
        <v>4730</v>
      </c>
    </row>
    <row r="1987" spans="1:18" hidden="1">
      <c r="A1987" s="28">
        <v>5</v>
      </c>
      <c r="B1987" s="29" t="s">
        <v>349</v>
      </c>
      <c r="C1987" s="29" t="s">
        <v>355</v>
      </c>
      <c r="D1987" s="29" t="s">
        <v>360</v>
      </c>
      <c r="E1987" s="29" t="s">
        <v>172</v>
      </c>
      <c r="F1987" s="28" t="s">
        <v>4536</v>
      </c>
      <c r="G1987" s="28" t="s">
        <v>4536</v>
      </c>
      <c r="H1987" s="28" t="s">
        <v>384</v>
      </c>
      <c r="I1987" s="28">
        <v>4</v>
      </c>
      <c r="J1987" s="30">
        <v>6.9000000000000006E-2</v>
      </c>
      <c r="K1987" s="28" t="s">
        <v>212</v>
      </c>
      <c r="L1987" s="31">
        <v>43313</v>
      </c>
      <c r="M1987" s="28">
        <v>8</v>
      </c>
      <c r="N1987" s="32" t="s">
        <v>184</v>
      </c>
      <c r="O1987" s="28" t="s">
        <v>204</v>
      </c>
      <c r="P1987" s="28" t="s">
        <v>4745</v>
      </c>
      <c r="Q1987" s="28" t="s">
        <v>4746</v>
      </c>
      <c r="R1987" s="28" t="s">
        <v>4730</v>
      </c>
    </row>
    <row r="1988" spans="1:18" hidden="1">
      <c r="A1988" s="28">
        <v>5</v>
      </c>
      <c r="B1988" s="29" t="s">
        <v>349</v>
      </c>
      <c r="C1988" s="29" t="s">
        <v>355</v>
      </c>
      <c r="D1988" s="29" t="s">
        <v>360</v>
      </c>
      <c r="E1988" s="29" t="s">
        <v>172</v>
      </c>
      <c r="F1988" s="28" t="s">
        <v>4536</v>
      </c>
      <c r="G1988" s="28" t="s">
        <v>4536</v>
      </c>
      <c r="H1988" s="28" t="s">
        <v>384</v>
      </c>
      <c r="I1988" s="28">
        <v>4</v>
      </c>
      <c r="J1988" s="30">
        <v>6.9000000000000006E-2</v>
      </c>
      <c r="K1988" s="28" t="s">
        <v>361</v>
      </c>
      <c r="L1988" s="31">
        <v>43435</v>
      </c>
      <c r="M1988" s="28">
        <v>12</v>
      </c>
      <c r="N1988" s="32" t="s">
        <v>176</v>
      </c>
      <c r="O1988" s="28" t="s">
        <v>204</v>
      </c>
      <c r="P1988" s="28" t="s">
        <v>4747</v>
      </c>
      <c r="Q1988" s="28" t="s">
        <v>4748</v>
      </c>
      <c r="R1988" s="28" t="s">
        <v>4730</v>
      </c>
    </row>
    <row r="1989" spans="1:18" hidden="1">
      <c r="A1989" s="28">
        <v>5</v>
      </c>
      <c r="B1989" s="29" t="s">
        <v>349</v>
      </c>
      <c r="C1989" s="29" t="s">
        <v>355</v>
      </c>
      <c r="D1989" s="29" t="s">
        <v>360</v>
      </c>
      <c r="E1989" s="29" t="s">
        <v>172</v>
      </c>
      <c r="F1989" s="28" t="s">
        <v>4536</v>
      </c>
      <c r="G1989" s="28" t="s">
        <v>4536</v>
      </c>
      <c r="H1989" s="28" t="s">
        <v>384</v>
      </c>
      <c r="I1989" s="28">
        <v>4</v>
      </c>
      <c r="J1989" s="30">
        <v>6.9000000000000006E-2</v>
      </c>
      <c r="K1989" s="28" t="s">
        <v>2752</v>
      </c>
      <c r="L1989" s="31">
        <v>43647</v>
      </c>
      <c r="M1989" s="28">
        <v>7</v>
      </c>
      <c r="N1989" s="32" t="s">
        <v>184</v>
      </c>
      <c r="O1989" s="28" t="s">
        <v>204</v>
      </c>
      <c r="P1989" s="28" t="s">
        <v>4749</v>
      </c>
      <c r="Q1989" s="28" t="s">
        <v>4734</v>
      </c>
      <c r="R1989" s="28" t="s">
        <v>4730</v>
      </c>
    </row>
    <row r="1990" spans="1:18" hidden="1">
      <c r="A1990" s="28">
        <v>5</v>
      </c>
      <c r="B1990" s="29" t="s">
        <v>349</v>
      </c>
      <c r="C1990" s="29" t="s">
        <v>355</v>
      </c>
      <c r="D1990" s="29" t="s">
        <v>360</v>
      </c>
      <c r="E1990" s="29" t="s">
        <v>172</v>
      </c>
      <c r="F1990" s="28" t="s">
        <v>4536</v>
      </c>
      <c r="G1990" s="28" t="s">
        <v>4536</v>
      </c>
      <c r="H1990" s="28" t="s">
        <v>384</v>
      </c>
      <c r="I1990" s="28">
        <v>4</v>
      </c>
      <c r="J1990" s="30">
        <v>6.9000000000000006E-2</v>
      </c>
      <c r="K1990" s="28" t="s">
        <v>442</v>
      </c>
      <c r="L1990" s="31">
        <v>43647</v>
      </c>
      <c r="M1990" s="28">
        <v>7</v>
      </c>
      <c r="N1990" s="32" t="s">
        <v>184</v>
      </c>
      <c r="O1990" s="28" t="s">
        <v>185</v>
      </c>
      <c r="P1990" s="28" t="s">
        <v>4750</v>
      </c>
      <c r="Q1990" s="28" t="s">
        <v>4751</v>
      </c>
      <c r="R1990" s="28" t="s">
        <v>4730</v>
      </c>
    </row>
    <row r="1991" spans="1:18" hidden="1">
      <c r="A1991" s="28">
        <v>5</v>
      </c>
      <c r="B1991" s="29" t="s">
        <v>349</v>
      </c>
      <c r="C1991" s="29" t="s">
        <v>355</v>
      </c>
      <c r="D1991" s="29" t="s">
        <v>360</v>
      </c>
      <c r="E1991" s="29" t="s">
        <v>172</v>
      </c>
      <c r="F1991" s="28" t="s">
        <v>4536</v>
      </c>
      <c r="G1991" s="28" t="s">
        <v>4536</v>
      </c>
      <c r="H1991" s="28" t="s">
        <v>384</v>
      </c>
      <c r="I1991" s="28">
        <v>4</v>
      </c>
      <c r="J1991" s="30">
        <v>6.9000000000000006E-2</v>
      </c>
      <c r="K1991" s="28" t="s">
        <v>442</v>
      </c>
      <c r="L1991" s="31">
        <v>43647</v>
      </c>
      <c r="M1991" s="28">
        <v>7</v>
      </c>
      <c r="N1991" s="32" t="s">
        <v>184</v>
      </c>
      <c r="O1991" s="28" t="s">
        <v>204</v>
      </c>
      <c r="P1991" s="28" t="s">
        <v>4752</v>
      </c>
      <c r="Q1991" s="28" t="s">
        <v>4753</v>
      </c>
      <c r="R1991" s="28" t="s">
        <v>4730</v>
      </c>
    </row>
    <row r="1992" spans="1:18" hidden="1">
      <c r="A1992" s="28">
        <v>5</v>
      </c>
      <c r="B1992" s="29" t="s">
        <v>349</v>
      </c>
      <c r="C1992" s="29" t="s">
        <v>355</v>
      </c>
      <c r="D1992" s="29" t="s">
        <v>360</v>
      </c>
      <c r="E1992" s="29" t="s">
        <v>172</v>
      </c>
      <c r="F1992" s="28" t="s">
        <v>4536</v>
      </c>
      <c r="G1992" s="28" t="s">
        <v>4536</v>
      </c>
      <c r="H1992" s="28" t="s">
        <v>384</v>
      </c>
      <c r="I1992" s="28">
        <v>4</v>
      </c>
      <c r="J1992" s="30">
        <v>6.9000000000000006E-2</v>
      </c>
      <c r="K1992" s="28" t="s">
        <v>328</v>
      </c>
      <c r="L1992" s="31">
        <v>43891</v>
      </c>
      <c r="M1992" s="28">
        <v>3</v>
      </c>
      <c r="N1992" s="32" t="s">
        <v>191</v>
      </c>
      <c r="O1992" s="28" t="s">
        <v>204</v>
      </c>
      <c r="P1992" s="28" t="s">
        <v>4754</v>
      </c>
      <c r="Q1992" s="28" t="s">
        <v>4729</v>
      </c>
      <c r="R1992" s="28" t="s">
        <v>4730</v>
      </c>
    </row>
    <row r="1993" spans="1:18" hidden="1">
      <c r="A1993" s="28">
        <v>5</v>
      </c>
      <c r="B1993" s="29" t="s">
        <v>349</v>
      </c>
      <c r="C1993" s="29" t="s">
        <v>355</v>
      </c>
      <c r="D1993" s="29" t="s">
        <v>360</v>
      </c>
      <c r="E1993" s="29" t="s">
        <v>172</v>
      </c>
      <c r="F1993" s="28" t="s">
        <v>4536</v>
      </c>
      <c r="G1993" s="28" t="s">
        <v>4536</v>
      </c>
      <c r="H1993" s="28" t="s">
        <v>384</v>
      </c>
      <c r="I1993" s="28">
        <v>4</v>
      </c>
      <c r="J1993" s="30">
        <v>6.9000000000000006E-2</v>
      </c>
      <c r="K1993" s="28" t="s">
        <v>643</v>
      </c>
      <c r="L1993" s="31">
        <v>44013</v>
      </c>
      <c r="M1993" s="28">
        <v>7</v>
      </c>
      <c r="N1993" s="32" t="s">
        <v>184</v>
      </c>
      <c r="O1993" s="28" t="s">
        <v>204</v>
      </c>
      <c r="P1993" s="28" t="s">
        <v>4755</v>
      </c>
      <c r="Q1993" s="28" t="s">
        <v>4756</v>
      </c>
      <c r="R1993" s="28" t="s">
        <v>4730</v>
      </c>
    </row>
    <row r="1994" spans="1:18" hidden="1">
      <c r="A1994" s="28">
        <v>5</v>
      </c>
      <c r="B1994" s="29" t="s">
        <v>349</v>
      </c>
      <c r="C1994" s="29" t="s">
        <v>355</v>
      </c>
      <c r="D1994" s="29" t="s">
        <v>360</v>
      </c>
      <c r="E1994" s="29" t="s">
        <v>172</v>
      </c>
      <c r="F1994" s="28" t="s">
        <v>4536</v>
      </c>
      <c r="G1994" s="28" t="s">
        <v>4536</v>
      </c>
      <c r="H1994" s="28" t="s">
        <v>384</v>
      </c>
      <c r="I1994" s="28">
        <v>4</v>
      </c>
      <c r="J1994" s="30">
        <v>6.9000000000000006E-2</v>
      </c>
      <c r="K1994" s="28" t="s">
        <v>823</v>
      </c>
      <c r="L1994" s="31">
        <v>44136</v>
      </c>
      <c r="M1994" s="28">
        <v>11</v>
      </c>
      <c r="N1994" s="32" t="s">
        <v>191</v>
      </c>
      <c r="O1994" s="28" t="s">
        <v>204</v>
      </c>
      <c r="P1994" s="28" t="s">
        <v>4757</v>
      </c>
      <c r="Q1994" s="28" t="s">
        <v>4729</v>
      </c>
      <c r="R1994" s="28" t="s">
        <v>4730</v>
      </c>
    </row>
    <row r="1995" spans="1:18" hidden="1">
      <c r="A1995" s="28">
        <v>5</v>
      </c>
      <c r="B1995" s="29" t="s">
        <v>349</v>
      </c>
      <c r="C1995" s="29" t="s">
        <v>355</v>
      </c>
      <c r="D1995" s="29" t="s">
        <v>360</v>
      </c>
      <c r="E1995" s="29" t="s">
        <v>172</v>
      </c>
      <c r="F1995" s="28" t="s">
        <v>4536</v>
      </c>
      <c r="G1995" s="28" t="s">
        <v>4536</v>
      </c>
      <c r="H1995" s="28" t="s">
        <v>384</v>
      </c>
      <c r="I1995" s="28">
        <v>4</v>
      </c>
      <c r="J1995" s="30">
        <v>6.9000000000000006E-2</v>
      </c>
      <c r="K1995" s="28" t="s">
        <v>297</v>
      </c>
      <c r="L1995" s="31">
        <v>44409</v>
      </c>
      <c r="M1995" s="28">
        <v>8</v>
      </c>
      <c r="N1995" s="32" t="s">
        <v>184</v>
      </c>
      <c r="O1995" s="28" t="s">
        <v>204</v>
      </c>
      <c r="P1995" s="28" t="s">
        <v>4758</v>
      </c>
      <c r="Q1995" s="28" t="s">
        <v>4734</v>
      </c>
      <c r="R1995" s="28" t="s">
        <v>4730</v>
      </c>
    </row>
    <row r="1996" spans="1:18" hidden="1">
      <c r="A1996" s="28">
        <v>6</v>
      </c>
      <c r="B1996" s="29" t="s">
        <v>365</v>
      </c>
      <c r="C1996" s="29" t="s">
        <v>366</v>
      </c>
      <c r="D1996" s="29" t="s">
        <v>1887</v>
      </c>
      <c r="E1996" s="29" t="s">
        <v>172</v>
      </c>
      <c r="F1996" s="28" t="s">
        <v>4536</v>
      </c>
      <c r="G1996" s="28" t="s">
        <v>4536</v>
      </c>
      <c r="H1996" s="28" t="s">
        <v>384</v>
      </c>
      <c r="I1996" s="28">
        <v>4</v>
      </c>
      <c r="J1996" s="30">
        <v>6.9000000000000006E-2</v>
      </c>
      <c r="K1996" s="28" t="s">
        <v>464</v>
      </c>
      <c r="L1996" s="31">
        <v>42887</v>
      </c>
      <c r="M1996" s="28">
        <v>6</v>
      </c>
      <c r="N1996" s="32" t="s">
        <v>184</v>
      </c>
      <c r="O1996" s="28" t="s">
        <v>204</v>
      </c>
      <c r="P1996" s="28" t="s">
        <v>4759</v>
      </c>
      <c r="Q1996" s="28" t="s">
        <v>4760</v>
      </c>
      <c r="R1996" s="28" t="s">
        <v>4761</v>
      </c>
    </row>
    <row r="1997" spans="1:18" hidden="1">
      <c r="A1997" s="28">
        <v>6</v>
      </c>
      <c r="B1997" s="29" t="s">
        <v>365</v>
      </c>
      <c r="C1997" s="29" t="s">
        <v>366</v>
      </c>
      <c r="D1997" s="29" t="s">
        <v>1887</v>
      </c>
      <c r="E1997" s="29" t="s">
        <v>172</v>
      </c>
      <c r="F1997" s="28" t="s">
        <v>4536</v>
      </c>
      <c r="G1997" s="28" t="s">
        <v>4536</v>
      </c>
      <c r="H1997" s="28" t="s">
        <v>384</v>
      </c>
      <c r="I1997" s="28">
        <v>4</v>
      </c>
      <c r="J1997" s="30">
        <v>6.9000000000000006E-2</v>
      </c>
      <c r="K1997" s="28" t="s">
        <v>464</v>
      </c>
      <c r="L1997" s="31">
        <v>42887</v>
      </c>
      <c r="M1997" s="28">
        <v>6</v>
      </c>
      <c r="N1997" s="32" t="s">
        <v>184</v>
      </c>
      <c r="O1997" s="28" t="s">
        <v>204</v>
      </c>
      <c r="P1997" s="28" t="s">
        <v>4762</v>
      </c>
      <c r="Q1997" s="28" t="s">
        <v>4760</v>
      </c>
      <c r="R1997" s="28" t="s">
        <v>4761</v>
      </c>
    </row>
    <row r="1998" spans="1:18" hidden="1">
      <c r="A1998" s="28">
        <v>6</v>
      </c>
      <c r="B1998" s="29" t="s">
        <v>365</v>
      </c>
      <c r="C1998" s="29" t="s">
        <v>366</v>
      </c>
      <c r="D1998" s="29" t="s">
        <v>1887</v>
      </c>
      <c r="E1998" s="29" t="s">
        <v>172</v>
      </c>
      <c r="F1998" s="28" t="s">
        <v>4536</v>
      </c>
      <c r="G1998" s="28" t="s">
        <v>4536</v>
      </c>
      <c r="H1998" s="28" t="s">
        <v>384</v>
      </c>
      <c r="I1998" s="28">
        <v>4</v>
      </c>
      <c r="J1998" s="30">
        <v>6.9000000000000006E-2</v>
      </c>
      <c r="K1998" s="28" t="s">
        <v>501</v>
      </c>
      <c r="L1998" s="31">
        <v>43405</v>
      </c>
      <c r="M1998" s="28">
        <v>11</v>
      </c>
      <c r="N1998" s="32" t="s">
        <v>191</v>
      </c>
      <c r="O1998" s="28" t="s">
        <v>204</v>
      </c>
      <c r="P1998" s="28" t="s">
        <v>4763</v>
      </c>
      <c r="Q1998" s="28" t="s">
        <v>4760</v>
      </c>
      <c r="R1998" s="28" t="s">
        <v>4761</v>
      </c>
    </row>
    <row r="1999" spans="1:18" hidden="1">
      <c r="A1999" s="28">
        <v>6</v>
      </c>
      <c r="B1999" s="29" t="s">
        <v>365</v>
      </c>
      <c r="C1999" s="29" t="s">
        <v>366</v>
      </c>
      <c r="D1999" s="29" t="s">
        <v>1887</v>
      </c>
      <c r="E1999" s="29" t="s">
        <v>172</v>
      </c>
      <c r="F1999" s="28" t="s">
        <v>4536</v>
      </c>
      <c r="G1999" s="28" t="s">
        <v>4536</v>
      </c>
      <c r="H1999" s="28" t="s">
        <v>384</v>
      </c>
      <c r="I1999" s="28">
        <v>4</v>
      </c>
      <c r="J1999" s="30">
        <v>6.9000000000000006E-2</v>
      </c>
      <c r="K1999" s="28" t="s">
        <v>844</v>
      </c>
      <c r="L1999" s="31">
        <v>43586</v>
      </c>
      <c r="M1999" s="28">
        <v>5</v>
      </c>
      <c r="N1999" s="32" t="s">
        <v>191</v>
      </c>
      <c r="O1999" s="28" t="s">
        <v>204</v>
      </c>
      <c r="P1999" s="28" t="s">
        <v>4764</v>
      </c>
      <c r="Q1999" s="28" t="s">
        <v>4760</v>
      </c>
      <c r="R1999" s="28" t="s">
        <v>4761</v>
      </c>
    </row>
    <row r="2000" spans="1:18" hidden="1">
      <c r="A2000" s="28">
        <v>11</v>
      </c>
      <c r="B2000" s="29" t="s">
        <v>169</v>
      </c>
      <c r="C2000" s="29" t="s">
        <v>1271</v>
      </c>
      <c r="D2000" s="29" t="s">
        <v>1272</v>
      </c>
      <c r="E2000" s="29" t="s">
        <v>172</v>
      </c>
      <c r="F2000" s="28" t="s">
        <v>4765</v>
      </c>
      <c r="G2000" s="28" t="s">
        <v>4765</v>
      </c>
      <c r="H2000" s="28" t="s">
        <v>174</v>
      </c>
      <c r="I2000" s="28" t="s">
        <v>174</v>
      </c>
      <c r="J2000" s="30" t="s">
        <v>174</v>
      </c>
      <c r="K2000" s="28" t="s">
        <v>651</v>
      </c>
      <c r="L2000" s="31">
        <v>42644</v>
      </c>
      <c r="M2000" s="28">
        <v>10</v>
      </c>
      <c r="N2000" s="32" t="s">
        <v>191</v>
      </c>
      <c r="O2000" s="28" t="s">
        <v>185</v>
      </c>
      <c r="P2000" s="28" t="s">
        <v>4766</v>
      </c>
      <c r="Q2000" s="28" t="s">
        <v>4767</v>
      </c>
      <c r="R2000" s="28" t="s">
        <v>4768</v>
      </c>
    </row>
    <row r="2001" spans="1:18" hidden="1">
      <c r="A2001" s="28">
        <v>11</v>
      </c>
      <c r="B2001" s="29" t="s">
        <v>169</v>
      </c>
      <c r="C2001" s="29" t="s">
        <v>1271</v>
      </c>
      <c r="D2001" s="29" t="s">
        <v>1272</v>
      </c>
      <c r="E2001" s="29" t="s">
        <v>172</v>
      </c>
      <c r="F2001" s="28" t="s">
        <v>4765</v>
      </c>
      <c r="G2001" s="28" t="s">
        <v>4765</v>
      </c>
      <c r="H2001" s="28" t="s">
        <v>174</v>
      </c>
      <c r="I2001" s="28" t="s">
        <v>174</v>
      </c>
      <c r="J2001" s="30" t="s">
        <v>174</v>
      </c>
      <c r="K2001" s="28" t="s">
        <v>411</v>
      </c>
      <c r="L2001" s="31">
        <v>43556</v>
      </c>
      <c r="M2001" s="28">
        <v>4</v>
      </c>
      <c r="N2001" s="32" t="s">
        <v>191</v>
      </c>
      <c r="O2001" s="28" t="s">
        <v>185</v>
      </c>
      <c r="P2001" s="28" t="s">
        <v>4769</v>
      </c>
      <c r="Q2001" s="28" t="s">
        <v>4767</v>
      </c>
      <c r="R2001" s="28" t="s">
        <v>4768</v>
      </c>
    </row>
    <row r="2002" spans="1:18" hidden="1">
      <c r="A2002" s="28">
        <v>11</v>
      </c>
      <c r="B2002" s="29" t="s">
        <v>169</v>
      </c>
      <c r="C2002" s="29" t="s">
        <v>1271</v>
      </c>
      <c r="D2002" s="29" t="s">
        <v>1272</v>
      </c>
      <c r="E2002" s="29" t="s">
        <v>172</v>
      </c>
      <c r="F2002" s="28" t="s">
        <v>4765</v>
      </c>
      <c r="G2002" s="28" t="s">
        <v>4765</v>
      </c>
      <c r="H2002" s="28" t="s">
        <v>174</v>
      </c>
      <c r="I2002" s="28" t="s">
        <v>174</v>
      </c>
      <c r="J2002" s="30" t="s">
        <v>174</v>
      </c>
      <c r="K2002" s="28" t="s">
        <v>442</v>
      </c>
      <c r="L2002" s="31">
        <v>43647</v>
      </c>
      <c r="M2002" s="28">
        <v>7</v>
      </c>
      <c r="N2002" s="32" t="s">
        <v>184</v>
      </c>
      <c r="O2002" s="28" t="s">
        <v>185</v>
      </c>
      <c r="P2002" s="28" t="s">
        <v>4770</v>
      </c>
      <c r="Q2002" s="28" t="s">
        <v>4767</v>
      </c>
      <c r="R2002" s="28" t="s">
        <v>4768</v>
      </c>
    </row>
    <row r="2003" spans="1:18" hidden="1">
      <c r="A2003" s="28">
        <v>11</v>
      </c>
      <c r="B2003" s="29" t="s">
        <v>169</v>
      </c>
      <c r="C2003" s="29" t="s">
        <v>1271</v>
      </c>
      <c r="D2003" s="29" t="s">
        <v>1272</v>
      </c>
      <c r="E2003" s="29" t="s">
        <v>172</v>
      </c>
      <c r="F2003" s="28" t="s">
        <v>4765</v>
      </c>
      <c r="G2003" s="28" t="s">
        <v>4765</v>
      </c>
      <c r="H2003" s="28" t="s">
        <v>174</v>
      </c>
      <c r="I2003" s="28" t="s">
        <v>174</v>
      </c>
      <c r="J2003" s="30" t="s">
        <v>174</v>
      </c>
      <c r="K2003" s="28" t="s">
        <v>328</v>
      </c>
      <c r="L2003" s="31">
        <v>43891</v>
      </c>
      <c r="M2003" s="28">
        <v>3</v>
      </c>
      <c r="N2003" s="32" t="s">
        <v>191</v>
      </c>
      <c r="O2003" s="28" t="s">
        <v>177</v>
      </c>
      <c r="P2003" s="28" t="s">
        <v>4771</v>
      </c>
      <c r="Q2003" s="28" t="s">
        <v>4772</v>
      </c>
      <c r="R2003" s="28" t="s">
        <v>4773</v>
      </c>
    </row>
    <row r="2004" spans="1:18" hidden="1">
      <c r="A2004" s="28">
        <v>12</v>
      </c>
      <c r="B2004" s="29" t="s">
        <v>195</v>
      </c>
      <c r="C2004" s="29" t="s">
        <v>230</v>
      </c>
      <c r="D2004" s="29" t="s">
        <v>231</v>
      </c>
      <c r="E2004" s="29" t="s">
        <v>172</v>
      </c>
      <c r="F2004" s="28" t="s">
        <v>4765</v>
      </c>
      <c r="G2004" s="28" t="s">
        <v>4765</v>
      </c>
      <c r="H2004" s="28" t="s">
        <v>174</v>
      </c>
      <c r="I2004" s="28" t="s">
        <v>174</v>
      </c>
      <c r="J2004" s="30" t="s">
        <v>174</v>
      </c>
      <c r="K2004" s="28" t="s">
        <v>415</v>
      </c>
      <c r="L2004" s="31">
        <v>43952</v>
      </c>
      <c r="M2004" s="28">
        <v>5</v>
      </c>
      <c r="N2004" s="32" t="s">
        <v>191</v>
      </c>
      <c r="O2004" s="28" t="s">
        <v>177</v>
      </c>
      <c r="P2004" s="28" t="s">
        <v>4774</v>
      </c>
      <c r="Q2004" s="28" t="s">
        <v>4775</v>
      </c>
      <c r="R2004" s="28" t="s">
        <v>4776</v>
      </c>
    </row>
    <row r="2005" spans="1:18" hidden="1">
      <c r="A2005" s="28">
        <v>6</v>
      </c>
      <c r="B2005" s="29" t="s">
        <v>365</v>
      </c>
      <c r="C2005" s="29" t="s">
        <v>366</v>
      </c>
      <c r="D2005" s="29" t="s">
        <v>367</v>
      </c>
      <c r="E2005" s="29" t="s">
        <v>172</v>
      </c>
      <c r="F2005" s="28" t="s">
        <v>4765</v>
      </c>
      <c r="G2005" s="28" t="s">
        <v>4765</v>
      </c>
      <c r="H2005" s="28" t="s">
        <v>174</v>
      </c>
      <c r="I2005" s="28" t="s">
        <v>174</v>
      </c>
      <c r="J2005" s="30" t="s">
        <v>174</v>
      </c>
      <c r="K2005" s="28" t="s">
        <v>442</v>
      </c>
      <c r="L2005" s="31">
        <v>43647</v>
      </c>
      <c r="M2005" s="28">
        <v>7</v>
      </c>
      <c r="N2005" s="32" t="s">
        <v>184</v>
      </c>
      <c r="O2005" s="28" t="s">
        <v>185</v>
      </c>
      <c r="P2005" s="28" t="s">
        <v>4777</v>
      </c>
      <c r="Q2005" s="28" t="s">
        <v>4778</v>
      </c>
      <c r="R2005" s="28" t="s">
        <v>4768</v>
      </c>
    </row>
    <row r="2006" spans="1:18" hidden="1">
      <c r="A2006" s="28">
        <v>6</v>
      </c>
      <c r="B2006" s="29" t="s">
        <v>365</v>
      </c>
      <c r="C2006" s="29" t="s">
        <v>366</v>
      </c>
      <c r="D2006" s="29" t="s">
        <v>367</v>
      </c>
      <c r="E2006" s="29" t="s">
        <v>172</v>
      </c>
      <c r="F2006" s="28" t="s">
        <v>4765</v>
      </c>
      <c r="G2006" s="28" t="s">
        <v>4765</v>
      </c>
      <c r="H2006" s="28" t="s">
        <v>174</v>
      </c>
      <c r="I2006" s="28" t="s">
        <v>174</v>
      </c>
      <c r="J2006" s="30" t="s">
        <v>174</v>
      </c>
      <c r="K2006" s="28" t="s">
        <v>520</v>
      </c>
      <c r="L2006" s="31">
        <v>43800</v>
      </c>
      <c r="M2006" s="28">
        <v>12</v>
      </c>
      <c r="N2006" s="32" t="s">
        <v>176</v>
      </c>
      <c r="O2006" s="28" t="s">
        <v>185</v>
      </c>
      <c r="P2006" s="28" t="s">
        <v>4779</v>
      </c>
      <c r="Q2006" s="28" t="s">
        <v>4778</v>
      </c>
      <c r="R2006" s="28" t="s">
        <v>4768</v>
      </c>
    </row>
    <row r="2007" spans="1:18" hidden="1">
      <c r="A2007" s="28">
        <v>6</v>
      </c>
      <c r="B2007" s="29" t="s">
        <v>365</v>
      </c>
      <c r="C2007" s="29" t="s">
        <v>366</v>
      </c>
      <c r="D2007" s="29" t="s">
        <v>367</v>
      </c>
      <c r="E2007" s="29" t="s">
        <v>172</v>
      </c>
      <c r="F2007" s="28" t="s">
        <v>4765</v>
      </c>
      <c r="G2007" s="28" t="s">
        <v>4765</v>
      </c>
      <c r="H2007" s="28" t="s">
        <v>174</v>
      </c>
      <c r="I2007" s="28" t="s">
        <v>174</v>
      </c>
      <c r="J2007" s="30" t="s">
        <v>174</v>
      </c>
      <c r="K2007" s="28" t="s">
        <v>218</v>
      </c>
      <c r="L2007" s="31">
        <v>44044</v>
      </c>
      <c r="M2007" s="28">
        <v>8</v>
      </c>
      <c r="N2007" s="32" t="s">
        <v>184</v>
      </c>
      <c r="O2007" s="28" t="s">
        <v>185</v>
      </c>
      <c r="P2007" s="28" t="s">
        <v>4780</v>
      </c>
      <c r="Q2007" s="28" t="s">
        <v>4778</v>
      </c>
      <c r="R2007" s="28" t="s">
        <v>4768</v>
      </c>
    </row>
    <row r="2008" spans="1:18" hidden="1">
      <c r="A2008" s="28">
        <v>6</v>
      </c>
      <c r="B2008" s="29" t="s">
        <v>365</v>
      </c>
      <c r="C2008" s="29" t="s">
        <v>366</v>
      </c>
      <c r="D2008" s="29" t="s">
        <v>367</v>
      </c>
      <c r="E2008" s="29" t="s">
        <v>172</v>
      </c>
      <c r="F2008" s="28" t="s">
        <v>4765</v>
      </c>
      <c r="G2008" s="28" t="s">
        <v>4765</v>
      </c>
      <c r="H2008" s="28" t="s">
        <v>174</v>
      </c>
      <c r="I2008" s="28" t="s">
        <v>174</v>
      </c>
      <c r="J2008" s="30" t="s">
        <v>174</v>
      </c>
      <c r="K2008" s="28" t="s">
        <v>823</v>
      </c>
      <c r="L2008" s="31">
        <v>44136</v>
      </c>
      <c r="M2008" s="28">
        <v>11</v>
      </c>
      <c r="N2008" s="32" t="s">
        <v>191</v>
      </c>
      <c r="O2008" s="28" t="s">
        <v>185</v>
      </c>
      <c r="P2008" s="28" t="s">
        <v>4781</v>
      </c>
      <c r="Q2008" s="28" t="s">
        <v>4778</v>
      </c>
      <c r="R2008" s="28" t="s">
        <v>4768</v>
      </c>
    </row>
    <row r="2009" spans="1:18" hidden="1">
      <c r="A2009" s="28">
        <v>6</v>
      </c>
      <c r="B2009" s="29" t="s">
        <v>365</v>
      </c>
      <c r="C2009" s="29" t="s">
        <v>366</v>
      </c>
      <c r="D2009" s="29" t="s">
        <v>367</v>
      </c>
      <c r="E2009" s="29" t="s">
        <v>172</v>
      </c>
      <c r="F2009" s="28" t="s">
        <v>4765</v>
      </c>
      <c r="G2009" s="28" t="s">
        <v>4765</v>
      </c>
      <c r="H2009" s="28" t="s">
        <v>174</v>
      </c>
      <c r="I2009" s="28" t="s">
        <v>174</v>
      </c>
      <c r="J2009" s="30" t="s">
        <v>174</v>
      </c>
      <c r="K2009" s="28" t="s">
        <v>730</v>
      </c>
      <c r="L2009" s="31">
        <v>44166</v>
      </c>
      <c r="M2009" s="28">
        <v>12</v>
      </c>
      <c r="N2009" s="32" t="s">
        <v>176</v>
      </c>
      <c r="O2009" s="28" t="s">
        <v>185</v>
      </c>
      <c r="P2009" s="28" t="s">
        <v>4782</v>
      </c>
      <c r="Q2009" s="28" t="s">
        <v>4778</v>
      </c>
      <c r="R2009" s="28" t="s">
        <v>4768</v>
      </c>
    </row>
    <row r="2010" spans="1:18" hidden="1">
      <c r="A2010" s="28">
        <v>6</v>
      </c>
      <c r="B2010" s="29" t="s">
        <v>365</v>
      </c>
      <c r="C2010" s="29" t="s">
        <v>366</v>
      </c>
      <c r="D2010" s="29" t="s">
        <v>367</v>
      </c>
      <c r="E2010" s="29" t="s">
        <v>172</v>
      </c>
      <c r="F2010" s="28" t="s">
        <v>4765</v>
      </c>
      <c r="G2010" s="28" t="s">
        <v>4765</v>
      </c>
      <c r="H2010" s="28" t="s">
        <v>174</v>
      </c>
      <c r="I2010" s="28" t="s">
        <v>174</v>
      </c>
      <c r="J2010" s="30" t="s">
        <v>174</v>
      </c>
      <c r="K2010" s="28" t="s">
        <v>522</v>
      </c>
      <c r="L2010" s="31">
        <v>44256</v>
      </c>
      <c r="M2010" s="28">
        <v>3</v>
      </c>
      <c r="N2010" s="32" t="s">
        <v>191</v>
      </c>
      <c r="O2010" s="28" t="s">
        <v>185</v>
      </c>
      <c r="P2010" s="28" t="s">
        <v>4783</v>
      </c>
      <c r="Q2010" s="28" t="s">
        <v>4778</v>
      </c>
      <c r="R2010" s="28" t="s">
        <v>4768</v>
      </c>
    </row>
    <row r="2011" spans="1:18" hidden="1">
      <c r="A2011" s="28">
        <v>6</v>
      </c>
      <c r="B2011" s="29" t="s">
        <v>365</v>
      </c>
      <c r="C2011" s="29" t="s">
        <v>366</v>
      </c>
      <c r="D2011" s="29" t="s">
        <v>367</v>
      </c>
      <c r="E2011" s="29" t="s">
        <v>172</v>
      </c>
      <c r="F2011" s="28" t="s">
        <v>4765</v>
      </c>
      <c r="G2011" s="28" t="s">
        <v>4765</v>
      </c>
      <c r="H2011" s="28" t="s">
        <v>174</v>
      </c>
      <c r="I2011" s="28" t="s">
        <v>174</v>
      </c>
      <c r="J2011" s="30" t="s">
        <v>174</v>
      </c>
      <c r="K2011" s="28" t="s">
        <v>522</v>
      </c>
      <c r="L2011" s="31">
        <v>44256</v>
      </c>
      <c r="M2011" s="28">
        <v>3</v>
      </c>
      <c r="N2011" s="32" t="s">
        <v>191</v>
      </c>
      <c r="O2011" s="28" t="s">
        <v>185</v>
      </c>
      <c r="P2011" s="28" t="s">
        <v>4784</v>
      </c>
      <c r="Q2011" s="28" t="s">
        <v>4778</v>
      </c>
      <c r="R2011" s="28" t="s">
        <v>4768</v>
      </c>
    </row>
    <row r="2012" spans="1:18" hidden="1">
      <c r="A2012" s="28">
        <v>6</v>
      </c>
      <c r="B2012" s="29" t="s">
        <v>365</v>
      </c>
      <c r="C2012" s="29" t="s">
        <v>366</v>
      </c>
      <c r="D2012" s="29" t="s">
        <v>367</v>
      </c>
      <c r="E2012" s="29" t="s">
        <v>172</v>
      </c>
      <c r="F2012" s="28" t="s">
        <v>4765</v>
      </c>
      <c r="G2012" s="28" t="s">
        <v>4765</v>
      </c>
      <c r="H2012" s="28" t="s">
        <v>174</v>
      </c>
      <c r="I2012" s="28" t="s">
        <v>174</v>
      </c>
      <c r="J2012" s="30" t="s">
        <v>174</v>
      </c>
      <c r="K2012" s="28" t="s">
        <v>632</v>
      </c>
      <c r="L2012" s="31">
        <v>44378</v>
      </c>
      <c r="M2012" s="28">
        <v>7</v>
      </c>
      <c r="N2012" s="32" t="s">
        <v>184</v>
      </c>
      <c r="O2012" s="28" t="s">
        <v>177</v>
      </c>
      <c r="P2012" s="28" t="s">
        <v>4785</v>
      </c>
      <c r="Q2012" s="28" t="s">
        <v>4772</v>
      </c>
      <c r="R2012" s="28" t="s">
        <v>4773</v>
      </c>
    </row>
    <row r="2013" spans="1:18" hidden="1">
      <c r="A2013" s="28">
        <v>6</v>
      </c>
      <c r="B2013" s="29" t="s">
        <v>365</v>
      </c>
      <c r="C2013" s="29" t="s">
        <v>366</v>
      </c>
      <c r="D2013" s="29" t="s">
        <v>367</v>
      </c>
      <c r="E2013" s="29" t="s">
        <v>172</v>
      </c>
      <c r="F2013" s="28" t="s">
        <v>4765</v>
      </c>
      <c r="G2013" s="28" t="s">
        <v>4765</v>
      </c>
      <c r="H2013" s="28" t="s">
        <v>174</v>
      </c>
      <c r="I2013" s="28" t="s">
        <v>174</v>
      </c>
      <c r="J2013" s="30" t="s">
        <v>174</v>
      </c>
      <c r="K2013" s="28" t="s">
        <v>2131</v>
      </c>
      <c r="L2013" s="31">
        <v>44531</v>
      </c>
      <c r="M2013" s="28">
        <v>12</v>
      </c>
      <c r="N2013" s="32" t="s">
        <v>176</v>
      </c>
      <c r="O2013" s="28" t="s">
        <v>185</v>
      </c>
      <c r="P2013" s="28" t="s">
        <v>4786</v>
      </c>
      <c r="Q2013" s="28" t="s">
        <v>4778</v>
      </c>
      <c r="R2013" s="28" t="s">
        <v>4768</v>
      </c>
    </row>
    <row r="2014" spans="1:18" hidden="1">
      <c r="A2014" s="28">
        <v>6</v>
      </c>
      <c r="B2014" s="29" t="s">
        <v>365</v>
      </c>
      <c r="C2014" s="29" t="s">
        <v>366</v>
      </c>
      <c r="D2014" s="29" t="s">
        <v>1887</v>
      </c>
      <c r="E2014" s="29" t="s">
        <v>172</v>
      </c>
      <c r="F2014" s="28" t="s">
        <v>4765</v>
      </c>
      <c r="G2014" s="28" t="s">
        <v>4765</v>
      </c>
      <c r="H2014" s="28" t="s">
        <v>174</v>
      </c>
      <c r="I2014" s="28" t="s">
        <v>174</v>
      </c>
      <c r="J2014" s="30" t="s">
        <v>174</v>
      </c>
      <c r="K2014" s="28" t="s">
        <v>391</v>
      </c>
      <c r="L2014" s="31">
        <v>42370</v>
      </c>
      <c r="M2014" s="28">
        <v>1</v>
      </c>
      <c r="N2014" s="32" t="s">
        <v>176</v>
      </c>
      <c r="O2014" s="28" t="s">
        <v>177</v>
      </c>
      <c r="P2014" s="28" t="s">
        <v>4787</v>
      </c>
      <c r="Q2014" s="28" t="s">
        <v>4772</v>
      </c>
      <c r="R2014" s="28" t="s">
        <v>4773</v>
      </c>
    </row>
    <row r="2015" spans="1:18" hidden="1">
      <c r="A2015" s="28">
        <v>6</v>
      </c>
      <c r="B2015" s="29" t="s">
        <v>365</v>
      </c>
      <c r="C2015" s="29" t="s">
        <v>366</v>
      </c>
      <c r="D2015" s="29" t="s">
        <v>1887</v>
      </c>
      <c r="E2015" s="29" t="s">
        <v>172</v>
      </c>
      <c r="F2015" s="28" t="s">
        <v>4765</v>
      </c>
      <c r="G2015" s="28" t="s">
        <v>4765</v>
      </c>
      <c r="H2015" s="28" t="s">
        <v>174</v>
      </c>
      <c r="I2015" s="28" t="s">
        <v>174</v>
      </c>
      <c r="J2015" s="30" t="s">
        <v>174</v>
      </c>
      <c r="K2015" s="28" t="s">
        <v>489</v>
      </c>
      <c r="L2015" s="31">
        <v>42491</v>
      </c>
      <c r="M2015" s="28">
        <v>5</v>
      </c>
      <c r="N2015" s="32" t="s">
        <v>191</v>
      </c>
      <c r="O2015" s="28" t="s">
        <v>185</v>
      </c>
      <c r="P2015" s="28" t="s">
        <v>4788</v>
      </c>
      <c r="Q2015" s="28" t="s">
        <v>4789</v>
      </c>
      <c r="R2015" s="28" t="s">
        <v>4790</v>
      </c>
    </row>
    <row r="2016" spans="1:18" hidden="1">
      <c r="A2016" s="28">
        <v>6</v>
      </c>
      <c r="B2016" s="29" t="s">
        <v>365</v>
      </c>
      <c r="C2016" s="29" t="s">
        <v>366</v>
      </c>
      <c r="D2016" s="29" t="s">
        <v>1887</v>
      </c>
      <c r="E2016" s="29" t="s">
        <v>172</v>
      </c>
      <c r="F2016" s="28" t="s">
        <v>4765</v>
      </c>
      <c r="G2016" s="28" t="s">
        <v>4765</v>
      </c>
      <c r="H2016" s="28" t="s">
        <v>174</v>
      </c>
      <c r="I2016" s="28" t="s">
        <v>174</v>
      </c>
      <c r="J2016" s="30" t="s">
        <v>174</v>
      </c>
      <c r="K2016" s="28" t="s">
        <v>651</v>
      </c>
      <c r="L2016" s="31">
        <v>42644</v>
      </c>
      <c r="M2016" s="28">
        <v>10</v>
      </c>
      <c r="N2016" s="32" t="s">
        <v>191</v>
      </c>
      <c r="O2016" s="28" t="s">
        <v>204</v>
      </c>
      <c r="P2016" s="28" t="s">
        <v>4791</v>
      </c>
      <c r="Q2016" s="28" t="s">
        <v>4792</v>
      </c>
      <c r="R2016" s="28" t="s">
        <v>4773</v>
      </c>
    </row>
    <row r="2017" spans="1:18" hidden="1">
      <c r="A2017" s="28">
        <v>6</v>
      </c>
      <c r="B2017" s="29" t="s">
        <v>365</v>
      </c>
      <c r="C2017" s="29" t="s">
        <v>366</v>
      </c>
      <c r="D2017" s="29" t="s">
        <v>1887</v>
      </c>
      <c r="E2017" s="29" t="s">
        <v>172</v>
      </c>
      <c r="F2017" s="28" t="s">
        <v>4765</v>
      </c>
      <c r="G2017" s="28" t="s">
        <v>4765</v>
      </c>
      <c r="H2017" s="28" t="s">
        <v>174</v>
      </c>
      <c r="I2017" s="28" t="s">
        <v>174</v>
      </c>
      <c r="J2017" s="30" t="s">
        <v>174</v>
      </c>
      <c r="K2017" s="28" t="s">
        <v>401</v>
      </c>
      <c r="L2017" s="31">
        <v>42705</v>
      </c>
      <c r="M2017" s="28">
        <v>12</v>
      </c>
      <c r="N2017" s="32" t="s">
        <v>176</v>
      </c>
      <c r="O2017" s="28" t="s">
        <v>177</v>
      </c>
      <c r="P2017" s="28" t="s">
        <v>4793</v>
      </c>
      <c r="Q2017" s="28" t="s">
        <v>4794</v>
      </c>
      <c r="R2017" s="28" t="s">
        <v>4773</v>
      </c>
    </row>
    <row r="2018" spans="1:18" hidden="1">
      <c r="A2018" s="28">
        <v>6</v>
      </c>
      <c r="B2018" s="29" t="s">
        <v>365</v>
      </c>
      <c r="C2018" s="29" t="s">
        <v>366</v>
      </c>
      <c r="D2018" s="29" t="s">
        <v>1887</v>
      </c>
      <c r="E2018" s="29" t="s">
        <v>172</v>
      </c>
      <c r="F2018" s="28" t="s">
        <v>4765</v>
      </c>
      <c r="G2018" s="28" t="s">
        <v>4765</v>
      </c>
      <c r="H2018" s="28" t="s">
        <v>174</v>
      </c>
      <c r="I2018" s="28" t="s">
        <v>174</v>
      </c>
      <c r="J2018" s="30" t="s">
        <v>174</v>
      </c>
      <c r="K2018" s="28" t="s">
        <v>475</v>
      </c>
      <c r="L2018" s="31">
        <v>43191</v>
      </c>
      <c r="M2018" s="28">
        <v>4</v>
      </c>
      <c r="N2018" s="32" t="s">
        <v>191</v>
      </c>
      <c r="O2018" s="28" t="s">
        <v>204</v>
      </c>
      <c r="P2018" s="28" t="s">
        <v>4795</v>
      </c>
      <c r="Q2018" s="28" t="s">
        <v>4796</v>
      </c>
      <c r="R2018" s="28" t="s">
        <v>4797</v>
      </c>
    </row>
    <row r="2019" spans="1:18" hidden="1">
      <c r="A2019" s="28">
        <v>6</v>
      </c>
      <c r="B2019" s="29" t="s">
        <v>365</v>
      </c>
      <c r="C2019" s="29" t="s">
        <v>366</v>
      </c>
      <c r="D2019" s="29" t="s">
        <v>1887</v>
      </c>
      <c r="E2019" s="29" t="s">
        <v>172</v>
      </c>
      <c r="F2019" s="28" t="s">
        <v>4765</v>
      </c>
      <c r="G2019" s="28" t="s">
        <v>4765</v>
      </c>
      <c r="H2019" s="28" t="s">
        <v>174</v>
      </c>
      <c r="I2019" s="28" t="s">
        <v>174</v>
      </c>
      <c r="J2019" s="30" t="s">
        <v>174</v>
      </c>
      <c r="K2019" s="28" t="s">
        <v>405</v>
      </c>
      <c r="L2019" s="31">
        <v>43221</v>
      </c>
      <c r="M2019" s="28">
        <v>5</v>
      </c>
      <c r="N2019" s="32" t="s">
        <v>191</v>
      </c>
      <c r="O2019" s="28" t="s">
        <v>794</v>
      </c>
      <c r="P2019" s="28" t="s">
        <v>4798</v>
      </c>
      <c r="Q2019" s="28" t="s">
        <v>4799</v>
      </c>
      <c r="R2019" s="28" t="s">
        <v>4800</v>
      </c>
    </row>
    <row r="2020" spans="1:18" hidden="1">
      <c r="A2020" s="28">
        <v>6</v>
      </c>
      <c r="B2020" s="29" t="s">
        <v>365</v>
      </c>
      <c r="C2020" s="29" t="s">
        <v>366</v>
      </c>
      <c r="D2020" s="29" t="s">
        <v>1887</v>
      </c>
      <c r="E2020" s="29" t="s">
        <v>172</v>
      </c>
      <c r="F2020" s="28" t="s">
        <v>4765</v>
      </c>
      <c r="G2020" s="28" t="s">
        <v>4765</v>
      </c>
      <c r="H2020" s="28" t="s">
        <v>174</v>
      </c>
      <c r="I2020" s="28" t="s">
        <v>174</v>
      </c>
      <c r="J2020" s="30" t="s">
        <v>174</v>
      </c>
      <c r="K2020" s="28" t="s">
        <v>678</v>
      </c>
      <c r="L2020" s="31">
        <v>43344</v>
      </c>
      <c r="M2020" s="28">
        <v>9</v>
      </c>
      <c r="N2020" s="32" t="s">
        <v>191</v>
      </c>
      <c r="O2020" s="28" t="s">
        <v>185</v>
      </c>
      <c r="P2020" s="28" t="s">
        <v>4801</v>
      </c>
      <c r="Q2020" s="28" t="s">
        <v>4802</v>
      </c>
      <c r="R2020" s="28" t="s">
        <v>4803</v>
      </c>
    </row>
    <row r="2021" spans="1:18" hidden="1">
      <c r="A2021" s="28">
        <v>6</v>
      </c>
      <c r="B2021" s="29" t="s">
        <v>365</v>
      </c>
      <c r="C2021" s="29" t="s">
        <v>366</v>
      </c>
      <c r="D2021" s="29" t="s">
        <v>1887</v>
      </c>
      <c r="E2021" s="29" t="s">
        <v>172</v>
      </c>
      <c r="F2021" s="28" t="s">
        <v>4765</v>
      </c>
      <c r="G2021" s="28" t="s">
        <v>4765</v>
      </c>
      <c r="H2021" s="28" t="s">
        <v>174</v>
      </c>
      <c r="I2021" s="28" t="s">
        <v>174</v>
      </c>
      <c r="J2021" s="30" t="s">
        <v>174</v>
      </c>
      <c r="K2021" s="28" t="s">
        <v>324</v>
      </c>
      <c r="L2021" s="31">
        <v>43862</v>
      </c>
      <c r="M2021" s="28">
        <v>2</v>
      </c>
      <c r="N2021" s="32" t="s">
        <v>176</v>
      </c>
      <c r="O2021" s="28" t="s">
        <v>185</v>
      </c>
      <c r="P2021" s="28" t="s">
        <v>4804</v>
      </c>
      <c r="Q2021" s="28" t="s">
        <v>4805</v>
      </c>
      <c r="R2021" s="28" t="s">
        <v>4768</v>
      </c>
    </row>
    <row r="2022" spans="1:18" hidden="1">
      <c r="A2022" s="28">
        <v>6</v>
      </c>
      <c r="B2022" s="29" t="s">
        <v>365</v>
      </c>
      <c r="C2022" s="29" t="s">
        <v>366</v>
      </c>
      <c r="D2022" s="29" t="s">
        <v>1887</v>
      </c>
      <c r="E2022" s="29" t="s">
        <v>172</v>
      </c>
      <c r="F2022" s="28" t="s">
        <v>4765</v>
      </c>
      <c r="G2022" s="28" t="s">
        <v>4765</v>
      </c>
      <c r="H2022" s="28" t="s">
        <v>174</v>
      </c>
      <c r="I2022" s="28" t="s">
        <v>174</v>
      </c>
      <c r="J2022" s="30" t="s">
        <v>174</v>
      </c>
      <c r="K2022" s="28" t="s">
        <v>730</v>
      </c>
      <c r="L2022" s="31">
        <v>44166</v>
      </c>
      <c r="M2022" s="28">
        <v>12</v>
      </c>
      <c r="N2022" s="32" t="s">
        <v>176</v>
      </c>
      <c r="O2022" s="28" t="s">
        <v>204</v>
      </c>
      <c r="P2022" s="28" t="s">
        <v>4806</v>
      </c>
      <c r="Q2022" s="28" t="s">
        <v>4796</v>
      </c>
      <c r="R2022" s="28" t="s">
        <v>4797</v>
      </c>
    </row>
    <row r="2023" spans="1:18" hidden="1">
      <c r="A2023" s="28">
        <v>6</v>
      </c>
      <c r="B2023" s="29" t="s">
        <v>365</v>
      </c>
      <c r="C2023" s="29" t="s">
        <v>366</v>
      </c>
      <c r="D2023" s="29" t="s">
        <v>1887</v>
      </c>
      <c r="E2023" s="29" t="s">
        <v>172</v>
      </c>
      <c r="F2023" s="28" t="s">
        <v>4765</v>
      </c>
      <c r="G2023" s="28" t="s">
        <v>4765</v>
      </c>
      <c r="H2023" s="28" t="s">
        <v>174</v>
      </c>
      <c r="I2023" s="28" t="s">
        <v>174</v>
      </c>
      <c r="J2023" s="30" t="s">
        <v>174</v>
      </c>
      <c r="K2023" s="28" t="s">
        <v>483</v>
      </c>
      <c r="L2023" s="31">
        <v>44197</v>
      </c>
      <c r="M2023" s="28">
        <v>1</v>
      </c>
      <c r="N2023" s="32" t="s">
        <v>176</v>
      </c>
      <c r="O2023" s="28" t="s">
        <v>204</v>
      </c>
      <c r="P2023" s="28" t="s">
        <v>4807</v>
      </c>
      <c r="Q2023" s="28" t="s">
        <v>4796</v>
      </c>
      <c r="R2023" s="28" t="s">
        <v>4797</v>
      </c>
    </row>
    <row r="2024" spans="1:18" hidden="1">
      <c r="A2024" s="28">
        <v>6</v>
      </c>
      <c r="B2024" s="29" t="s">
        <v>365</v>
      </c>
      <c r="C2024" s="29" t="s">
        <v>366</v>
      </c>
      <c r="D2024" s="29" t="s">
        <v>1887</v>
      </c>
      <c r="E2024" s="29" t="s">
        <v>172</v>
      </c>
      <c r="F2024" s="28" t="s">
        <v>4765</v>
      </c>
      <c r="G2024" s="28" t="s">
        <v>4765</v>
      </c>
      <c r="H2024" s="28" t="s">
        <v>174</v>
      </c>
      <c r="I2024" s="28" t="s">
        <v>174</v>
      </c>
      <c r="J2024" s="30" t="s">
        <v>174</v>
      </c>
      <c r="K2024" s="28" t="s">
        <v>632</v>
      </c>
      <c r="L2024" s="31">
        <v>44378</v>
      </c>
      <c r="M2024" s="28">
        <v>7</v>
      </c>
      <c r="N2024" s="32" t="s">
        <v>184</v>
      </c>
      <c r="O2024" s="28" t="s">
        <v>185</v>
      </c>
      <c r="P2024" s="28" t="s">
        <v>4808</v>
      </c>
      <c r="Q2024" s="28" t="s">
        <v>4809</v>
      </c>
      <c r="R2024" s="28" t="s">
        <v>4803</v>
      </c>
    </row>
    <row r="2025" spans="1:18" hidden="1">
      <c r="A2025" s="28">
        <v>10</v>
      </c>
      <c r="B2025" s="29" t="s">
        <v>1215</v>
      </c>
      <c r="C2025" s="29" t="s">
        <v>1216</v>
      </c>
      <c r="D2025" s="29" t="s">
        <v>1217</v>
      </c>
      <c r="E2025" s="29" t="s">
        <v>374</v>
      </c>
      <c r="F2025" s="28" t="s">
        <v>4810</v>
      </c>
      <c r="G2025" s="28" t="s">
        <v>4810</v>
      </c>
      <c r="H2025" s="28" t="s">
        <v>174</v>
      </c>
      <c r="I2025" s="28" t="s">
        <v>174</v>
      </c>
      <c r="J2025" s="30" t="s">
        <v>174</v>
      </c>
      <c r="K2025" s="28" t="s">
        <v>2131</v>
      </c>
      <c r="L2025" s="31">
        <v>44531</v>
      </c>
      <c r="M2025" s="28">
        <v>12</v>
      </c>
      <c r="N2025" s="32" t="s">
        <v>176</v>
      </c>
      <c r="O2025" s="28" t="s">
        <v>204</v>
      </c>
      <c r="P2025" s="28" t="s">
        <v>4811</v>
      </c>
      <c r="Q2025" s="28" t="s">
        <v>4812</v>
      </c>
      <c r="R2025" s="28" t="s">
        <v>4813</v>
      </c>
    </row>
    <row r="2026" spans="1:18" hidden="1">
      <c r="A2026" s="28">
        <v>11</v>
      </c>
      <c r="B2026" s="29" t="s">
        <v>169</v>
      </c>
      <c r="C2026" s="29" t="s">
        <v>170</v>
      </c>
      <c r="D2026" s="29" t="s">
        <v>171</v>
      </c>
      <c r="E2026" s="29" t="s">
        <v>172</v>
      </c>
      <c r="F2026" s="28" t="s">
        <v>4810</v>
      </c>
      <c r="G2026" s="28" t="s">
        <v>4810</v>
      </c>
      <c r="H2026" s="28" t="s">
        <v>174</v>
      </c>
      <c r="I2026" s="28" t="s">
        <v>174</v>
      </c>
      <c r="J2026" s="30" t="s">
        <v>174</v>
      </c>
      <c r="K2026" s="28" t="s">
        <v>391</v>
      </c>
      <c r="L2026" s="31">
        <v>42370</v>
      </c>
      <c r="M2026" s="28">
        <v>1</v>
      </c>
      <c r="N2026" s="32" t="s">
        <v>176</v>
      </c>
      <c r="O2026" s="28" t="s">
        <v>204</v>
      </c>
      <c r="P2026" s="28" t="s">
        <v>4814</v>
      </c>
      <c r="Q2026" s="28" t="s">
        <v>4815</v>
      </c>
      <c r="R2026" s="28" t="s">
        <v>3859</v>
      </c>
    </row>
    <row r="2027" spans="1:18" hidden="1">
      <c r="A2027" s="28">
        <v>11</v>
      </c>
      <c r="B2027" s="29" t="s">
        <v>169</v>
      </c>
      <c r="C2027" s="29" t="s">
        <v>170</v>
      </c>
      <c r="D2027" s="29" t="s">
        <v>171</v>
      </c>
      <c r="E2027" s="29" t="s">
        <v>172</v>
      </c>
      <c r="F2027" s="28" t="s">
        <v>4810</v>
      </c>
      <c r="G2027" s="28" t="s">
        <v>4810</v>
      </c>
      <c r="H2027" s="28" t="s">
        <v>174</v>
      </c>
      <c r="I2027" s="28" t="s">
        <v>174</v>
      </c>
      <c r="J2027" s="30" t="s">
        <v>174</v>
      </c>
      <c r="K2027" s="28" t="s">
        <v>248</v>
      </c>
      <c r="L2027" s="31">
        <v>43070</v>
      </c>
      <c r="M2027" s="28">
        <v>12</v>
      </c>
      <c r="N2027" s="32" t="s">
        <v>176</v>
      </c>
      <c r="O2027" s="28" t="s">
        <v>204</v>
      </c>
      <c r="P2027" s="28" t="s">
        <v>4816</v>
      </c>
      <c r="Q2027" s="28" t="s">
        <v>4815</v>
      </c>
      <c r="R2027" s="28" t="s">
        <v>3859</v>
      </c>
    </row>
    <row r="2028" spans="1:18" hidden="1">
      <c r="A2028" s="28">
        <v>11</v>
      </c>
      <c r="B2028" s="29" t="s">
        <v>169</v>
      </c>
      <c r="C2028" s="29" t="s">
        <v>170</v>
      </c>
      <c r="D2028" s="29" t="s">
        <v>171</v>
      </c>
      <c r="E2028" s="29" t="s">
        <v>172</v>
      </c>
      <c r="F2028" s="28" t="s">
        <v>4810</v>
      </c>
      <c r="G2028" s="28" t="s">
        <v>4810</v>
      </c>
      <c r="H2028" s="28" t="s">
        <v>174</v>
      </c>
      <c r="I2028" s="28" t="s">
        <v>174</v>
      </c>
      <c r="J2028" s="30" t="s">
        <v>174</v>
      </c>
      <c r="K2028" s="28" t="s">
        <v>190</v>
      </c>
      <c r="L2028" s="31">
        <v>44287</v>
      </c>
      <c r="M2028" s="28">
        <v>4</v>
      </c>
      <c r="N2028" s="32" t="s">
        <v>191</v>
      </c>
      <c r="O2028" s="28" t="s">
        <v>204</v>
      </c>
      <c r="P2028" s="28" t="s">
        <v>4817</v>
      </c>
      <c r="Q2028" s="28" t="s">
        <v>4815</v>
      </c>
      <c r="R2028" s="28" t="s">
        <v>3859</v>
      </c>
    </row>
    <row r="2029" spans="1:18" hidden="1">
      <c r="A2029" s="28">
        <v>11</v>
      </c>
      <c r="B2029" s="29" t="s">
        <v>169</v>
      </c>
      <c r="C2029" s="29" t="s">
        <v>170</v>
      </c>
      <c r="D2029" s="29" t="s">
        <v>1259</v>
      </c>
      <c r="E2029" s="29" t="s">
        <v>172</v>
      </c>
      <c r="F2029" s="28" t="s">
        <v>4810</v>
      </c>
      <c r="G2029" s="28" t="s">
        <v>4810</v>
      </c>
      <c r="H2029" s="28" t="s">
        <v>174</v>
      </c>
      <c r="I2029" s="28" t="s">
        <v>174</v>
      </c>
      <c r="J2029" s="30" t="s">
        <v>174</v>
      </c>
      <c r="K2029" s="28" t="s">
        <v>1082</v>
      </c>
      <c r="L2029" s="31">
        <v>42095</v>
      </c>
      <c r="M2029" s="28">
        <v>4</v>
      </c>
      <c r="N2029" s="32" t="s">
        <v>191</v>
      </c>
      <c r="O2029" s="28" t="s">
        <v>204</v>
      </c>
      <c r="P2029" s="28" t="s">
        <v>4818</v>
      </c>
      <c r="Q2029" s="28" t="s">
        <v>4819</v>
      </c>
      <c r="R2029" s="28" t="s">
        <v>3859</v>
      </c>
    </row>
    <row r="2030" spans="1:18" hidden="1">
      <c r="A2030" s="28">
        <v>12</v>
      </c>
      <c r="B2030" s="29" t="s">
        <v>195</v>
      </c>
      <c r="C2030" s="29" t="s">
        <v>196</v>
      </c>
      <c r="D2030" s="29" t="s">
        <v>197</v>
      </c>
      <c r="E2030" s="29" t="s">
        <v>172</v>
      </c>
      <c r="F2030" s="28" t="s">
        <v>4810</v>
      </c>
      <c r="G2030" s="28" t="s">
        <v>4810</v>
      </c>
      <c r="H2030" s="28" t="s">
        <v>174</v>
      </c>
      <c r="I2030" s="28" t="s">
        <v>174</v>
      </c>
      <c r="J2030" s="30" t="s">
        <v>174</v>
      </c>
      <c r="K2030" s="28" t="s">
        <v>460</v>
      </c>
      <c r="L2030" s="31">
        <v>42675</v>
      </c>
      <c r="M2030" s="28">
        <v>11</v>
      </c>
      <c r="N2030" s="32" t="s">
        <v>191</v>
      </c>
      <c r="O2030" s="28" t="s">
        <v>204</v>
      </c>
      <c r="P2030" s="28" t="s">
        <v>4820</v>
      </c>
      <c r="Q2030" s="28" t="s">
        <v>4821</v>
      </c>
      <c r="R2030" s="28" t="s">
        <v>4822</v>
      </c>
    </row>
    <row r="2031" spans="1:18" hidden="1">
      <c r="A2031" s="28">
        <v>12</v>
      </c>
      <c r="B2031" s="29" t="s">
        <v>195</v>
      </c>
      <c r="C2031" s="29" t="s">
        <v>196</v>
      </c>
      <c r="D2031" s="29" t="s">
        <v>197</v>
      </c>
      <c r="E2031" s="29" t="s">
        <v>172</v>
      </c>
      <c r="F2031" s="28" t="s">
        <v>4810</v>
      </c>
      <c r="G2031" s="28" t="s">
        <v>4810</v>
      </c>
      <c r="H2031" s="28" t="s">
        <v>174</v>
      </c>
      <c r="I2031" s="28" t="s">
        <v>174</v>
      </c>
      <c r="J2031" s="30" t="s">
        <v>174</v>
      </c>
      <c r="K2031" s="28" t="s">
        <v>271</v>
      </c>
      <c r="L2031" s="31">
        <v>42856</v>
      </c>
      <c r="M2031" s="28">
        <v>5</v>
      </c>
      <c r="N2031" s="32" t="s">
        <v>191</v>
      </c>
      <c r="O2031" s="28" t="s">
        <v>185</v>
      </c>
      <c r="P2031" s="28" t="s">
        <v>4823</v>
      </c>
      <c r="Q2031" s="28" t="s">
        <v>2052</v>
      </c>
      <c r="R2031" s="28" t="s">
        <v>2053</v>
      </c>
    </row>
    <row r="2032" spans="1:18" hidden="1">
      <c r="A2032" s="28">
        <v>12</v>
      </c>
      <c r="B2032" s="29" t="s">
        <v>195</v>
      </c>
      <c r="C2032" s="29" t="s">
        <v>196</v>
      </c>
      <c r="D2032" s="29" t="s">
        <v>197</v>
      </c>
      <c r="E2032" s="29" t="s">
        <v>172</v>
      </c>
      <c r="F2032" s="28" t="s">
        <v>4810</v>
      </c>
      <c r="G2032" s="28" t="s">
        <v>4810</v>
      </c>
      <c r="H2032" s="28" t="s">
        <v>174</v>
      </c>
      <c r="I2032" s="28" t="s">
        <v>174</v>
      </c>
      <c r="J2032" s="30" t="s">
        <v>174</v>
      </c>
      <c r="K2032" s="28" t="s">
        <v>435</v>
      </c>
      <c r="L2032" s="31">
        <v>43040</v>
      </c>
      <c r="M2032" s="28">
        <v>11</v>
      </c>
      <c r="N2032" s="32" t="s">
        <v>191</v>
      </c>
      <c r="O2032" s="28" t="s">
        <v>204</v>
      </c>
      <c r="P2032" s="28" t="s">
        <v>4824</v>
      </c>
      <c r="Q2032" s="28" t="s">
        <v>4821</v>
      </c>
      <c r="R2032" s="28" t="s">
        <v>4822</v>
      </c>
    </row>
    <row r="2033" spans="1:18" hidden="1">
      <c r="A2033" s="28">
        <v>12</v>
      </c>
      <c r="B2033" s="29" t="s">
        <v>195</v>
      </c>
      <c r="C2033" s="29" t="s">
        <v>196</v>
      </c>
      <c r="D2033" s="29" t="s">
        <v>197</v>
      </c>
      <c r="E2033" s="29" t="s">
        <v>172</v>
      </c>
      <c r="F2033" s="28" t="s">
        <v>4810</v>
      </c>
      <c r="G2033" s="28" t="s">
        <v>4810</v>
      </c>
      <c r="H2033" s="28" t="s">
        <v>174</v>
      </c>
      <c r="I2033" s="28" t="s">
        <v>174</v>
      </c>
      <c r="J2033" s="30" t="s">
        <v>174</v>
      </c>
      <c r="K2033" s="28" t="s">
        <v>473</v>
      </c>
      <c r="L2033" s="31">
        <v>43160</v>
      </c>
      <c r="M2033" s="28">
        <v>3</v>
      </c>
      <c r="N2033" s="32" t="s">
        <v>191</v>
      </c>
      <c r="O2033" s="28" t="s">
        <v>204</v>
      </c>
      <c r="P2033" s="28" t="s">
        <v>4825</v>
      </c>
      <c r="Q2033" s="28" t="s">
        <v>4821</v>
      </c>
      <c r="R2033" s="28" t="s">
        <v>4822</v>
      </c>
    </row>
    <row r="2034" spans="1:18" hidden="1">
      <c r="A2034" s="28">
        <v>12</v>
      </c>
      <c r="B2034" s="29" t="s">
        <v>195</v>
      </c>
      <c r="C2034" s="29" t="s">
        <v>196</v>
      </c>
      <c r="D2034" s="29" t="s">
        <v>197</v>
      </c>
      <c r="E2034" s="29" t="s">
        <v>172</v>
      </c>
      <c r="F2034" s="28" t="s">
        <v>4810</v>
      </c>
      <c r="G2034" s="28" t="s">
        <v>4810</v>
      </c>
      <c r="H2034" s="28" t="s">
        <v>174</v>
      </c>
      <c r="I2034" s="28" t="s">
        <v>174</v>
      </c>
      <c r="J2034" s="30" t="s">
        <v>174</v>
      </c>
      <c r="K2034" s="28" t="s">
        <v>302</v>
      </c>
      <c r="L2034" s="31">
        <v>43282</v>
      </c>
      <c r="M2034" s="28">
        <v>7</v>
      </c>
      <c r="N2034" s="32" t="s">
        <v>184</v>
      </c>
      <c r="O2034" s="28" t="s">
        <v>204</v>
      </c>
      <c r="P2034" s="28" t="s">
        <v>4826</v>
      </c>
      <c r="Q2034" s="28" t="s">
        <v>4827</v>
      </c>
      <c r="R2034" s="28" t="s">
        <v>4822</v>
      </c>
    </row>
    <row r="2035" spans="1:18" hidden="1">
      <c r="A2035" s="28">
        <v>12</v>
      </c>
      <c r="B2035" s="29" t="s">
        <v>195</v>
      </c>
      <c r="C2035" s="29" t="s">
        <v>196</v>
      </c>
      <c r="D2035" s="29" t="s">
        <v>197</v>
      </c>
      <c r="E2035" s="29" t="s">
        <v>172</v>
      </c>
      <c r="F2035" s="28" t="s">
        <v>4810</v>
      </c>
      <c r="G2035" s="28" t="s">
        <v>4810</v>
      </c>
      <c r="H2035" s="28" t="s">
        <v>174</v>
      </c>
      <c r="I2035" s="28" t="s">
        <v>174</v>
      </c>
      <c r="J2035" s="30" t="s">
        <v>174</v>
      </c>
      <c r="K2035" s="28" t="s">
        <v>752</v>
      </c>
      <c r="L2035" s="31">
        <v>43709</v>
      </c>
      <c r="M2035" s="28">
        <v>9</v>
      </c>
      <c r="N2035" s="32" t="s">
        <v>191</v>
      </c>
      <c r="O2035" s="28" t="s">
        <v>204</v>
      </c>
      <c r="P2035" s="28" t="s">
        <v>4828</v>
      </c>
      <c r="Q2035" s="28" t="s">
        <v>4829</v>
      </c>
      <c r="R2035" s="28" t="s">
        <v>4830</v>
      </c>
    </row>
    <row r="2036" spans="1:18" hidden="1">
      <c r="A2036" s="28">
        <v>12</v>
      </c>
      <c r="B2036" s="29" t="s">
        <v>195</v>
      </c>
      <c r="C2036" s="29" t="s">
        <v>196</v>
      </c>
      <c r="D2036" s="29" t="s">
        <v>197</v>
      </c>
      <c r="E2036" s="29" t="s">
        <v>172</v>
      </c>
      <c r="F2036" s="28" t="s">
        <v>4810</v>
      </c>
      <c r="G2036" s="28" t="s">
        <v>4810</v>
      </c>
      <c r="H2036" s="28" t="s">
        <v>174</v>
      </c>
      <c r="I2036" s="28" t="s">
        <v>174</v>
      </c>
      <c r="J2036" s="30" t="s">
        <v>174</v>
      </c>
      <c r="K2036" s="28" t="s">
        <v>324</v>
      </c>
      <c r="L2036" s="31">
        <v>43862</v>
      </c>
      <c r="M2036" s="28">
        <v>2</v>
      </c>
      <c r="N2036" s="32" t="s">
        <v>176</v>
      </c>
      <c r="O2036" s="28" t="s">
        <v>204</v>
      </c>
      <c r="P2036" s="28" t="s">
        <v>4831</v>
      </c>
      <c r="Q2036" s="28" t="s">
        <v>4832</v>
      </c>
      <c r="R2036" s="28" t="s">
        <v>4833</v>
      </c>
    </row>
    <row r="2037" spans="1:18" hidden="1">
      <c r="A2037" s="28">
        <v>12</v>
      </c>
      <c r="B2037" s="29" t="s">
        <v>195</v>
      </c>
      <c r="C2037" s="29" t="s">
        <v>196</v>
      </c>
      <c r="D2037" s="29" t="s">
        <v>197</v>
      </c>
      <c r="E2037" s="29" t="s">
        <v>172</v>
      </c>
      <c r="F2037" s="28" t="s">
        <v>4810</v>
      </c>
      <c r="G2037" s="28" t="s">
        <v>4810</v>
      </c>
      <c r="H2037" s="28" t="s">
        <v>174</v>
      </c>
      <c r="I2037" s="28" t="s">
        <v>174</v>
      </c>
      <c r="J2037" s="30" t="s">
        <v>174</v>
      </c>
      <c r="K2037" s="28" t="s">
        <v>430</v>
      </c>
      <c r="L2037" s="31">
        <v>44105</v>
      </c>
      <c r="M2037" s="28">
        <v>10</v>
      </c>
      <c r="N2037" s="32" t="s">
        <v>191</v>
      </c>
      <c r="O2037" s="28" t="s">
        <v>204</v>
      </c>
      <c r="P2037" s="28" t="s">
        <v>4834</v>
      </c>
      <c r="Q2037" s="28" t="s">
        <v>4821</v>
      </c>
      <c r="R2037" s="28" t="s">
        <v>4822</v>
      </c>
    </row>
    <row r="2038" spans="1:18" hidden="1">
      <c r="A2038" s="28">
        <v>12</v>
      </c>
      <c r="B2038" s="29" t="s">
        <v>195</v>
      </c>
      <c r="C2038" s="29" t="s">
        <v>196</v>
      </c>
      <c r="D2038" s="29" t="s">
        <v>197</v>
      </c>
      <c r="E2038" s="29" t="s">
        <v>172</v>
      </c>
      <c r="F2038" s="28" t="s">
        <v>4810</v>
      </c>
      <c r="G2038" s="28" t="s">
        <v>4810</v>
      </c>
      <c r="H2038" s="28" t="s">
        <v>174</v>
      </c>
      <c r="I2038" s="28" t="s">
        <v>174</v>
      </c>
      <c r="J2038" s="30" t="s">
        <v>174</v>
      </c>
      <c r="K2038" s="28" t="s">
        <v>823</v>
      </c>
      <c r="L2038" s="31">
        <v>44136</v>
      </c>
      <c r="M2038" s="28">
        <v>11</v>
      </c>
      <c r="N2038" s="32" t="s">
        <v>191</v>
      </c>
      <c r="O2038" s="28" t="s">
        <v>204</v>
      </c>
      <c r="P2038" s="28" t="s">
        <v>4835</v>
      </c>
      <c r="Q2038" s="28" t="s">
        <v>4836</v>
      </c>
      <c r="R2038" s="28" t="s">
        <v>4822</v>
      </c>
    </row>
    <row r="2039" spans="1:18" hidden="1">
      <c r="A2039" s="28">
        <v>12</v>
      </c>
      <c r="B2039" s="29" t="s">
        <v>195</v>
      </c>
      <c r="C2039" s="29" t="s">
        <v>196</v>
      </c>
      <c r="D2039" s="29" t="s">
        <v>197</v>
      </c>
      <c r="E2039" s="29" t="s">
        <v>172</v>
      </c>
      <c r="F2039" s="28" t="s">
        <v>4810</v>
      </c>
      <c r="G2039" s="28" t="s">
        <v>4810</v>
      </c>
      <c r="H2039" s="28" t="s">
        <v>174</v>
      </c>
      <c r="I2039" s="28" t="s">
        <v>174</v>
      </c>
      <c r="J2039" s="30" t="s">
        <v>174</v>
      </c>
      <c r="K2039" s="28" t="s">
        <v>341</v>
      </c>
      <c r="L2039" s="31">
        <v>44228</v>
      </c>
      <c r="M2039" s="28">
        <v>2</v>
      </c>
      <c r="N2039" s="32" t="s">
        <v>176</v>
      </c>
      <c r="O2039" s="28" t="s">
        <v>185</v>
      </c>
      <c r="P2039" s="28" t="s">
        <v>4837</v>
      </c>
      <c r="Q2039" s="28" t="s">
        <v>2052</v>
      </c>
      <c r="R2039" s="28" t="s">
        <v>2053</v>
      </c>
    </row>
    <row r="2040" spans="1:18" hidden="1">
      <c r="A2040" s="28">
        <v>12</v>
      </c>
      <c r="B2040" s="29" t="s">
        <v>195</v>
      </c>
      <c r="C2040" s="29" t="s">
        <v>196</v>
      </c>
      <c r="D2040" s="29" t="s">
        <v>197</v>
      </c>
      <c r="E2040" s="29" t="s">
        <v>172</v>
      </c>
      <c r="F2040" s="28" t="s">
        <v>4810</v>
      </c>
      <c r="G2040" s="28" t="s">
        <v>4810</v>
      </c>
      <c r="H2040" s="28" t="s">
        <v>174</v>
      </c>
      <c r="I2040" s="28" t="s">
        <v>174</v>
      </c>
      <c r="J2040" s="30" t="s">
        <v>174</v>
      </c>
      <c r="K2040" s="28" t="s">
        <v>962</v>
      </c>
      <c r="L2040" s="31">
        <v>44348</v>
      </c>
      <c r="M2040" s="28">
        <v>6</v>
      </c>
      <c r="N2040" s="32" t="s">
        <v>184</v>
      </c>
      <c r="O2040" s="28" t="s">
        <v>204</v>
      </c>
      <c r="P2040" s="28" t="s">
        <v>4838</v>
      </c>
      <c r="Q2040" s="28" t="s">
        <v>4839</v>
      </c>
      <c r="R2040" s="28" t="s">
        <v>4840</v>
      </c>
    </row>
    <row r="2041" spans="1:18" hidden="1">
      <c r="A2041" s="28">
        <v>12</v>
      </c>
      <c r="B2041" s="29" t="s">
        <v>195</v>
      </c>
      <c r="C2041" s="29" t="s">
        <v>202</v>
      </c>
      <c r="D2041" s="29" t="s">
        <v>203</v>
      </c>
      <c r="E2041" s="29" t="s">
        <v>172</v>
      </c>
      <c r="F2041" s="28" t="s">
        <v>4810</v>
      </c>
      <c r="G2041" s="28" t="s">
        <v>4810</v>
      </c>
      <c r="H2041" s="28" t="s">
        <v>174</v>
      </c>
      <c r="I2041" s="28" t="s">
        <v>174</v>
      </c>
      <c r="J2041" s="30" t="s">
        <v>174</v>
      </c>
      <c r="K2041" s="28" t="s">
        <v>479</v>
      </c>
      <c r="L2041" s="31">
        <v>43770</v>
      </c>
      <c r="M2041" s="28">
        <v>11</v>
      </c>
      <c r="N2041" s="32" t="s">
        <v>191</v>
      </c>
      <c r="O2041" s="28" t="s">
        <v>204</v>
      </c>
      <c r="P2041" s="28" t="s">
        <v>4841</v>
      </c>
      <c r="Q2041" s="28" t="s">
        <v>4842</v>
      </c>
      <c r="R2041" s="28" t="s">
        <v>4843</v>
      </c>
    </row>
    <row r="2042" spans="1:18" hidden="1">
      <c r="A2042" s="28">
        <v>12</v>
      </c>
      <c r="B2042" s="29" t="s">
        <v>195</v>
      </c>
      <c r="C2042" s="29" t="s">
        <v>202</v>
      </c>
      <c r="D2042" s="29" t="s">
        <v>3889</v>
      </c>
      <c r="E2042" s="29" t="s">
        <v>172</v>
      </c>
      <c r="F2042" s="28" t="s">
        <v>4810</v>
      </c>
      <c r="G2042" s="28" t="s">
        <v>4810</v>
      </c>
      <c r="H2042" s="28" t="s">
        <v>174</v>
      </c>
      <c r="I2042" s="28" t="s">
        <v>174</v>
      </c>
      <c r="J2042" s="30" t="s">
        <v>174</v>
      </c>
      <c r="K2042" s="28" t="s">
        <v>587</v>
      </c>
      <c r="L2042" s="31">
        <v>42736</v>
      </c>
      <c r="M2042" s="28">
        <v>1</v>
      </c>
      <c r="N2042" s="32" t="s">
        <v>176</v>
      </c>
      <c r="O2042" s="28" t="s">
        <v>272</v>
      </c>
      <c r="P2042" s="28" t="s">
        <v>4844</v>
      </c>
      <c r="Q2042" s="28" t="s">
        <v>4845</v>
      </c>
      <c r="R2042" s="28" t="s">
        <v>4846</v>
      </c>
    </row>
    <row r="2043" spans="1:18" hidden="1">
      <c r="A2043" s="28">
        <v>12</v>
      </c>
      <c r="B2043" s="29" t="s">
        <v>195</v>
      </c>
      <c r="C2043" s="29" t="s">
        <v>202</v>
      </c>
      <c r="D2043" s="29" t="s">
        <v>445</v>
      </c>
      <c r="E2043" s="29" t="s">
        <v>172</v>
      </c>
      <c r="F2043" s="28" t="s">
        <v>4810</v>
      </c>
      <c r="G2043" s="28" t="s">
        <v>4810</v>
      </c>
      <c r="H2043" s="28" t="s">
        <v>174</v>
      </c>
      <c r="I2043" s="28" t="s">
        <v>174</v>
      </c>
      <c r="J2043" s="30" t="s">
        <v>174</v>
      </c>
      <c r="K2043" s="28" t="s">
        <v>324</v>
      </c>
      <c r="L2043" s="31">
        <v>43862</v>
      </c>
      <c r="M2043" s="28">
        <v>2</v>
      </c>
      <c r="N2043" s="32" t="s">
        <v>176</v>
      </c>
      <c r="O2043" s="28" t="s">
        <v>204</v>
      </c>
      <c r="P2043" s="28" t="s">
        <v>4847</v>
      </c>
      <c r="Q2043" s="28" t="s">
        <v>3186</v>
      </c>
      <c r="R2043" s="28" t="s">
        <v>3187</v>
      </c>
    </row>
    <row r="2044" spans="1:18" hidden="1">
      <c r="A2044" s="28">
        <v>12</v>
      </c>
      <c r="B2044" s="29" t="s">
        <v>195</v>
      </c>
      <c r="C2044" s="29" t="s">
        <v>225</v>
      </c>
      <c r="D2044" s="29" t="s">
        <v>226</v>
      </c>
      <c r="E2044" s="29" t="s">
        <v>172</v>
      </c>
      <c r="F2044" s="28" t="s">
        <v>4810</v>
      </c>
      <c r="G2044" s="28" t="s">
        <v>4810</v>
      </c>
      <c r="H2044" s="28" t="s">
        <v>174</v>
      </c>
      <c r="I2044" s="28" t="s">
        <v>174</v>
      </c>
      <c r="J2044" s="30" t="s">
        <v>174</v>
      </c>
      <c r="K2044" s="28" t="s">
        <v>2131</v>
      </c>
      <c r="L2044" s="31">
        <v>44531</v>
      </c>
      <c r="M2044" s="28">
        <v>12</v>
      </c>
      <c r="N2044" s="32" t="s">
        <v>176</v>
      </c>
      <c r="O2044" s="28" t="s">
        <v>204</v>
      </c>
      <c r="P2044" s="28" t="s">
        <v>4848</v>
      </c>
      <c r="Q2044" s="28" t="s">
        <v>2619</v>
      </c>
      <c r="R2044" s="28" t="s">
        <v>2620</v>
      </c>
    </row>
    <row r="2045" spans="1:18" hidden="1">
      <c r="A2045" s="28">
        <v>12</v>
      </c>
      <c r="B2045" s="29" t="s">
        <v>195</v>
      </c>
      <c r="C2045" s="29" t="s">
        <v>230</v>
      </c>
      <c r="D2045" s="29" t="s">
        <v>231</v>
      </c>
      <c r="E2045" s="29" t="s">
        <v>172</v>
      </c>
      <c r="F2045" s="28" t="s">
        <v>4810</v>
      </c>
      <c r="G2045" s="28" t="s">
        <v>4810</v>
      </c>
      <c r="H2045" s="28" t="s">
        <v>174</v>
      </c>
      <c r="I2045" s="28" t="s">
        <v>174</v>
      </c>
      <c r="J2045" s="30" t="s">
        <v>174</v>
      </c>
      <c r="K2045" s="28" t="s">
        <v>489</v>
      </c>
      <c r="L2045" s="31">
        <v>42491</v>
      </c>
      <c r="M2045" s="28">
        <v>5</v>
      </c>
      <c r="N2045" s="32" t="s">
        <v>191</v>
      </c>
      <c r="O2045" s="28" t="s">
        <v>204</v>
      </c>
      <c r="P2045" s="28" t="s">
        <v>4849</v>
      </c>
      <c r="Q2045" s="28" t="s">
        <v>4850</v>
      </c>
      <c r="R2045" s="28" t="s">
        <v>4851</v>
      </c>
    </row>
    <row r="2046" spans="1:18" hidden="1">
      <c r="A2046" s="28">
        <v>12</v>
      </c>
      <c r="B2046" s="29" t="s">
        <v>195</v>
      </c>
      <c r="C2046" s="29" t="s">
        <v>230</v>
      </c>
      <c r="D2046" s="29" t="s">
        <v>231</v>
      </c>
      <c r="E2046" s="29" t="s">
        <v>172</v>
      </c>
      <c r="F2046" s="28" t="s">
        <v>4810</v>
      </c>
      <c r="G2046" s="28" t="s">
        <v>4810</v>
      </c>
      <c r="H2046" s="28" t="s">
        <v>174</v>
      </c>
      <c r="I2046" s="28" t="s">
        <v>174</v>
      </c>
      <c r="J2046" s="30" t="s">
        <v>174</v>
      </c>
      <c r="K2046" s="28" t="s">
        <v>208</v>
      </c>
      <c r="L2046" s="31">
        <v>43101</v>
      </c>
      <c r="M2046" s="28">
        <v>1</v>
      </c>
      <c r="N2046" s="32" t="s">
        <v>176</v>
      </c>
      <c r="O2046" s="28" t="s">
        <v>204</v>
      </c>
      <c r="P2046" s="28" t="s">
        <v>4852</v>
      </c>
      <c r="Q2046" s="28" t="s">
        <v>4850</v>
      </c>
      <c r="R2046" s="28" t="s">
        <v>4851</v>
      </c>
    </row>
    <row r="2047" spans="1:18" hidden="1">
      <c r="A2047" s="28">
        <v>12</v>
      </c>
      <c r="B2047" s="29" t="s">
        <v>195</v>
      </c>
      <c r="C2047" s="29" t="s">
        <v>230</v>
      </c>
      <c r="D2047" s="29" t="s">
        <v>231</v>
      </c>
      <c r="E2047" s="29" t="s">
        <v>172</v>
      </c>
      <c r="F2047" s="28" t="s">
        <v>4810</v>
      </c>
      <c r="G2047" s="28" t="s">
        <v>4810</v>
      </c>
      <c r="H2047" s="28" t="s">
        <v>174</v>
      </c>
      <c r="I2047" s="28" t="s">
        <v>174</v>
      </c>
      <c r="J2047" s="30" t="s">
        <v>174</v>
      </c>
      <c r="K2047" s="28" t="s">
        <v>475</v>
      </c>
      <c r="L2047" s="31">
        <v>43191</v>
      </c>
      <c r="M2047" s="28">
        <v>4</v>
      </c>
      <c r="N2047" s="32" t="s">
        <v>191</v>
      </c>
      <c r="O2047" s="28" t="s">
        <v>204</v>
      </c>
      <c r="P2047" s="28" t="s">
        <v>4853</v>
      </c>
      <c r="Q2047" s="28" t="s">
        <v>4850</v>
      </c>
      <c r="R2047" s="28" t="s">
        <v>4851</v>
      </c>
    </row>
    <row r="2048" spans="1:18" hidden="1">
      <c r="A2048" s="28">
        <v>12</v>
      </c>
      <c r="B2048" s="29" t="s">
        <v>195</v>
      </c>
      <c r="C2048" s="29" t="s">
        <v>230</v>
      </c>
      <c r="D2048" s="29" t="s">
        <v>231</v>
      </c>
      <c r="E2048" s="29" t="s">
        <v>172</v>
      </c>
      <c r="F2048" s="28" t="s">
        <v>4810</v>
      </c>
      <c r="G2048" s="28" t="s">
        <v>4810</v>
      </c>
      <c r="H2048" s="28" t="s">
        <v>174</v>
      </c>
      <c r="I2048" s="28" t="s">
        <v>174</v>
      </c>
      <c r="J2048" s="30" t="s">
        <v>174</v>
      </c>
      <c r="K2048" s="28" t="s">
        <v>405</v>
      </c>
      <c r="L2048" s="31">
        <v>43221</v>
      </c>
      <c r="M2048" s="28">
        <v>5</v>
      </c>
      <c r="N2048" s="32" t="s">
        <v>191</v>
      </c>
      <c r="O2048" s="28" t="s">
        <v>204</v>
      </c>
      <c r="P2048" s="28" t="s">
        <v>4854</v>
      </c>
      <c r="Q2048" s="28" t="s">
        <v>4855</v>
      </c>
      <c r="R2048" s="28" t="s">
        <v>4856</v>
      </c>
    </row>
    <row r="2049" spans="1:18" hidden="1">
      <c r="A2049" s="28">
        <v>12</v>
      </c>
      <c r="B2049" s="29" t="s">
        <v>195</v>
      </c>
      <c r="C2049" s="29" t="s">
        <v>230</v>
      </c>
      <c r="D2049" s="29" t="s">
        <v>231</v>
      </c>
      <c r="E2049" s="29" t="s">
        <v>172</v>
      </c>
      <c r="F2049" s="28" t="s">
        <v>4810</v>
      </c>
      <c r="G2049" s="28" t="s">
        <v>4810</v>
      </c>
      <c r="H2049" s="28" t="s">
        <v>174</v>
      </c>
      <c r="I2049" s="28" t="s">
        <v>174</v>
      </c>
      <c r="J2049" s="30" t="s">
        <v>174</v>
      </c>
      <c r="K2049" s="28" t="s">
        <v>218</v>
      </c>
      <c r="L2049" s="31">
        <v>44044</v>
      </c>
      <c r="M2049" s="28">
        <v>8</v>
      </c>
      <c r="N2049" s="32" t="s">
        <v>184</v>
      </c>
      <c r="O2049" s="28" t="s">
        <v>204</v>
      </c>
      <c r="P2049" s="28" t="s">
        <v>4857</v>
      </c>
      <c r="Q2049" s="28" t="s">
        <v>4850</v>
      </c>
      <c r="R2049" s="28" t="s">
        <v>4851</v>
      </c>
    </row>
    <row r="2050" spans="1:18" hidden="1">
      <c r="A2050" s="28">
        <v>12</v>
      </c>
      <c r="B2050" s="29" t="s">
        <v>195</v>
      </c>
      <c r="C2050" s="29" t="s">
        <v>230</v>
      </c>
      <c r="D2050" s="29" t="s">
        <v>231</v>
      </c>
      <c r="E2050" s="29" t="s">
        <v>172</v>
      </c>
      <c r="F2050" s="28" t="s">
        <v>4810</v>
      </c>
      <c r="G2050" s="28" t="s">
        <v>4810</v>
      </c>
      <c r="H2050" s="28" t="s">
        <v>174</v>
      </c>
      <c r="I2050" s="28" t="s">
        <v>174</v>
      </c>
      <c r="J2050" s="30" t="s">
        <v>174</v>
      </c>
      <c r="K2050" s="28" t="s">
        <v>632</v>
      </c>
      <c r="L2050" s="31">
        <v>44378</v>
      </c>
      <c r="M2050" s="28">
        <v>7</v>
      </c>
      <c r="N2050" s="32" t="s">
        <v>184</v>
      </c>
      <c r="O2050" s="28" t="s">
        <v>204</v>
      </c>
      <c r="P2050" s="28" t="s">
        <v>4858</v>
      </c>
      <c r="Q2050" s="28" t="s">
        <v>1590</v>
      </c>
      <c r="R2050" s="28" t="s">
        <v>1591</v>
      </c>
    </row>
    <row r="2051" spans="1:18" hidden="1">
      <c r="A2051" s="28">
        <v>12</v>
      </c>
      <c r="B2051" s="29" t="s">
        <v>195</v>
      </c>
      <c r="C2051" s="29" t="s">
        <v>230</v>
      </c>
      <c r="D2051" s="29" t="s">
        <v>231</v>
      </c>
      <c r="E2051" s="29" t="s">
        <v>172</v>
      </c>
      <c r="F2051" s="28" t="s">
        <v>4810</v>
      </c>
      <c r="G2051" s="28" t="s">
        <v>4810</v>
      </c>
      <c r="H2051" s="28" t="s">
        <v>174</v>
      </c>
      <c r="I2051" s="28" t="s">
        <v>174</v>
      </c>
      <c r="J2051" s="30" t="s">
        <v>174</v>
      </c>
      <c r="K2051" s="28" t="s">
        <v>712</v>
      </c>
      <c r="L2051" s="31">
        <v>44470</v>
      </c>
      <c r="M2051" s="28">
        <v>10</v>
      </c>
      <c r="N2051" s="32" t="s">
        <v>191</v>
      </c>
      <c r="O2051" s="28" t="s">
        <v>204</v>
      </c>
      <c r="P2051" s="28" t="s">
        <v>4859</v>
      </c>
      <c r="Q2051" s="28" t="s">
        <v>4850</v>
      </c>
      <c r="R2051" s="28" t="s">
        <v>4851</v>
      </c>
    </row>
    <row r="2052" spans="1:18" hidden="1">
      <c r="A2052" s="28">
        <v>2</v>
      </c>
      <c r="B2052" s="29" t="s">
        <v>240</v>
      </c>
      <c r="C2052" s="29" t="s">
        <v>241</v>
      </c>
      <c r="D2052" s="29" t="s">
        <v>242</v>
      </c>
      <c r="E2052" s="29" t="s">
        <v>172</v>
      </c>
      <c r="F2052" s="28" t="s">
        <v>4810</v>
      </c>
      <c r="G2052" s="28" t="s">
        <v>4810</v>
      </c>
      <c r="H2052" s="28" t="s">
        <v>174</v>
      </c>
      <c r="I2052" s="28" t="s">
        <v>174</v>
      </c>
      <c r="J2052" s="30" t="s">
        <v>174</v>
      </c>
      <c r="K2052" s="28" t="s">
        <v>302</v>
      </c>
      <c r="L2052" s="31">
        <v>43282</v>
      </c>
      <c r="M2052" s="28">
        <v>7</v>
      </c>
      <c r="N2052" s="32" t="s">
        <v>184</v>
      </c>
      <c r="O2052" s="28" t="s">
        <v>204</v>
      </c>
      <c r="P2052" s="28" t="s">
        <v>4860</v>
      </c>
      <c r="Q2052" s="28" t="s">
        <v>4861</v>
      </c>
      <c r="R2052" s="28" t="s">
        <v>4862</v>
      </c>
    </row>
    <row r="2053" spans="1:18" hidden="1">
      <c r="A2053" s="28">
        <v>2</v>
      </c>
      <c r="B2053" s="29" t="s">
        <v>240</v>
      </c>
      <c r="C2053" s="29" t="s">
        <v>241</v>
      </c>
      <c r="D2053" s="29" t="s">
        <v>242</v>
      </c>
      <c r="E2053" s="29" t="s">
        <v>172</v>
      </c>
      <c r="F2053" s="28" t="s">
        <v>4810</v>
      </c>
      <c r="G2053" s="28" t="s">
        <v>4810</v>
      </c>
      <c r="H2053" s="28" t="s">
        <v>174</v>
      </c>
      <c r="I2053" s="28" t="s">
        <v>174</v>
      </c>
      <c r="J2053" s="30" t="s">
        <v>174</v>
      </c>
      <c r="K2053" s="28" t="s">
        <v>504</v>
      </c>
      <c r="L2053" s="31">
        <v>43922</v>
      </c>
      <c r="M2053" s="28">
        <v>4</v>
      </c>
      <c r="N2053" s="32" t="s">
        <v>191</v>
      </c>
      <c r="O2053" s="28" t="s">
        <v>204</v>
      </c>
      <c r="P2053" s="28" t="s">
        <v>4863</v>
      </c>
      <c r="Q2053" s="28" t="s">
        <v>4239</v>
      </c>
      <c r="R2053" s="28" t="s">
        <v>4240</v>
      </c>
    </row>
    <row r="2054" spans="1:18" hidden="1">
      <c r="A2054" s="28">
        <v>2</v>
      </c>
      <c r="B2054" s="29" t="s">
        <v>240</v>
      </c>
      <c r="C2054" s="29" t="s">
        <v>241</v>
      </c>
      <c r="D2054" s="29" t="s">
        <v>509</v>
      </c>
      <c r="E2054" s="29" t="s">
        <v>172</v>
      </c>
      <c r="F2054" s="28" t="s">
        <v>4810</v>
      </c>
      <c r="G2054" s="28" t="s">
        <v>4810</v>
      </c>
      <c r="H2054" s="28" t="s">
        <v>174</v>
      </c>
      <c r="I2054" s="28" t="s">
        <v>174</v>
      </c>
      <c r="J2054" s="30" t="s">
        <v>174</v>
      </c>
      <c r="K2054" s="28" t="s">
        <v>2223</v>
      </c>
      <c r="L2054" s="31">
        <v>42278</v>
      </c>
      <c r="M2054" s="28">
        <v>10</v>
      </c>
      <c r="N2054" s="32" t="s">
        <v>191</v>
      </c>
      <c r="O2054" s="28" t="s">
        <v>204</v>
      </c>
      <c r="P2054" s="28" t="s">
        <v>4864</v>
      </c>
      <c r="Q2054" s="28" t="s">
        <v>4865</v>
      </c>
      <c r="R2054" s="28" t="s">
        <v>516</v>
      </c>
    </row>
    <row r="2055" spans="1:18" hidden="1">
      <c r="A2055" s="28">
        <v>2</v>
      </c>
      <c r="B2055" s="29" t="s">
        <v>240</v>
      </c>
      <c r="C2055" s="29" t="s">
        <v>241</v>
      </c>
      <c r="D2055" s="29" t="s">
        <v>509</v>
      </c>
      <c r="E2055" s="29" t="s">
        <v>172</v>
      </c>
      <c r="F2055" s="28" t="s">
        <v>4810</v>
      </c>
      <c r="G2055" s="28" t="s">
        <v>4810</v>
      </c>
      <c r="H2055" s="28" t="s">
        <v>174</v>
      </c>
      <c r="I2055" s="28" t="s">
        <v>174</v>
      </c>
      <c r="J2055" s="30" t="s">
        <v>174</v>
      </c>
      <c r="K2055" s="28" t="s">
        <v>243</v>
      </c>
      <c r="L2055" s="31">
        <v>42461</v>
      </c>
      <c r="M2055" s="28">
        <v>4</v>
      </c>
      <c r="N2055" s="32" t="s">
        <v>191</v>
      </c>
      <c r="O2055" s="28" t="s">
        <v>204</v>
      </c>
      <c r="P2055" s="28" t="s">
        <v>4866</v>
      </c>
      <c r="Q2055" s="28" t="s">
        <v>4865</v>
      </c>
      <c r="R2055" s="28" t="s">
        <v>516</v>
      </c>
    </row>
    <row r="2056" spans="1:18" hidden="1">
      <c r="A2056" s="28">
        <v>2</v>
      </c>
      <c r="B2056" s="29" t="s">
        <v>240</v>
      </c>
      <c r="C2056" s="29" t="s">
        <v>241</v>
      </c>
      <c r="D2056" s="29" t="s">
        <v>509</v>
      </c>
      <c r="E2056" s="29" t="s">
        <v>172</v>
      </c>
      <c r="F2056" s="28" t="s">
        <v>4810</v>
      </c>
      <c r="G2056" s="28" t="s">
        <v>4810</v>
      </c>
      <c r="H2056" s="28" t="s">
        <v>174</v>
      </c>
      <c r="I2056" s="28" t="s">
        <v>174</v>
      </c>
      <c r="J2056" s="30" t="s">
        <v>174</v>
      </c>
      <c r="K2056" s="28" t="s">
        <v>232</v>
      </c>
      <c r="L2056" s="31">
        <v>42522</v>
      </c>
      <c r="M2056" s="28">
        <v>6</v>
      </c>
      <c r="N2056" s="32" t="s">
        <v>184</v>
      </c>
      <c r="O2056" s="28" t="s">
        <v>204</v>
      </c>
      <c r="P2056" s="28" t="s">
        <v>4867</v>
      </c>
      <c r="Q2056" s="28" t="s">
        <v>4865</v>
      </c>
      <c r="R2056" s="28" t="s">
        <v>516</v>
      </c>
    </row>
    <row r="2057" spans="1:18" hidden="1">
      <c r="A2057" s="28">
        <v>2</v>
      </c>
      <c r="B2057" s="29" t="s">
        <v>240</v>
      </c>
      <c r="C2057" s="29" t="s">
        <v>241</v>
      </c>
      <c r="D2057" s="29" t="s">
        <v>509</v>
      </c>
      <c r="E2057" s="29" t="s">
        <v>172</v>
      </c>
      <c r="F2057" s="28" t="s">
        <v>4810</v>
      </c>
      <c r="G2057" s="28" t="s">
        <v>4810</v>
      </c>
      <c r="H2057" s="28" t="s">
        <v>174</v>
      </c>
      <c r="I2057" s="28" t="s">
        <v>174</v>
      </c>
      <c r="J2057" s="30" t="s">
        <v>174</v>
      </c>
      <c r="K2057" s="28" t="s">
        <v>651</v>
      </c>
      <c r="L2057" s="31">
        <v>42644</v>
      </c>
      <c r="M2057" s="28">
        <v>10</v>
      </c>
      <c r="N2057" s="32" t="s">
        <v>191</v>
      </c>
      <c r="O2057" s="28" t="s">
        <v>204</v>
      </c>
      <c r="P2057" s="28" t="s">
        <v>4868</v>
      </c>
      <c r="Q2057" s="28" t="s">
        <v>4865</v>
      </c>
      <c r="R2057" s="28" t="s">
        <v>516</v>
      </c>
    </row>
    <row r="2058" spans="1:18" hidden="1">
      <c r="A2058" s="28">
        <v>2</v>
      </c>
      <c r="B2058" s="29" t="s">
        <v>240</v>
      </c>
      <c r="C2058" s="29" t="s">
        <v>241</v>
      </c>
      <c r="D2058" s="29" t="s">
        <v>509</v>
      </c>
      <c r="E2058" s="29" t="s">
        <v>172</v>
      </c>
      <c r="F2058" s="28" t="s">
        <v>4810</v>
      </c>
      <c r="G2058" s="28" t="s">
        <v>4810</v>
      </c>
      <c r="H2058" s="28" t="s">
        <v>174</v>
      </c>
      <c r="I2058" s="28" t="s">
        <v>174</v>
      </c>
      <c r="J2058" s="30" t="s">
        <v>174</v>
      </c>
      <c r="K2058" s="28" t="s">
        <v>651</v>
      </c>
      <c r="L2058" s="31">
        <v>42644</v>
      </c>
      <c r="M2058" s="28">
        <v>10</v>
      </c>
      <c r="N2058" s="32" t="s">
        <v>191</v>
      </c>
      <c r="O2058" s="28" t="s">
        <v>204</v>
      </c>
      <c r="P2058" s="28" t="s">
        <v>4869</v>
      </c>
      <c r="Q2058" s="28" t="s">
        <v>4870</v>
      </c>
      <c r="R2058" s="28" t="s">
        <v>516</v>
      </c>
    </row>
    <row r="2059" spans="1:18" hidden="1">
      <c r="A2059" s="28">
        <v>2</v>
      </c>
      <c r="B2059" s="29" t="s">
        <v>240</v>
      </c>
      <c r="C2059" s="29" t="s">
        <v>241</v>
      </c>
      <c r="D2059" s="29" t="s">
        <v>509</v>
      </c>
      <c r="E2059" s="29" t="s">
        <v>172</v>
      </c>
      <c r="F2059" s="28" t="s">
        <v>4810</v>
      </c>
      <c r="G2059" s="28" t="s">
        <v>4810</v>
      </c>
      <c r="H2059" s="28" t="s">
        <v>174</v>
      </c>
      <c r="I2059" s="28" t="s">
        <v>174</v>
      </c>
      <c r="J2059" s="30" t="s">
        <v>174</v>
      </c>
      <c r="K2059" s="28" t="s">
        <v>769</v>
      </c>
      <c r="L2059" s="31">
        <v>42826</v>
      </c>
      <c r="M2059" s="28">
        <v>4</v>
      </c>
      <c r="N2059" s="32" t="s">
        <v>191</v>
      </c>
      <c r="O2059" s="28" t="s">
        <v>204</v>
      </c>
      <c r="P2059" s="28" t="s">
        <v>4871</v>
      </c>
      <c r="Q2059" s="28" t="s">
        <v>4872</v>
      </c>
      <c r="R2059" s="28" t="s">
        <v>4862</v>
      </c>
    </row>
    <row r="2060" spans="1:18" hidden="1">
      <c r="A2060" s="28">
        <v>2</v>
      </c>
      <c r="B2060" s="29" t="s">
        <v>240</v>
      </c>
      <c r="C2060" s="29" t="s">
        <v>241</v>
      </c>
      <c r="D2060" s="29" t="s">
        <v>509</v>
      </c>
      <c r="E2060" s="29" t="s">
        <v>172</v>
      </c>
      <c r="F2060" s="28" t="s">
        <v>4810</v>
      </c>
      <c r="G2060" s="28" t="s">
        <v>4810</v>
      </c>
      <c r="H2060" s="28" t="s">
        <v>174</v>
      </c>
      <c r="I2060" s="28" t="s">
        <v>174</v>
      </c>
      <c r="J2060" s="30" t="s">
        <v>174</v>
      </c>
      <c r="K2060" s="28" t="s">
        <v>813</v>
      </c>
      <c r="L2060" s="31">
        <v>43009</v>
      </c>
      <c r="M2060" s="28">
        <v>10</v>
      </c>
      <c r="N2060" s="32" t="s">
        <v>191</v>
      </c>
      <c r="O2060" s="28" t="s">
        <v>204</v>
      </c>
      <c r="P2060" s="28" t="s">
        <v>4873</v>
      </c>
      <c r="Q2060" s="28" t="s">
        <v>4874</v>
      </c>
      <c r="R2060" s="28" t="s">
        <v>4875</v>
      </c>
    </row>
    <row r="2061" spans="1:18" hidden="1">
      <c r="A2061" s="28">
        <v>2</v>
      </c>
      <c r="B2061" s="29" t="s">
        <v>240</v>
      </c>
      <c r="C2061" s="29" t="s">
        <v>241</v>
      </c>
      <c r="D2061" s="29" t="s">
        <v>509</v>
      </c>
      <c r="E2061" s="29" t="s">
        <v>172</v>
      </c>
      <c r="F2061" s="28" t="s">
        <v>4810</v>
      </c>
      <c r="G2061" s="28" t="s">
        <v>4810</v>
      </c>
      <c r="H2061" s="28" t="s">
        <v>174</v>
      </c>
      <c r="I2061" s="28" t="s">
        <v>174</v>
      </c>
      <c r="J2061" s="30" t="s">
        <v>174</v>
      </c>
      <c r="K2061" s="28" t="s">
        <v>397</v>
      </c>
      <c r="L2061" s="31">
        <v>43739</v>
      </c>
      <c r="M2061" s="28">
        <v>10</v>
      </c>
      <c r="N2061" s="32" t="s">
        <v>191</v>
      </c>
      <c r="O2061" s="28" t="s">
        <v>204</v>
      </c>
      <c r="P2061" s="28" t="s">
        <v>4876</v>
      </c>
      <c r="Q2061" s="28" t="s">
        <v>4865</v>
      </c>
      <c r="R2061" s="28" t="s">
        <v>516</v>
      </c>
    </row>
    <row r="2062" spans="1:18" hidden="1">
      <c r="A2062" s="28">
        <v>2</v>
      </c>
      <c r="B2062" s="29" t="s">
        <v>240</v>
      </c>
      <c r="C2062" s="29" t="s">
        <v>241</v>
      </c>
      <c r="D2062" s="29" t="s">
        <v>509</v>
      </c>
      <c r="E2062" s="29" t="s">
        <v>172</v>
      </c>
      <c r="F2062" s="28" t="s">
        <v>4810</v>
      </c>
      <c r="G2062" s="28" t="s">
        <v>4810</v>
      </c>
      <c r="H2062" s="28" t="s">
        <v>174</v>
      </c>
      <c r="I2062" s="28" t="s">
        <v>174</v>
      </c>
      <c r="J2062" s="30" t="s">
        <v>174</v>
      </c>
      <c r="K2062" s="28" t="s">
        <v>823</v>
      </c>
      <c r="L2062" s="31">
        <v>44136</v>
      </c>
      <c r="M2062" s="28">
        <v>11</v>
      </c>
      <c r="N2062" s="32" t="s">
        <v>191</v>
      </c>
      <c r="O2062" s="28" t="s">
        <v>204</v>
      </c>
      <c r="P2062" s="28" t="s">
        <v>4877</v>
      </c>
      <c r="Q2062" s="28" t="s">
        <v>4865</v>
      </c>
      <c r="R2062" s="28" t="s">
        <v>516</v>
      </c>
    </row>
    <row r="2063" spans="1:18" hidden="1">
      <c r="A2063" s="28">
        <v>2</v>
      </c>
      <c r="B2063" s="29" t="s">
        <v>240</v>
      </c>
      <c r="C2063" s="29" t="s">
        <v>241</v>
      </c>
      <c r="D2063" s="29" t="s">
        <v>252</v>
      </c>
      <c r="E2063" s="29" t="s">
        <v>172</v>
      </c>
      <c r="F2063" s="28" t="s">
        <v>4810</v>
      </c>
      <c r="G2063" s="28" t="s">
        <v>4810</v>
      </c>
      <c r="H2063" s="28" t="s">
        <v>174</v>
      </c>
      <c r="I2063" s="28" t="s">
        <v>174</v>
      </c>
      <c r="J2063" s="30" t="s">
        <v>174</v>
      </c>
      <c r="K2063" s="28" t="s">
        <v>435</v>
      </c>
      <c r="L2063" s="31">
        <v>43040</v>
      </c>
      <c r="M2063" s="28">
        <v>11</v>
      </c>
      <c r="N2063" s="32" t="s">
        <v>191</v>
      </c>
      <c r="O2063" s="28" t="s">
        <v>204</v>
      </c>
      <c r="P2063" s="28" t="s">
        <v>4878</v>
      </c>
      <c r="Q2063" s="28" t="s">
        <v>4879</v>
      </c>
      <c r="R2063" s="28" t="s">
        <v>4880</v>
      </c>
    </row>
    <row r="2064" spans="1:18" hidden="1">
      <c r="A2064" s="28">
        <v>2</v>
      </c>
      <c r="B2064" s="29" t="s">
        <v>240</v>
      </c>
      <c r="C2064" s="29" t="s">
        <v>241</v>
      </c>
      <c r="D2064" s="29" t="s">
        <v>252</v>
      </c>
      <c r="E2064" s="29" t="s">
        <v>172</v>
      </c>
      <c r="F2064" s="28" t="s">
        <v>4810</v>
      </c>
      <c r="G2064" s="28" t="s">
        <v>4810</v>
      </c>
      <c r="H2064" s="28" t="s">
        <v>174</v>
      </c>
      <c r="I2064" s="28" t="s">
        <v>174</v>
      </c>
      <c r="J2064" s="30" t="s">
        <v>174</v>
      </c>
      <c r="K2064" s="28" t="s">
        <v>214</v>
      </c>
      <c r="L2064" s="31">
        <v>43466</v>
      </c>
      <c r="M2064" s="28">
        <v>1</v>
      </c>
      <c r="N2064" s="32" t="s">
        <v>176</v>
      </c>
      <c r="O2064" s="28" t="s">
        <v>204</v>
      </c>
      <c r="P2064" s="28" t="s">
        <v>4881</v>
      </c>
      <c r="Q2064" s="28" t="s">
        <v>4882</v>
      </c>
      <c r="R2064" s="28" t="s">
        <v>4883</v>
      </c>
    </row>
    <row r="2065" spans="1:18" hidden="1">
      <c r="A2065" s="28">
        <v>2</v>
      </c>
      <c r="B2065" s="29" t="s">
        <v>240</v>
      </c>
      <c r="C2065" s="29" t="s">
        <v>261</v>
      </c>
      <c r="D2065" s="29" t="s">
        <v>532</v>
      </c>
      <c r="E2065" s="29" t="s">
        <v>172</v>
      </c>
      <c r="F2065" s="28" t="s">
        <v>4810</v>
      </c>
      <c r="G2065" s="28" t="s">
        <v>4810</v>
      </c>
      <c r="H2065" s="28" t="s">
        <v>174</v>
      </c>
      <c r="I2065" s="28" t="s">
        <v>174</v>
      </c>
      <c r="J2065" s="30" t="s">
        <v>174</v>
      </c>
      <c r="K2065" s="28" t="s">
        <v>198</v>
      </c>
      <c r="L2065" s="31">
        <v>42767</v>
      </c>
      <c r="M2065" s="28">
        <v>2</v>
      </c>
      <c r="N2065" s="32" t="s">
        <v>176</v>
      </c>
      <c r="O2065" s="28" t="s">
        <v>204</v>
      </c>
      <c r="P2065" s="28" t="s">
        <v>4884</v>
      </c>
      <c r="Q2065" s="28" t="s">
        <v>4885</v>
      </c>
      <c r="R2065" s="28" t="s">
        <v>4886</v>
      </c>
    </row>
    <row r="2066" spans="1:18" hidden="1">
      <c r="A2066" s="28">
        <v>2</v>
      </c>
      <c r="B2066" s="29" t="s">
        <v>240</v>
      </c>
      <c r="C2066" s="29" t="s">
        <v>261</v>
      </c>
      <c r="D2066" s="29" t="s">
        <v>532</v>
      </c>
      <c r="E2066" s="29" t="s">
        <v>172</v>
      </c>
      <c r="F2066" s="28" t="s">
        <v>4810</v>
      </c>
      <c r="G2066" s="28" t="s">
        <v>4810</v>
      </c>
      <c r="H2066" s="28" t="s">
        <v>174</v>
      </c>
      <c r="I2066" s="28" t="s">
        <v>174</v>
      </c>
      <c r="J2066" s="30" t="s">
        <v>174</v>
      </c>
      <c r="K2066" s="28" t="s">
        <v>473</v>
      </c>
      <c r="L2066" s="31">
        <v>43160</v>
      </c>
      <c r="M2066" s="28">
        <v>3</v>
      </c>
      <c r="N2066" s="32" t="s">
        <v>191</v>
      </c>
      <c r="O2066" s="28" t="s">
        <v>204</v>
      </c>
      <c r="P2066" s="28" t="s">
        <v>4887</v>
      </c>
      <c r="Q2066" s="28" t="s">
        <v>4885</v>
      </c>
      <c r="R2066" s="28" t="s">
        <v>4886</v>
      </c>
    </row>
    <row r="2067" spans="1:18" hidden="1">
      <c r="A2067" s="28">
        <v>2</v>
      </c>
      <c r="B2067" s="29" t="s">
        <v>240</v>
      </c>
      <c r="C2067" s="29" t="s">
        <v>276</v>
      </c>
      <c r="D2067" s="29" t="s">
        <v>277</v>
      </c>
      <c r="E2067" s="29" t="s">
        <v>172</v>
      </c>
      <c r="F2067" s="28" t="s">
        <v>4810</v>
      </c>
      <c r="G2067" s="28" t="s">
        <v>4810</v>
      </c>
      <c r="H2067" s="28" t="s">
        <v>174</v>
      </c>
      <c r="I2067" s="28" t="s">
        <v>174</v>
      </c>
      <c r="J2067" s="30" t="s">
        <v>174</v>
      </c>
      <c r="K2067" s="28" t="s">
        <v>2131</v>
      </c>
      <c r="L2067" s="31">
        <v>44531</v>
      </c>
      <c r="M2067" s="28">
        <v>12</v>
      </c>
      <c r="N2067" s="32" t="s">
        <v>176</v>
      </c>
      <c r="O2067" s="28" t="s">
        <v>204</v>
      </c>
      <c r="P2067" s="28" t="s">
        <v>4888</v>
      </c>
      <c r="Q2067" s="28" t="s">
        <v>4889</v>
      </c>
      <c r="R2067" s="28" t="s">
        <v>557</v>
      </c>
    </row>
    <row r="2068" spans="1:18" hidden="1">
      <c r="A2068" s="28">
        <v>2</v>
      </c>
      <c r="B2068" s="29" t="s">
        <v>240</v>
      </c>
      <c r="C2068" s="29" t="s">
        <v>276</v>
      </c>
      <c r="D2068" s="29" t="s">
        <v>282</v>
      </c>
      <c r="E2068" s="29" t="s">
        <v>172</v>
      </c>
      <c r="F2068" s="28" t="s">
        <v>4810</v>
      </c>
      <c r="G2068" s="28" t="s">
        <v>4810</v>
      </c>
      <c r="H2068" s="28" t="s">
        <v>174</v>
      </c>
      <c r="I2068" s="28" t="s">
        <v>174</v>
      </c>
      <c r="J2068" s="30" t="s">
        <v>174</v>
      </c>
      <c r="K2068" s="28" t="s">
        <v>271</v>
      </c>
      <c r="L2068" s="31">
        <v>42856</v>
      </c>
      <c r="M2068" s="28">
        <v>5</v>
      </c>
      <c r="N2068" s="32" t="s">
        <v>191</v>
      </c>
      <c r="O2068" s="28" t="s">
        <v>204</v>
      </c>
      <c r="P2068" s="28" t="s">
        <v>4890</v>
      </c>
      <c r="Q2068" s="28" t="s">
        <v>556</v>
      </c>
      <c r="R2068" s="28" t="s">
        <v>557</v>
      </c>
    </row>
    <row r="2069" spans="1:18" hidden="1">
      <c r="A2069" s="28">
        <v>2</v>
      </c>
      <c r="B2069" s="29" t="s">
        <v>240</v>
      </c>
      <c r="C2069" s="29" t="s">
        <v>276</v>
      </c>
      <c r="D2069" s="29" t="s">
        <v>282</v>
      </c>
      <c r="E2069" s="29" t="s">
        <v>172</v>
      </c>
      <c r="F2069" s="28" t="s">
        <v>4810</v>
      </c>
      <c r="G2069" s="28" t="s">
        <v>4810</v>
      </c>
      <c r="H2069" s="28" t="s">
        <v>174</v>
      </c>
      <c r="I2069" s="28" t="s">
        <v>174</v>
      </c>
      <c r="J2069" s="30" t="s">
        <v>174</v>
      </c>
      <c r="K2069" s="28" t="s">
        <v>214</v>
      </c>
      <c r="L2069" s="31">
        <v>43466</v>
      </c>
      <c r="M2069" s="28">
        <v>1</v>
      </c>
      <c r="N2069" s="32" t="s">
        <v>176</v>
      </c>
      <c r="O2069" s="28" t="s">
        <v>204</v>
      </c>
      <c r="P2069" s="28" t="s">
        <v>4891</v>
      </c>
      <c r="Q2069" s="28" t="s">
        <v>556</v>
      </c>
      <c r="R2069" s="28" t="s">
        <v>557</v>
      </c>
    </row>
    <row r="2070" spans="1:18" hidden="1">
      <c r="A2070" s="28">
        <v>2</v>
      </c>
      <c r="B2070" s="29" t="s">
        <v>240</v>
      </c>
      <c r="C2070" s="29" t="s">
        <v>276</v>
      </c>
      <c r="D2070" s="29" t="s">
        <v>282</v>
      </c>
      <c r="E2070" s="29" t="s">
        <v>172</v>
      </c>
      <c r="F2070" s="28" t="s">
        <v>4810</v>
      </c>
      <c r="G2070" s="28" t="s">
        <v>4810</v>
      </c>
      <c r="H2070" s="28" t="s">
        <v>174</v>
      </c>
      <c r="I2070" s="28" t="s">
        <v>174</v>
      </c>
      <c r="J2070" s="30" t="s">
        <v>174</v>
      </c>
      <c r="K2070" s="28" t="s">
        <v>520</v>
      </c>
      <c r="L2070" s="31">
        <v>43800</v>
      </c>
      <c r="M2070" s="28">
        <v>12</v>
      </c>
      <c r="N2070" s="32" t="s">
        <v>176</v>
      </c>
      <c r="O2070" s="28" t="s">
        <v>953</v>
      </c>
      <c r="P2070" s="28" t="s">
        <v>4892</v>
      </c>
      <c r="Q2070" s="28" t="s">
        <v>4893</v>
      </c>
      <c r="R2070" s="28" t="s">
        <v>4894</v>
      </c>
    </row>
    <row r="2071" spans="1:18">
      <c r="A2071" s="28">
        <v>3</v>
      </c>
      <c r="B2071" s="29" t="s">
        <v>286</v>
      </c>
      <c r="C2071" s="29" t="s">
        <v>287</v>
      </c>
      <c r="D2071" s="29" t="s">
        <v>301</v>
      </c>
      <c r="E2071" s="29" t="s">
        <v>172</v>
      </c>
      <c r="F2071" s="28" t="s">
        <v>4810</v>
      </c>
      <c r="G2071" s="28" t="s">
        <v>4810</v>
      </c>
      <c r="H2071" s="28" t="s">
        <v>174</v>
      </c>
      <c r="I2071" s="28" t="s">
        <v>174</v>
      </c>
      <c r="J2071" s="30" t="s">
        <v>174</v>
      </c>
      <c r="K2071" s="28" t="s">
        <v>267</v>
      </c>
      <c r="L2071" s="31">
        <v>42583</v>
      </c>
      <c r="M2071" s="28">
        <v>8</v>
      </c>
      <c r="N2071" s="32" t="s">
        <v>184</v>
      </c>
      <c r="O2071" s="28" t="s">
        <v>204</v>
      </c>
      <c r="P2071" s="28" t="s">
        <v>4895</v>
      </c>
      <c r="Q2071" s="28" t="s">
        <v>585</v>
      </c>
      <c r="R2071" s="28" t="s">
        <v>589</v>
      </c>
    </row>
    <row r="2072" spans="1:18">
      <c r="A2072" s="28">
        <v>3</v>
      </c>
      <c r="B2072" s="29" t="s">
        <v>286</v>
      </c>
      <c r="C2072" s="29" t="s">
        <v>287</v>
      </c>
      <c r="D2072" s="29" t="s">
        <v>301</v>
      </c>
      <c r="E2072" s="29" t="s">
        <v>172</v>
      </c>
      <c r="F2072" s="28" t="s">
        <v>4810</v>
      </c>
      <c r="G2072" s="28" t="s">
        <v>4810</v>
      </c>
      <c r="H2072" s="28" t="s">
        <v>174</v>
      </c>
      <c r="I2072" s="28" t="s">
        <v>174</v>
      </c>
      <c r="J2072" s="30" t="s">
        <v>174</v>
      </c>
      <c r="K2072" s="28" t="s">
        <v>302</v>
      </c>
      <c r="L2072" s="31">
        <v>43282</v>
      </c>
      <c r="M2072" s="28">
        <v>7</v>
      </c>
      <c r="N2072" s="32" t="s">
        <v>184</v>
      </c>
      <c r="O2072" s="28" t="s">
        <v>204</v>
      </c>
      <c r="P2072" s="28" t="s">
        <v>4896</v>
      </c>
      <c r="Q2072" s="28" t="s">
        <v>585</v>
      </c>
      <c r="R2072" s="28" t="s">
        <v>589</v>
      </c>
    </row>
    <row r="2073" spans="1:18">
      <c r="A2073" s="28">
        <v>3</v>
      </c>
      <c r="B2073" s="29" t="s">
        <v>286</v>
      </c>
      <c r="C2073" s="29" t="s">
        <v>287</v>
      </c>
      <c r="D2073" s="29" t="s">
        <v>301</v>
      </c>
      <c r="E2073" s="29" t="s">
        <v>172</v>
      </c>
      <c r="F2073" s="28" t="s">
        <v>4810</v>
      </c>
      <c r="G2073" s="28" t="s">
        <v>4810</v>
      </c>
      <c r="H2073" s="28" t="s">
        <v>174</v>
      </c>
      <c r="I2073" s="28" t="s">
        <v>174</v>
      </c>
      <c r="J2073" s="30" t="s">
        <v>174</v>
      </c>
      <c r="K2073" s="28" t="s">
        <v>212</v>
      </c>
      <c r="L2073" s="31">
        <v>43313</v>
      </c>
      <c r="M2073" s="28">
        <v>8</v>
      </c>
      <c r="N2073" s="32" t="s">
        <v>184</v>
      </c>
      <c r="O2073" s="28" t="s">
        <v>204</v>
      </c>
      <c r="P2073" s="28" t="s">
        <v>4897</v>
      </c>
      <c r="Q2073" s="28" t="s">
        <v>585</v>
      </c>
      <c r="R2073" s="28" t="s">
        <v>586</v>
      </c>
    </row>
    <row r="2074" spans="1:18" hidden="1">
      <c r="A2074" s="28">
        <v>4</v>
      </c>
      <c r="B2074" s="29" t="s">
        <v>306</v>
      </c>
      <c r="C2074" s="29" t="s">
        <v>307</v>
      </c>
      <c r="D2074" s="29" t="s">
        <v>592</v>
      </c>
      <c r="E2074" s="29" t="s">
        <v>172</v>
      </c>
      <c r="F2074" s="28" t="s">
        <v>4810</v>
      </c>
      <c r="G2074" s="28" t="s">
        <v>4810</v>
      </c>
      <c r="H2074" s="28" t="s">
        <v>174</v>
      </c>
      <c r="I2074" s="28" t="s">
        <v>174</v>
      </c>
      <c r="J2074" s="30" t="s">
        <v>174</v>
      </c>
      <c r="K2074" s="28" t="s">
        <v>742</v>
      </c>
      <c r="L2074" s="31">
        <v>42948</v>
      </c>
      <c r="M2074" s="28">
        <v>8</v>
      </c>
      <c r="N2074" s="32" t="s">
        <v>184</v>
      </c>
      <c r="O2074" s="28" t="s">
        <v>204</v>
      </c>
      <c r="P2074" s="28" t="s">
        <v>4898</v>
      </c>
      <c r="Q2074" s="28" t="s">
        <v>4899</v>
      </c>
      <c r="R2074" s="28" t="s">
        <v>2443</v>
      </c>
    </row>
    <row r="2075" spans="1:18" hidden="1">
      <c r="A2075" s="28">
        <v>4</v>
      </c>
      <c r="B2075" s="29" t="s">
        <v>306</v>
      </c>
      <c r="C2075" s="29" t="s">
        <v>307</v>
      </c>
      <c r="D2075" s="29" t="s">
        <v>592</v>
      </c>
      <c r="E2075" s="29" t="s">
        <v>172</v>
      </c>
      <c r="F2075" s="28" t="s">
        <v>4810</v>
      </c>
      <c r="G2075" s="28" t="s">
        <v>4810</v>
      </c>
      <c r="H2075" s="28" t="s">
        <v>174</v>
      </c>
      <c r="I2075" s="28" t="s">
        <v>174</v>
      </c>
      <c r="J2075" s="30" t="s">
        <v>174</v>
      </c>
      <c r="K2075" s="28" t="s">
        <v>190</v>
      </c>
      <c r="L2075" s="31">
        <v>44287</v>
      </c>
      <c r="M2075" s="28">
        <v>4</v>
      </c>
      <c r="N2075" s="32" t="s">
        <v>191</v>
      </c>
      <c r="O2075" s="28" t="s">
        <v>204</v>
      </c>
      <c r="P2075" s="28" t="s">
        <v>4900</v>
      </c>
      <c r="Q2075" s="28" t="s">
        <v>4901</v>
      </c>
      <c r="R2075" s="28" t="s">
        <v>4902</v>
      </c>
    </row>
    <row r="2076" spans="1:18" hidden="1">
      <c r="A2076" s="28">
        <v>4</v>
      </c>
      <c r="B2076" s="29" t="s">
        <v>306</v>
      </c>
      <c r="C2076" s="29" t="s">
        <v>307</v>
      </c>
      <c r="D2076" s="29" t="s">
        <v>604</v>
      </c>
      <c r="E2076" s="29" t="s">
        <v>172</v>
      </c>
      <c r="F2076" s="28" t="s">
        <v>4810</v>
      </c>
      <c r="G2076" s="28" t="s">
        <v>4810</v>
      </c>
      <c r="H2076" s="28" t="s">
        <v>174</v>
      </c>
      <c r="I2076" s="28" t="s">
        <v>174</v>
      </c>
      <c r="J2076" s="30" t="s">
        <v>174</v>
      </c>
      <c r="K2076" s="28" t="s">
        <v>257</v>
      </c>
      <c r="L2076" s="31">
        <v>42552</v>
      </c>
      <c r="M2076" s="28">
        <v>7</v>
      </c>
      <c r="N2076" s="32" t="s">
        <v>184</v>
      </c>
      <c r="O2076" s="28" t="s">
        <v>204</v>
      </c>
      <c r="P2076" s="28" t="s">
        <v>4903</v>
      </c>
      <c r="Q2076" s="28" t="s">
        <v>4899</v>
      </c>
      <c r="R2076" s="28" t="s">
        <v>2443</v>
      </c>
    </row>
    <row r="2077" spans="1:18" hidden="1">
      <c r="A2077" s="28">
        <v>4</v>
      </c>
      <c r="B2077" s="29" t="s">
        <v>306</v>
      </c>
      <c r="C2077" s="29" t="s">
        <v>307</v>
      </c>
      <c r="D2077" s="29" t="s">
        <v>308</v>
      </c>
      <c r="E2077" s="29" t="s">
        <v>172</v>
      </c>
      <c r="F2077" s="28" t="s">
        <v>4810</v>
      </c>
      <c r="G2077" s="28" t="s">
        <v>4810</v>
      </c>
      <c r="H2077" s="28" t="s">
        <v>174</v>
      </c>
      <c r="I2077" s="28" t="s">
        <v>174</v>
      </c>
      <c r="J2077" s="30" t="s">
        <v>174</v>
      </c>
      <c r="K2077" s="28" t="s">
        <v>263</v>
      </c>
      <c r="L2077" s="31">
        <v>42430</v>
      </c>
      <c r="M2077" s="28">
        <v>3</v>
      </c>
      <c r="N2077" s="32" t="s">
        <v>191</v>
      </c>
      <c r="O2077" s="28" t="s">
        <v>204</v>
      </c>
      <c r="P2077" s="28" t="s">
        <v>4904</v>
      </c>
      <c r="Q2077" s="28" t="s">
        <v>4905</v>
      </c>
      <c r="R2077" s="28" t="s">
        <v>595</v>
      </c>
    </row>
    <row r="2078" spans="1:18" hidden="1">
      <c r="A2078" s="28">
        <v>4</v>
      </c>
      <c r="B2078" s="29" t="s">
        <v>306</v>
      </c>
      <c r="C2078" s="29" t="s">
        <v>307</v>
      </c>
      <c r="D2078" s="29" t="s">
        <v>308</v>
      </c>
      <c r="E2078" s="29" t="s">
        <v>172</v>
      </c>
      <c r="F2078" s="28" t="s">
        <v>4810</v>
      </c>
      <c r="G2078" s="28" t="s">
        <v>4810</v>
      </c>
      <c r="H2078" s="28" t="s">
        <v>174</v>
      </c>
      <c r="I2078" s="28" t="s">
        <v>174</v>
      </c>
      <c r="J2078" s="30" t="s">
        <v>174</v>
      </c>
      <c r="K2078" s="28" t="s">
        <v>198</v>
      </c>
      <c r="L2078" s="31">
        <v>42767</v>
      </c>
      <c r="M2078" s="28">
        <v>2</v>
      </c>
      <c r="N2078" s="32" t="s">
        <v>176</v>
      </c>
      <c r="O2078" s="28" t="s">
        <v>204</v>
      </c>
      <c r="P2078" s="28" t="s">
        <v>4906</v>
      </c>
      <c r="Q2078" s="28" t="s">
        <v>2442</v>
      </c>
      <c r="R2078" s="28" t="s">
        <v>2443</v>
      </c>
    </row>
    <row r="2079" spans="1:18" hidden="1">
      <c r="A2079" s="28">
        <v>4</v>
      </c>
      <c r="B2079" s="29" t="s">
        <v>306</v>
      </c>
      <c r="C2079" s="29" t="s">
        <v>307</v>
      </c>
      <c r="D2079" s="29" t="s">
        <v>308</v>
      </c>
      <c r="E2079" s="29" t="s">
        <v>172</v>
      </c>
      <c r="F2079" s="28" t="s">
        <v>4810</v>
      </c>
      <c r="G2079" s="28" t="s">
        <v>4810</v>
      </c>
      <c r="H2079" s="28" t="s">
        <v>174</v>
      </c>
      <c r="I2079" s="28" t="s">
        <v>174</v>
      </c>
      <c r="J2079" s="30" t="s">
        <v>174</v>
      </c>
      <c r="K2079" s="28" t="s">
        <v>271</v>
      </c>
      <c r="L2079" s="31">
        <v>42856</v>
      </c>
      <c r="M2079" s="28">
        <v>5</v>
      </c>
      <c r="N2079" s="32" t="s">
        <v>191</v>
      </c>
      <c r="O2079" s="28" t="s">
        <v>204</v>
      </c>
      <c r="P2079" s="28" t="s">
        <v>4907</v>
      </c>
      <c r="Q2079" s="28" t="s">
        <v>4908</v>
      </c>
      <c r="R2079" s="28" t="s">
        <v>598</v>
      </c>
    </row>
    <row r="2080" spans="1:18" hidden="1">
      <c r="A2080" s="28">
        <v>4</v>
      </c>
      <c r="B2080" s="29" t="s">
        <v>306</v>
      </c>
      <c r="C2080" s="29" t="s">
        <v>307</v>
      </c>
      <c r="D2080" s="29" t="s">
        <v>308</v>
      </c>
      <c r="E2080" s="29" t="s">
        <v>172</v>
      </c>
      <c r="F2080" s="28" t="s">
        <v>4810</v>
      </c>
      <c r="G2080" s="28" t="s">
        <v>4810</v>
      </c>
      <c r="H2080" s="28" t="s">
        <v>174</v>
      </c>
      <c r="I2080" s="28" t="s">
        <v>174</v>
      </c>
      <c r="J2080" s="30" t="s">
        <v>174</v>
      </c>
      <c r="K2080" s="28" t="s">
        <v>248</v>
      </c>
      <c r="L2080" s="31">
        <v>43070</v>
      </c>
      <c r="M2080" s="28">
        <v>12</v>
      </c>
      <c r="N2080" s="32" t="s">
        <v>176</v>
      </c>
      <c r="O2080" s="28" t="s">
        <v>204</v>
      </c>
      <c r="P2080" s="28" t="s">
        <v>4909</v>
      </c>
      <c r="Q2080" s="28" t="s">
        <v>2442</v>
      </c>
      <c r="R2080" s="28" t="s">
        <v>2443</v>
      </c>
    </row>
    <row r="2081" spans="1:18" hidden="1">
      <c r="A2081" s="28">
        <v>4</v>
      </c>
      <c r="B2081" s="29" t="s">
        <v>306</v>
      </c>
      <c r="C2081" s="29" t="s">
        <v>307</v>
      </c>
      <c r="D2081" s="29" t="s">
        <v>308</v>
      </c>
      <c r="E2081" s="29" t="s">
        <v>172</v>
      </c>
      <c r="F2081" s="28" t="s">
        <v>4810</v>
      </c>
      <c r="G2081" s="28" t="s">
        <v>4810</v>
      </c>
      <c r="H2081" s="28" t="s">
        <v>174</v>
      </c>
      <c r="I2081" s="28" t="s">
        <v>174</v>
      </c>
      <c r="J2081" s="30" t="s">
        <v>174</v>
      </c>
      <c r="K2081" s="28" t="s">
        <v>678</v>
      </c>
      <c r="L2081" s="31">
        <v>43344</v>
      </c>
      <c r="M2081" s="28">
        <v>9</v>
      </c>
      <c r="N2081" s="32" t="s">
        <v>191</v>
      </c>
      <c r="O2081" s="28" t="s">
        <v>204</v>
      </c>
      <c r="P2081" s="28" t="s">
        <v>4910</v>
      </c>
      <c r="Q2081" s="28" t="s">
        <v>4911</v>
      </c>
      <c r="R2081" s="28" t="s">
        <v>4912</v>
      </c>
    </row>
    <row r="2082" spans="1:18" hidden="1">
      <c r="A2082" s="28">
        <v>4</v>
      </c>
      <c r="B2082" s="29" t="s">
        <v>306</v>
      </c>
      <c r="C2082" s="29" t="s">
        <v>312</v>
      </c>
      <c r="D2082" s="29" t="s">
        <v>313</v>
      </c>
      <c r="E2082" s="29" t="s">
        <v>172</v>
      </c>
      <c r="F2082" s="28" t="s">
        <v>4810</v>
      </c>
      <c r="G2082" s="28" t="s">
        <v>4810</v>
      </c>
      <c r="H2082" s="28" t="s">
        <v>174</v>
      </c>
      <c r="I2082" s="28" t="s">
        <v>174</v>
      </c>
      <c r="J2082" s="30" t="s">
        <v>174</v>
      </c>
      <c r="K2082" s="28" t="s">
        <v>2736</v>
      </c>
      <c r="L2082" s="31">
        <v>42248</v>
      </c>
      <c r="M2082" s="28">
        <v>9</v>
      </c>
      <c r="N2082" s="32" t="s">
        <v>191</v>
      </c>
      <c r="O2082" s="28" t="s">
        <v>204</v>
      </c>
      <c r="P2082" s="28" t="s">
        <v>4913</v>
      </c>
      <c r="Q2082" s="28" t="s">
        <v>4914</v>
      </c>
      <c r="R2082" s="28" t="s">
        <v>4915</v>
      </c>
    </row>
    <row r="2083" spans="1:18" hidden="1">
      <c r="A2083" s="28">
        <v>4</v>
      </c>
      <c r="B2083" s="29" t="s">
        <v>306</v>
      </c>
      <c r="C2083" s="29" t="s">
        <v>312</v>
      </c>
      <c r="D2083" s="29" t="s">
        <v>313</v>
      </c>
      <c r="E2083" s="29" t="s">
        <v>172</v>
      </c>
      <c r="F2083" s="28" t="s">
        <v>4810</v>
      </c>
      <c r="G2083" s="28" t="s">
        <v>4810</v>
      </c>
      <c r="H2083" s="28" t="s">
        <v>174</v>
      </c>
      <c r="I2083" s="28" t="s">
        <v>174</v>
      </c>
      <c r="J2083" s="30" t="s">
        <v>174</v>
      </c>
      <c r="K2083" s="28" t="s">
        <v>232</v>
      </c>
      <c r="L2083" s="31">
        <v>42522</v>
      </c>
      <c r="M2083" s="28">
        <v>6</v>
      </c>
      <c r="N2083" s="32" t="s">
        <v>184</v>
      </c>
      <c r="O2083" s="28" t="s">
        <v>204</v>
      </c>
      <c r="P2083" s="28" t="s">
        <v>4916</v>
      </c>
      <c r="Q2083" s="28" t="s">
        <v>4917</v>
      </c>
      <c r="R2083" s="28" t="s">
        <v>4918</v>
      </c>
    </row>
    <row r="2084" spans="1:18" hidden="1">
      <c r="A2084" s="28">
        <v>4</v>
      </c>
      <c r="B2084" s="29" t="s">
        <v>306</v>
      </c>
      <c r="C2084" s="29" t="s">
        <v>312</v>
      </c>
      <c r="D2084" s="29" t="s">
        <v>313</v>
      </c>
      <c r="E2084" s="29" t="s">
        <v>172</v>
      </c>
      <c r="F2084" s="28" t="s">
        <v>4810</v>
      </c>
      <c r="G2084" s="28" t="s">
        <v>4810</v>
      </c>
      <c r="H2084" s="28" t="s">
        <v>174</v>
      </c>
      <c r="I2084" s="28" t="s">
        <v>174</v>
      </c>
      <c r="J2084" s="30" t="s">
        <v>174</v>
      </c>
      <c r="K2084" s="28" t="s">
        <v>401</v>
      </c>
      <c r="L2084" s="31">
        <v>42705</v>
      </c>
      <c r="M2084" s="28">
        <v>12</v>
      </c>
      <c r="N2084" s="32" t="s">
        <v>176</v>
      </c>
      <c r="O2084" s="28" t="s">
        <v>204</v>
      </c>
      <c r="P2084" s="28" t="s">
        <v>4919</v>
      </c>
      <c r="Q2084" s="28" t="s">
        <v>3468</v>
      </c>
      <c r="R2084" s="28" t="s">
        <v>3469</v>
      </c>
    </row>
    <row r="2085" spans="1:18" hidden="1">
      <c r="A2085" s="28">
        <v>4</v>
      </c>
      <c r="B2085" s="29" t="s">
        <v>306</v>
      </c>
      <c r="C2085" s="29" t="s">
        <v>312</v>
      </c>
      <c r="D2085" s="29" t="s">
        <v>313</v>
      </c>
      <c r="E2085" s="29" t="s">
        <v>172</v>
      </c>
      <c r="F2085" s="28" t="s">
        <v>4810</v>
      </c>
      <c r="G2085" s="28" t="s">
        <v>4810</v>
      </c>
      <c r="H2085" s="28" t="s">
        <v>174</v>
      </c>
      <c r="I2085" s="28" t="s">
        <v>174</v>
      </c>
      <c r="J2085" s="30" t="s">
        <v>174</v>
      </c>
      <c r="K2085" s="28" t="s">
        <v>289</v>
      </c>
      <c r="L2085" s="31">
        <v>42795</v>
      </c>
      <c r="M2085" s="28">
        <v>3</v>
      </c>
      <c r="N2085" s="32" t="s">
        <v>191</v>
      </c>
      <c r="O2085" s="28" t="s">
        <v>204</v>
      </c>
      <c r="P2085" s="28" t="s">
        <v>4920</v>
      </c>
      <c r="Q2085" s="28" t="s">
        <v>3486</v>
      </c>
      <c r="R2085" s="28" t="s">
        <v>3487</v>
      </c>
    </row>
    <row r="2086" spans="1:18" hidden="1">
      <c r="A2086" s="28">
        <v>4</v>
      </c>
      <c r="B2086" s="29" t="s">
        <v>306</v>
      </c>
      <c r="C2086" s="29" t="s">
        <v>312</v>
      </c>
      <c r="D2086" s="29" t="s">
        <v>313</v>
      </c>
      <c r="E2086" s="29" t="s">
        <v>172</v>
      </c>
      <c r="F2086" s="28" t="s">
        <v>4810</v>
      </c>
      <c r="G2086" s="28" t="s">
        <v>4810</v>
      </c>
      <c r="H2086" s="28" t="s">
        <v>174</v>
      </c>
      <c r="I2086" s="28" t="s">
        <v>174</v>
      </c>
      <c r="J2086" s="30" t="s">
        <v>174</v>
      </c>
      <c r="K2086" s="28" t="s">
        <v>971</v>
      </c>
      <c r="L2086" s="31">
        <v>42979</v>
      </c>
      <c r="M2086" s="28">
        <v>9</v>
      </c>
      <c r="N2086" s="32" t="s">
        <v>191</v>
      </c>
      <c r="O2086" s="28" t="s">
        <v>204</v>
      </c>
      <c r="P2086" s="28" t="s">
        <v>4921</v>
      </c>
      <c r="Q2086" s="28" t="s">
        <v>4922</v>
      </c>
      <c r="R2086" s="28" t="s">
        <v>4923</v>
      </c>
    </row>
    <row r="2087" spans="1:18" hidden="1">
      <c r="A2087" s="28">
        <v>4</v>
      </c>
      <c r="B2087" s="29" t="s">
        <v>306</v>
      </c>
      <c r="C2087" s="29" t="s">
        <v>312</v>
      </c>
      <c r="D2087" s="29" t="s">
        <v>313</v>
      </c>
      <c r="E2087" s="29" t="s">
        <v>172</v>
      </c>
      <c r="F2087" s="28" t="s">
        <v>4810</v>
      </c>
      <c r="G2087" s="28" t="s">
        <v>4810</v>
      </c>
      <c r="H2087" s="28" t="s">
        <v>174</v>
      </c>
      <c r="I2087" s="28" t="s">
        <v>174</v>
      </c>
      <c r="J2087" s="30" t="s">
        <v>174</v>
      </c>
      <c r="K2087" s="28" t="s">
        <v>435</v>
      </c>
      <c r="L2087" s="31">
        <v>43040</v>
      </c>
      <c r="M2087" s="28">
        <v>11</v>
      </c>
      <c r="N2087" s="32" t="s">
        <v>191</v>
      </c>
      <c r="O2087" s="28" t="s">
        <v>204</v>
      </c>
      <c r="P2087" s="28" t="s">
        <v>4924</v>
      </c>
      <c r="Q2087" s="28" t="s">
        <v>4925</v>
      </c>
      <c r="R2087" s="28" t="s">
        <v>4926</v>
      </c>
    </row>
    <row r="2088" spans="1:18" hidden="1">
      <c r="A2088" s="28">
        <v>4</v>
      </c>
      <c r="B2088" s="29" t="s">
        <v>306</v>
      </c>
      <c r="C2088" s="29" t="s">
        <v>312</v>
      </c>
      <c r="D2088" s="29" t="s">
        <v>313</v>
      </c>
      <c r="E2088" s="29" t="s">
        <v>172</v>
      </c>
      <c r="F2088" s="28" t="s">
        <v>4810</v>
      </c>
      <c r="G2088" s="28" t="s">
        <v>4810</v>
      </c>
      <c r="H2088" s="28" t="s">
        <v>174</v>
      </c>
      <c r="I2088" s="28" t="s">
        <v>174</v>
      </c>
      <c r="J2088" s="30" t="s">
        <v>174</v>
      </c>
      <c r="K2088" s="28" t="s">
        <v>473</v>
      </c>
      <c r="L2088" s="31">
        <v>43160</v>
      </c>
      <c r="M2088" s="28">
        <v>3</v>
      </c>
      <c r="N2088" s="32" t="s">
        <v>191</v>
      </c>
      <c r="O2088" s="28" t="s">
        <v>204</v>
      </c>
      <c r="P2088" s="28" t="s">
        <v>4927</v>
      </c>
      <c r="Q2088" s="28" t="s">
        <v>3486</v>
      </c>
      <c r="R2088" s="28" t="s">
        <v>3487</v>
      </c>
    </row>
    <row r="2089" spans="1:18" hidden="1">
      <c r="A2089" s="28">
        <v>4</v>
      </c>
      <c r="B2089" s="29" t="s">
        <v>306</v>
      </c>
      <c r="C2089" s="29" t="s">
        <v>312</v>
      </c>
      <c r="D2089" s="29" t="s">
        <v>313</v>
      </c>
      <c r="E2089" s="29" t="s">
        <v>172</v>
      </c>
      <c r="F2089" s="28" t="s">
        <v>4810</v>
      </c>
      <c r="G2089" s="28" t="s">
        <v>4810</v>
      </c>
      <c r="H2089" s="28" t="s">
        <v>174</v>
      </c>
      <c r="I2089" s="28" t="s">
        <v>174</v>
      </c>
      <c r="J2089" s="30" t="s">
        <v>174</v>
      </c>
      <c r="K2089" s="28" t="s">
        <v>501</v>
      </c>
      <c r="L2089" s="31">
        <v>43405</v>
      </c>
      <c r="M2089" s="28">
        <v>11</v>
      </c>
      <c r="N2089" s="32" t="s">
        <v>191</v>
      </c>
      <c r="O2089" s="28" t="s">
        <v>204</v>
      </c>
      <c r="P2089" s="28" t="s">
        <v>4928</v>
      </c>
      <c r="Q2089" s="28" t="s">
        <v>3490</v>
      </c>
      <c r="R2089" s="28" t="s">
        <v>3491</v>
      </c>
    </row>
    <row r="2090" spans="1:18" hidden="1">
      <c r="A2090" s="28">
        <v>4</v>
      </c>
      <c r="B2090" s="29" t="s">
        <v>306</v>
      </c>
      <c r="C2090" s="29" t="s">
        <v>312</v>
      </c>
      <c r="D2090" s="29" t="s">
        <v>313</v>
      </c>
      <c r="E2090" s="29" t="s">
        <v>172</v>
      </c>
      <c r="F2090" s="28" t="s">
        <v>4810</v>
      </c>
      <c r="G2090" s="28" t="s">
        <v>4810</v>
      </c>
      <c r="H2090" s="28" t="s">
        <v>174</v>
      </c>
      <c r="I2090" s="28" t="s">
        <v>174</v>
      </c>
      <c r="J2090" s="30" t="s">
        <v>174</v>
      </c>
      <c r="K2090" s="28" t="s">
        <v>236</v>
      </c>
      <c r="L2090" s="31">
        <v>43617</v>
      </c>
      <c r="M2090" s="28">
        <v>6</v>
      </c>
      <c r="N2090" s="32" t="s">
        <v>184</v>
      </c>
      <c r="O2090" s="28" t="s">
        <v>204</v>
      </c>
      <c r="P2090" s="28" t="s">
        <v>4929</v>
      </c>
      <c r="Q2090" s="28" t="s">
        <v>4930</v>
      </c>
      <c r="R2090" s="28" t="s">
        <v>4918</v>
      </c>
    </row>
    <row r="2091" spans="1:18" hidden="1">
      <c r="A2091" s="28">
        <v>4</v>
      </c>
      <c r="B2091" s="29" t="s">
        <v>306</v>
      </c>
      <c r="C2091" s="29" t="s">
        <v>312</v>
      </c>
      <c r="D2091" s="29" t="s">
        <v>313</v>
      </c>
      <c r="E2091" s="29" t="s">
        <v>172</v>
      </c>
      <c r="F2091" s="28" t="s">
        <v>4810</v>
      </c>
      <c r="G2091" s="28" t="s">
        <v>4810</v>
      </c>
      <c r="H2091" s="28" t="s">
        <v>174</v>
      </c>
      <c r="I2091" s="28" t="s">
        <v>174</v>
      </c>
      <c r="J2091" s="30" t="s">
        <v>174</v>
      </c>
      <c r="K2091" s="28" t="s">
        <v>430</v>
      </c>
      <c r="L2091" s="31">
        <v>44105</v>
      </c>
      <c r="M2091" s="28">
        <v>10</v>
      </c>
      <c r="N2091" s="32" t="s">
        <v>191</v>
      </c>
      <c r="O2091" s="28" t="s">
        <v>204</v>
      </c>
      <c r="P2091" s="28" t="s">
        <v>4931</v>
      </c>
      <c r="Q2091" s="28" t="s">
        <v>3486</v>
      </c>
      <c r="R2091" s="28" t="s">
        <v>3487</v>
      </c>
    </row>
    <row r="2092" spans="1:18" hidden="1">
      <c r="A2092" s="28">
        <v>4</v>
      </c>
      <c r="B2092" s="29" t="s">
        <v>306</v>
      </c>
      <c r="C2092" s="29" t="s">
        <v>1776</v>
      </c>
      <c r="D2092" s="29" t="s">
        <v>1777</v>
      </c>
      <c r="E2092" s="29" t="s">
        <v>172</v>
      </c>
      <c r="F2092" s="28" t="s">
        <v>4810</v>
      </c>
      <c r="G2092" s="28" t="s">
        <v>4810</v>
      </c>
      <c r="H2092" s="28" t="s">
        <v>174</v>
      </c>
      <c r="I2092" s="28" t="s">
        <v>174</v>
      </c>
      <c r="J2092" s="30" t="s">
        <v>174</v>
      </c>
      <c r="K2092" s="28" t="s">
        <v>730</v>
      </c>
      <c r="L2092" s="31">
        <v>44166</v>
      </c>
      <c r="M2092" s="28">
        <v>12</v>
      </c>
      <c r="N2092" s="32" t="s">
        <v>176</v>
      </c>
      <c r="O2092" s="28" t="s">
        <v>204</v>
      </c>
      <c r="P2092" s="28" t="s">
        <v>4932</v>
      </c>
      <c r="Q2092" s="28" t="s">
        <v>3496</v>
      </c>
      <c r="R2092" s="28" t="s">
        <v>3497</v>
      </c>
    </row>
    <row r="2093" spans="1:18" hidden="1">
      <c r="A2093" s="28">
        <v>4</v>
      </c>
      <c r="B2093" s="29" t="s">
        <v>306</v>
      </c>
      <c r="C2093" s="29" t="s">
        <v>1776</v>
      </c>
      <c r="D2093" s="29" t="s">
        <v>3494</v>
      </c>
      <c r="E2093" s="29" t="s">
        <v>172</v>
      </c>
      <c r="F2093" s="28" t="s">
        <v>4810</v>
      </c>
      <c r="G2093" s="28" t="s">
        <v>4810</v>
      </c>
      <c r="H2093" s="28" t="s">
        <v>174</v>
      </c>
      <c r="I2093" s="28" t="s">
        <v>174</v>
      </c>
      <c r="J2093" s="30" t="s">
        <v>174</v>
      </c>
      <c r="K2093" s="28" t="s">
        <v>183</v>
      </c>
      <c r="L2093" s="31">
        <v>43983</v>
      </c>
      <c r="M2093" s="28">
        <v>6</v>
      </c>
      <c r="N2093" s="32" t="s">
        <v>184</v>
      </c>
      <c r="O2093" s="28" t="s">
        <v>204</v>
      </c>
      <c r="P2093" s="28" t="s">
        <v>4933</v>
      </c>
      <c r="Q2093" s="28" t="s">
        <v>3496</v>
      </c>
      <c r="R2093" s="28" t="s">
        <v>3497</v>
      </c>
    </row>
    <row r="2094" spans="1:18" hidden="1">
      <c r="A2094" s="28">
        <v>4</v>
      </c>
      <c r="B2094" s="29" t="s">
        <v>306</v>
      </c>
      <c r="C2094" s="29" t="s">
        <v>624</v>
      </c>
      <c r="D2094" s="29" t="s">
        <v>625</v>
      </c>
      <c r="E2094" s="29" t="s">
        <v>172</v>
      </c>
      <c r="F2094" s="28" t="s">
        <v>4810</v>
      </c>
      <c r="G2094" s="28" t="s">
        <v>4810</v>
      </c>
      <c r="H2094" s="28" t="s">
        <v>174</v>
      </c>
      <c r="I2094" s="28" t="s">
        <v>174</v>
      </c>
      <c r="J2094" s="30" t="s">
        <v>174</v>
      </c>
      <c r="K2094" s="28" t="s">
        <v>651</v>
      </c>
      <c r="L2094" s="31">
        <v>42644</v>
      </c>
      <c r="M2094" s="28">
        <v>10</v>
      </c>
      <c r="N2094" s="32" t="s">
        <v>191</v>
      </c>
      <c r="O2094" s="28" t="s">
        <v>204</v>
      </c>
      <c r="P2094" s="28" t="s">
        <v>4934</v>
      </c>
      <c r="Q2094" s="28" t="s">
        <v>4935</v>
      </c>
      <c r="R2094" s="28" t="s">
        <v>2443</v>
      </c>
    </row>
    <row r="2095" spans="1:18" hidden="1">
      <c r="A2095" s="28">
        <v>4</v>
      </c>
      <c r="B2095" s="29" t="s">
        <v>306</v>
      </c>
      <c r="C2095" s="29" t="s">
        <v>624</v>
      </c>
      <c r="D2095" s="29" t="s">
        <v>630</v>
      </c>
      <c r="E2095" s="29" t="s">
        <v>172</v>
      </c>
      <c r="F2095" s="28" t="s">
        <v>4810</v>
      </c>
      <c r="G2095" s="28" t="s">
        <v>4810</v>
      </c>
      <c r="H2095" s="28" t="s">
        <v>174</v>
      </c>
      <c r="I2095" s="28" t="s">
        <v>174</v>
      </c>
      <c r="J2095" s="30" t="s">
        <v>174</v>
      </c>
      <c r="K2095" s="28" t="s">
        <v>752</v>
      </c>
      <c r="L2095" s="31">
        <v>43709</v>
      </c>
      <c r="M2095" s="28">
        <v>9</v>
      </c>
      <c r="N2095" s="32" t="s">
        <v>191</v>
      </c>
      <c r="O2095" s="28" t="s">
        <v>204</v>
      </c>
      <c r="P2095" s="28" t="s">
        <v>4936</v>
      </c>
      <c r="Q2095" s="28" t="s">
        <v>4937</v>
      </c>
      <c r="R2095" s="28" t="s">
        <v>3213</v>
      </c>
    </row>
    <row r="2096" spans="1:18" hidden="1">
      <c r="A2096" s="28">
        <v>4</v>
      </c>
      <c r="B2096" s="29" t="s">
        <v>306</v>
      </c>
      <c r="C2096" s="29" t="s">
        <v>624</v>
      </c>
      <c r="D2096" s="29" t="s">
        <v>630</v>
      </c>
      <c r="E2096" s="29" t="s">
        <v>172</v>
      </c>
      <c r="F2096" s="28" t="s">
        <v>4810</v>
      </c>
      <c r="G2096" s="28" t="s">
        <v>4810</v>
      </c>
      <c r="H2096" s="28" t="s">
        <v>174</v>
      </c>
      <c r="I2096" s="28" t="s">
        <v>174</v>
      </c>
      <c r="J2096" s="30" t="s">
        <v>174</v>
      </c>
      <c r="K2096" s="28" t="s">
        <v>397</v>
      </c>
      <c r="L2096" s="31">
        <v>43739</v>
      </c>
      <c r="M2096" s="28">
        <v>10</v>
      </c>
      <c r="N2096" s="32" t="s">
        <v>191</v>
      </c>
      <c r="O2096" s="28" t="s">
        <v>204</v>
      </c>
      <c r="P2096" s="28" t="s">
        <v>4938</v>
      </c>
      <c r="Q2096" s="28" t="s">
        <v>4939</v>
      </c>
      <c r="R2096" s="28" t="s">
        <v>3213</v>
      </c>
    </row>
    <row r="2097" spans="1:18" hidden="1">
      <c r="A2097" s="28">
        <v>4</v>
      </c>
      <c r="B2097" s="29" t="s">
        <v>306</v>
      </c>
      <c r="C2097" s="29" t="s">
        <v>624</v>
      </c>
      <c r="D2097" s="29" t="s">
        <v>630</v>
      </c>
      <c r="E2097" s="29" t="s">
        <v>172</v>
      </c>
      <c r="F2097" s="28" t="s">
        <v>4810</v>
      </c>
      <c r="G2097" s="28" t="s">
        <v>4810</v>
      </c>
      <c r="H2097" s="28" t="s">
        <v>174</v>
      </c>
      <c r="I2097" s="28" t="s">
        <v>174</v>
      </c>
      <c r="J2097" s="30" t="s">
        <v>174</v>
      </c>
      <c r="K2097" s="28" t="s">
        <v>190</v>
      </c>
      <c r="L2097" s="31">
        <v>44287</v>
      </c>
      <c r="M2097" s="28">
        <v>4</v>
      </c>
      <c r="N2097" s="32" t="s">
        <v>191</v>
      </c>
      <c r="O2097" s="28" t="s">
        <v>204</v>
      </c>
      <c r="P2097" s="28" t="s">
        <v>4940</v>
      </c>
      <c r="Q2097" s="28" t="s">
        <v>4941</v>
      </c>
      <c r="R2097" s="28" t="s">
        <v>3213</v>
      </c>
    </row>
    <row r="2098" spans="1:18" hidden="1">
      <c r="A2098" s="28">
        <v>4</v>
      </c>
      <c r="B2098" s="29" t="s">
        <v>306</v>
      </c>
      <c r="C2098" s="29" t="s">
        <v>318</v>
      </c>
      <c r="D2098" s="29" t="s">
        <v>323</v>
      </c>
      <c r="E2098" s="29" t="s">
        <v>172</v>
      </c>
      <c r="F2098" s="28" t="s">
        <v>4810</v>
      </c>
      <c r="G2098" s="28" t="s">
        <v>4810</v>
      </c>
      <c r="H2098" s="28" t="s">
        <v>174</v>
      </c>
      <c r="I2098" s="28" t="s">
        <v>174</v>
      </c>
      <c r="J2098" s="30" t="s">
        <v>174</v>
      </c>
      <c r="K2098" s="28" t="s">
        <v>485</v>
      </c>
      <c r="L2098" s="31">
        <v>42401</v>
      </c>
      <c r="M2098" s="28">
        <v>2</v>
      </c>
      <c r="N2098" s="32" t="s">
        <v>176</v>
      </c>
      <c r="O2098" s="28" t="s">
        <v>204</v>
      </c>
      <c r="P2098" s="28" t="s">
        <v>4942</v>
      </c>
      <c r="Q2098" s="28" t="s">
        <v>615</v>
      </c>
      <c r="R2098" s="28" t="s">
        <v>2823</v>
      </c>
    </row>
    <row r="2099" spans="1:18" hidden="1">
      <c r="A2099" s="28">
        <v>4</v>
      </c>
      <c r="B2099" s="29" t="s">
        <v>306</v>
      </c>
      <c r="C2099" s="29" t="s">
        <v>318</v>
      </c>
      <c r="D2099" s="29" t="s">
        <v>323</v>
      </c>
      <c r="E2099" s="29" t="s">
        <v>172</v>
      </c>
      <c r="F2099" s="28" t="s">
        <v>4810</v>
      </c>
      <c r="G2099" s="28" t="s">
        <v>4810</v>
      </c>
      <c r="H2099" s="28" t="s">
        <v>174</v>
      </c>
      <c r="I2099" s="28" t="s">
        <v>174</v>
      </c>
      <c r="J2099" s="30" t="s">
        <v>174</v>
      </c>
      <c r="K2099" s="28" t="s">
        <v>485</v>
      </c>
      <c r="L2099" s="31">
        <v>42401</v>
      </c>
      <c r="M2099" s="28">
        <v>2</v>
      </c>
      <c r="N2099" s="32" t="s">
        <v>176</v>
      </c>
      <c r="O2099" s="28" t="s">
        <v>204</v>
      </c>
      <c r="P2099" s="28" t="s">
        <v>4943</v>
      </c>
      <c r="Q2099" s="28" t="s">
        <v>4944</v>
      </c>
      <c r="R2099" s="28" t="s">
        <v>4945</v>
      </c>
    </row>
    <row r="2100" spans="1:18" hidden="1">
      <c r="A2100" s="28">
        <v>4</v>
      </c>
      <c r="B2100" s="29" t="s">
        <v>306</v>
      </c>
      <c r="C2100" s="29" t="s">
        <v>318</v>
      </c>
      <c r="D2100" s="29" t="s">
        <v>323</v>
      </c>
      <c r="E2100" s="29" t="s">
        <v>172</v>
      </c>
      <c r="F2100" s="28" t="s">
        <v>4810</v>
      </c>
      <c r="G2100" s="28" t="s">
        <v>4810</v>
      </c>
      <c r="H2100" s="28" t="s">
        <v>174</v>
      </c>
      <c r="I2100" s="28" t="s">
        <v>174</v>
      </c>
      <c r="J2100" s="30" t="s">
        <v>174</v>
      </c>
      <c r="K2100" s="28" t="s">
        <v>257</v>
      </c>
      <c r="L2100" s="31">
        <v>42552</v>
      </c>
      <c r="M2100" s="28">
        <v>7</v>
      </c>
      <c r="N2100" s="32" t="s">
        <v>184</v>
      </c>
      <c r="O2100" s="28" t="s">
        <v>204</v>
      </c>
      <c r="P2100" s="28" t="s">
        <v>4946</v>
      </c>
      <c r="Q2100" s="28" t="s">
        <v>4947</v>
      </c>
      <c r="R2100" s="28" t="s">
        <v>4948</v>
      </c>
    </row>
    <row r="2101" spans="1:18" hidden="1">
      <c r="A2101" s="28">
        <v>4</v>
      </c>
      <c r="B2101" s="29" t="s">
        <v>306</v>
      </c>
      <c r="C2101" s="29" t="s">
        <v>318</v>
      </c>
      <c r="D2101" s="29" t="s">
        <v>323</v>
      </c>
      <c r="E2101" s="29" t="s">
        <v>172</v>
      </c>
      <c r="F2101" s="28" t="s">
        <v>4810</v>
      </c>
      <c r="G2101" s="28" t="s">
        <v>4810</v>
      </c>
      <c r="H2101" s="28" t="s">
        <v>174</v>
      </c>
      <c r="I2101" s="28" t="s">
        <v>174</v>
      </c>
      <c r="J2101" s="30" t="s">
        <v>174</v>
      </c>
      <c r="K2101" s="28" t="s">
        <v>587</v>
      </c>
      <c r="L2101" s="31">
        <v>42736</v>
      </c>
      <c r="M2101" s="28">
        <v>1</v>
      </c>
      <c r="N2101" s="32" t="s">
        <v>176</v>
      </c>
      <c r="O2101" s="28" t="s">
        <v>204</v>
      </c>
      <c r="P2101" s="28" t="s">
        <v>4949</v>
      </c>
      <c r="Q2101" s="28" t="s">
        <v>4950</v>
      </c>
      <c r="R2101" s="28" t="s">
        <v>2823</v>
      </c>
    </row>
    <row r="2102" spans="1:18" hidden="1">
      <c r="A2102" s="28">
        <v>4</v>
      </c>
      <c r="B2102" s="29" t="s">
        <v>306</v>
      </c>
      <c r="C2102" s="29" t="s">
        <v>649</v>
      </c>
      <c r="D2102" s="29" t="s">
        <v>650</v>
      </c>
      <c r="E2102" s="29" t="s">
        <v>172</v>
      </c>
      <c r="F2102" s="28" t="s">
        <v>4810</v>
      </c>
      <c r="G2102" s="28" t="s">
        <v>4810</v>
      </c>
      <c r="H2102" s="28" t="s">
        <v>174</v>
      </c>
      <c r="I2102" s="28" t="s">
        <v>174</v>
      </c>
      <c r="J2102" s="30" t="s">
        <v>174</v>
      </c>
      <c r="K2102" s="28" t="s">
        <v>587</v>
      </c>
      <c r="L2102" s="31">
        <v>42736</v>
      </c>
      <c r="M2102" s="28">
        <v>1</v>
      </c>
      <c r="N2102" s="32" t="s">
        <v>176</v>
      </c>
      <c r="O2102" s="28" t="s">
        <v>204</v>
      </c>
      <c r="P2102" s="28" t="s">
        <v>4951</v>
      </c>
      <c r="Q2102" s="28" t="s">
        <v>4952</v>
      </c>
      <c r="R2102" s="28" t="s">
        <v>4953</v>
      </c>
    </row>
    <row r="2103" spans="1:18" hidden="1">
      <c r="A2103" s="28">
        <v>4</v>
      </c>
      <c r="B2103" s="29" t="s">
        <v>306</v>
      </c>
      <c r="C2103" s="29" t="s">
        <v>333</v>
      </c>
      <c r="D2103" s="29" t="s">
        <v>673</v>
      </c>
      <c r="E2103" s="29" t="s">
        <v>172</v>
      </c>
      <c r="F2103" s="28" t="s">
        <v>4810</v>
      </c>
      <c r="G2103" s="28" t="s">
        <v>4810</v>
      </c>
      <c r="H2103" s="28" t="s">
        <v>174</v>
      </c>
      <c r="I2103" s="28" t="s">
        <v>174</v>
      </c>
      <c r="J2103" s="30" t="s">
        <v>174</v>
      </c>
      <c r="K2103" s="28" t="s">
        <v>243</v>
      </c>
      <c r="L2103" s="31">
        <v>42461</v>
      </c>
      <c r="M2103" s="28">
        <v>4</v>
      </c>
      <c r="N2103" s="32" t="s">
        <v>191</v>
      </c>
      <c r="O2103" s="28" t="s">
        <v>204</v>
      </c>
      <c r="P2103" s="28" t="s">
        <v>4954</v>
      </c>
      <c r="Q2103" s="28" t="s">
        <v>680</v>
      </c>
      <c r="R2103" s="28" t="s">
        <v>4955</v>
      </c>
    </row>
    <row r="2104" spans="1:18" hidden="1">
      <c r="A2104" s="28">
        <v>4</v>
      </c>
      <c r="B2104" s="29" t="s">
        <v>306</v>
      </c>
      <c r="C2104" s="29" t="s">
        <v>333</v>
      </c>
      <c r="D2104" s="29" t="s">
        <v>673</v>
      </c>
      <c r="E2104" s="29" t="s">
        <v>172</v>
      </c>
      <c r="F2104" s="28" t="s">
        <v>4810</v>
      </c>
      <c r="G2104" s="28" t="s">
        <v>4810</v>
      </c>
      <c r="H2104" s="28" t="s">
        <v>174</v>
      </c>
      <c r="I2104" s="28" t="s">
        <v>174</v>
      </c>
      <c r="J2104" s="30" t="s">
        <v>174</v>
      </c>
      <c r="K2104" s="28" t="s">
        <v>962</v>
      </c>
      <c r="L2104" s="31">
        <v>44348</v>
      </c>
      <c r="M2104" s="28">
        <v>6</v>
      </c>
      <c r="N2104" s="32" t="s">
        <v>184</v>
      </c>
      <c r="O2104" s="28" t="s">
        <v>204</v>
      </c>
      <c r="P2104" s="28" t="s">
        <v>4956</v>
      </c>
      <c r="Q2104" s="28" t="s">
        <v>4957</v>
      </c>
      <c r="R2104" s="28" t="s">
        <v>4955</v>
      </c>
    </row>
    <row r="2105" spans="1:18" hidden="1">
      <c r="A2105" s="28">
        <v>4</v>
      </c>
      <c r="B2105" s="29" t="s">
        <v>306</v>
      </c>
      <c r="C2105" s="29" t="s">
        <v>333</v>
      </c>
      <c r="D2105" s="29" t="s">
        <v>673</v>
      </c>
      <c r="E2105" s="29" t="s">
        <v>172</v>
      </c>
      <c r="F2105" s="28" t="s">
        <v>4810</v>
      </c>
      <c r="G2105" s="28" t="s">
        <v>4810</v>
      </c>
      <c r="H2105" s="28" t="s">
        <v>174</v>
      </c>
      <c r="I2105" s="28" t="s">
        <v>174</v>
      </c>
      <c r="J2105" s="30" t="s">
        <v>174</v>
      </c>
      <c r="K2105" s="28" t="s">
        <v>345</v>
      </c>
      <c r="L2105" s="31">
        <v>44440</v>
      </c>
      <c r="M2105" s="28">
        <v>9</v>
      </c>
      <c r="N2105" s="32" t="s">
        <v>191</v>
      </c>
      <c r="O2105" s="28" t="s">
        <v>204</v>
      </c>
      <c r="P2105" s="28" t="s">
        <v>4958</v>
      </c>
      <c r="Q2105" s="28" t="s">
        <v>4959</v>
      </c>
      <c r="R2105" s="28" t="s">
        <v>4955</v>
      </c>
    </row>
    <row r="2106" spans="1:18" hidden="1">
      <c r="A2106" s="28">
        <v>4</v>
      </c>
      <c r="B2106" s="29" t="s">
        <v>306</v>
      </c>
      <c r="C2106" s="29" t="s">
        <v>339</v>
      </c>
      <c r="D2106" s="29" t="s">
        <v>687</v>
      </c>
      <c r="E2106" s="29" t="s">
        <v>172</v>
      </c>
      <c r="F2106" s="28" t="s">
        <v>4810</v>
      </c>
      <c r="G2106" s="28" t="s">
        <v>4810</v>
      </c>
      <c r="H2106" s="28" t="s">
        <v>174</v>
      </c>
      <c r="I2106" s="28" t="s">
        <v>174</v>
      </c>
      <c r="J2106" s="30" t="s">
        <v>174</v>
      </c>
      <c r="K2106" s="28" t="s">
        <v>214</v>
      </c>
      <c r="L2106" s="31">
        <v>43466</v>
      </c>
      <c r="M2106" s="28">
        <v>1</v>
      </c>
      <c r="N2106" s="32" t="s">
        <v>176</v>
      </c>
      <c r="O2106" s="28" t="s">
        <v>204</v>
      </c>
      <c r="P2106" s="28" t="s">
        <v>4960</v>
      </c>
      <c r="Q2106" s="28" t="s">
        <v>2619</v>
      </c>
      <c r="R2106" s="28" t="s">
        <v>2620</v>
      </c>
    </row>
    <row r="2107" spans="1:18" hidden="1">
      <c r="A2107" s="28">
        <v>4</v>
      </c>
      <c r="B2107" s="29" t="s">
        <v>306</v>
      </c>
      <c r="C2107" s="29" t="s">
        <v>339</v>
      </c>
      <c r="D2107" s="29" t="s">
        <v>340</v>
      </c>
      <c r="E2107" s="29" t="s">
        <v>172</v>
      </c>
      <c r="F2107" s="28" t="s">
        <v>4810</v>
      </c>
      <c r="G2107" s="28" t="s">
        <v>4810</v>
      </c>
      <c r="H2107" s="28" t="s">
        <v>174</v>
      </c>
      <c r="I2107" s="28" t="s">
        <v>174</v>
      </c>
      <c r="J2107" s="30" t="s">
        <v>174</v>
      </c>
      <c r="K2107" s="28" t="s">
        <v>263</v>
      </c>
      <c r="L2107" s="31">
        <v>42430</v>
      </c>
      <c r="M2107" s="28">
        <v>3</v>
      </c>
      <c r="N2107" s="32" t="s">
        <v>191</v>
      </c>
      <c r="O2107" s="28" t="s">
        <v>204</v>
      </c>
      <c r="P2107" s="28" t="s">
        <v>4961</v>
      </c>
      <c r="Q2107" s="28" t="s">
        <v>4962</v>
      </c>
      <c r="R2107" s="28" t="s">
        <v>690</v>
      </c>
    </row>
    <row r="2108" spans="1:18" hidden="1">
      <c r="A2108" s="28">
        <v>4</v>
      </c>
      <c r="B2108" s="29" t="s">
        <v>306</v>
      </c>
      <c r="C2108" s="29" t="s">
        <v>339</v>
      </c>
      <c r="D2108" s="29" t="s">
        <v>340</v>
      </c>
      <c r="E2108" s="29" t="s">
        <v>172</v>
      </c>
      <c r="F2108" s="28" t="s">
        <v>4810</v>
      </c>
      <c r="G2108" s="28" t="s">
        <v>4810</v>
      </c>
      <c r="H2108" s="28" t="s">
        <v>174</v>
      </c>
      <c r="I2108" s="28" t="s">
        <v>174</v>
      </c>
      <c r="J2108" s="30" t="s">
        <v>174</v>
      </c>
      <c r="K2108" s="28" t="s">
        <v>401</v>
      </c>
      <c r="L2108" s="31">
        <v>42705</v>
      </c>
      <c r="M2108" s="28">
        <v>12</v>
      </c>
      <c r="N2108" s="32" t="s">
        <v>176</v>
      </c>
      <c r="O2108" s="28" t="s">
        <v>204</v>
      </c>
      <c r="P2108" s="28" t="s">
        <v>4963</v>
      </c>
      <c r="Q2108" s="28" t="s">
        <v>4964</v>
      </c>
      <c r="R2108" s="28" t="s">
        <v>690</v>
      </c>
    </row>
    <row r="2109" spans="1:18" hidden="1">
      <c r="A2109" s="28">
        <v>4</v>
      </c>
      <c r="B2109" s="29" t="s">
        <v>306</v>
      </c>
      <c r="C2109" s="29" t="s">
        <v>339</v>
      </c>
      <c r="D2109" s="29" t="s">
        <v>340</v>
      </c>
      <c r="E2109" s="29" t="s">
        <v>172</v>
      </c>
      <c r="F2109" s="28" t="s">
        <v>4810</v>
      </c>
      <c r="G2109" s="28" t="s">
        <v>4810</v>
      </c>
      <c r="H2109" s="28" t="s">
        <v>174</v>
      </c>
      <c r="I2109" s="28" t="s">
        <v>174</v>
      </c>
      <c r="J2109" s="30" t="s">
        <v>174</v>
      </c>
      <c r="K2109" s="28" t="s">
        <v>289</v>
      </c>
      <c r="L2109" s="31">
        <v>42795</v>
      </c>
      <c r="M2109" s="28">
        <v>3</v>
      </c>
      <c r="N2109" s="32" t="s">
        <v>191</v>
      </c>
      <c r="O2109" s="28" t="s">
        <v>204</v>
      </c>
      <c r="P2109" s="28" t="s">
        <v>4965</v>
      </c>
      <c r="Q2109" s="28" t="s">
        <v>4962</v>
      </c>
      <c r="R2109" s="28" t="s">
        <v>690</v>
      </c>
    </row>
    <row r="2110" spans="1:18" hidden="1">
      <c r="A2110" s="28">
        <v>4</v>
      </c>
      <c r="B2110" s="29" t="s">
        <v>306</v>
      </c>
      <c r="C2110" s="29" t="s">
        <v>339</v>
      </c>
      <c r="D2110" s="29" t="s">
        <v>340</v>
      </c>
      <c r="E2110" s="29" t="s">
        <v>172</v>
      </c>
      <c r="F2110" s="28" t="s">
        <v>4810</v>
      </c>
      <c r="G2110" s="28" t="s">
        <v>4810</v>
      </c>
      <c r="H2110" s="28" t="s">
        <v>174</v>
      </c>
      <c r="I2110" s="28" t="s">
        <v>174</v>
      </c>
      <c r="J2110" s="30" t="s">
        <v>174</v>
      </c>
      <c r="K2110" s="28" t="s">
        <v>302</v>
      </c>
      <c r="L2110" s="31">
        <v>43282</v>
      </c>
      <c r="M2110" s="28">
        <v>7</v>
      </c>
      <c r="N2110" s="32" t="s">
        <v>184</v>
      </c>
      <c r="O2110" s="28" t="s">
        <v>204</v>
      </c>
      <c r="P2110" s="28" t="s">
        <v>4966</v>
      </c>
      <c r="Q2110" s="28" t="s">
        <v>689</v>
      </c>
      <c r="R2110" s="28" t="s">
        <v>690</v>
      </c>
    </row>
    <row r="2111" spans="1:18" hidden="1">
      <c r="A2111" s="28">
        <v>4</v>
      </c>
      <c r="B2111" s="29" t="s">
        <v>306</v>
      </c>
      <c r="C2111" s="29" t="s">
        <v>339</v>
      </c>
      <c r="D2111" s="29" t="s">
        <v>340</v>
      </c>
      <c r="E2111" s="29" t="s">
        <v>172</v>
      </c>
      <c r="F2111" s="28" t="s">
        <v>4810</v>
      </c>
      <c r="G2111" s="28" t="s">
        <v>4810</v>
      </c>
      <c r="H2111" s="28" t="s">
        <v>174</v>
      </c>
      <c r="I2111" s="28" t="s">
        <v>174</v>
      </c>
      <c r="J2111" s="30" t="s">
        <v>174</v>
      </c>
      <c r="K2111" s="28" t="s">
        <v>479</v>
      </c>
      <c r="L2111" s="31">
        <v>43770</v>
      </c>
      <c r="M2111" s="28">
        <v>11</v>
      </c>
      <c r="N2111" s="32" t="s">
        <v>191</v>
      </c>
      <c r="O2111" s="28" t="s">
        <v>204</v>
      </c>
      <c r="P2111" s="28" t="s">
        <v>4967</v>
      </c>
      <c r="Q2111" s="28" t="s">
        <v>4968</v>
      </c>
      <c r="R2111" s="28" t="s">
        <v>4969</v>
      </c>
    </row>
    <row r="2112" spans="1:18" hidden="1">
      <c r="A2112" s="28">
        <v>4</v>
      </c>
      <c r="B2112" s="29" t="s">
        <v>306</v>
      </c>
      <c r="C2112" s="29" t="s">
        <v>339</v>
      </c>
      <c r="D2112" s="29" t="s">
        <v>340</v>
      </c>
      <c r="E2112" s="29" t="s">
        <v>172</v>
      </c>
      <c r="F2112" s="28" t="s">
        <v>4810</v>
      </c>
      <c r="G2112" s="28" t="s">
        <v>4810</v>
      </c>
      <c r="H2112" s="28" t="s">
        <v>174</v>
      </c>
      <c r="I2112" s="28" t="s">
        <v>174</v>
      </c>
      <c r="J2112" s="30" t="s">
        <v>174</v>
      </c>
      <c r="K2112" s="28" t="s">
        <v>324</v>
      </c>
      <c r="L2112" s="31">
        <v>43862</v>
      </c>
      <c r="M2112" s="28">
        <v>2</v>
      </c>
      <c r="N2112" s="32" t="s">
        <v>176</v>
      </c>
      <c r="O2112" s="28" t="s">
        <v>204</v>
      </c>
      <c r="P2112" s="28" t="s">
        <v>4970</v>
      </c>
      <c r="Q2112" s="28" t="s">
        <v>4971</v>
      </c>
      <c r="R2112" s="28" t="s">
        <v>690</v>
      </c>
    </row>
    <row r="2113" spans="1:18" hidden="1">
      <c r="A2113" s="28">
        <v>4</v>
      </c>
      <c r="B2113" s="29" t="s">
        <v>306</v>
      </c>
      <c r="C2113" s="29" t="s">
        <v>339</v>
      </c>
      <c r="D2113" s="29" t="s">
        <v>340</v>
      </c>
      <c r="E2113" s="29" t="s">
        <v>172</v>
      </c>
      <c r="F2113" s="28" t="s">
        <v>4810</v>
      </c>
      <c r="G2113" s="28" t="s">
        <v>4810</v>
      </c>
      <c r="H2113" s="28" t="s">
        <v>174</v>
      </c>
      <c r="I2113" s="28" t="s">
        <v>174</v>
      </c>
      <c r="J2113" s="30" t="s">
        <v>174</v>
      </c>
      <c r="K2113" s="28" t="s">
        <v>646</v>
      </c>
      <c r="L2113" s="31">
        <v>44075</v>
      </c>
      <c r="M2113" s="28">
        <v>9</v>
      </c>
      <c r="N2113" s="32" t="s">
        <v>191</v>
      </c>
      <c r="O2113" s="28" t="s">
        <v>204</v>
      </c>
      <c r="P2113" s="28" t="s">
        <v>4972</v>
      </c>
      <c r="Q2113" s="28" t="s">
        <v>4973</v>
      </c>
      <c r="R2113" s="28" t="s">
        <v>690</v>
      </c>
    </row>
    <row r="2114" spans="1:18" hidden="1">
      <c r="A2114" s="28">
        <v>5</v>
      </c>
      <c r="B2114" s="29" t="s">
        <v>349</v>
      </c>
      <c r="C2114" s="29" t="s">
        <v>350</v>
      </c>
      <c r="D2114" s="29" t="s">
        <v>725</v>
      </c>
      <c r="E2114" s="29" t="s">
        <v>172</v>
      </c>
      <c r="F2114" s="28" t="s">
        <v>4810</v>
      </c>
      <c r="G2114" s="28" t="s">
        <v>4810</v>
      </c>
      <c r="H2114" s="28" t="s">
        <v>174</v>
      </c>
      <c r="I2114" s="28" t="s">
        <v>174</v>
      </c>
      <c r="J2114" s="30" t="s">
        <v>174</v>
      </c>
      <c r="K2114" s="28" t="s">
        <v>430</v>
      </c>
      <c r="L2114" s="31">
        <v>44105</v>
      </c>
      <c r="M2114" s="28">
        <v>10</v>
      </c>
      <c r="N2114" s="32" t="s">
        <v>191</v>
      </c>
      <c r="O2114" s="28" t="s">
        <v>204</v>
      </c>
      <c r="P2114" s="28" t="s">
        <v>4974</v>
      </c>
      <c r="Q2114" s="28" t="s">
        <v>4975</v>
      </c>
      <c r="R2114" s="28" t="s">
        <v>4976</v>
      </c>
    </row>
    <row r="2115" spans="1:18" hidden="1">
      <c r="A2115" s="28">
        <v>5</v>
      </c>
      <c r="B2115" s="29" t="s">
        <v>349</v>
      </c>
      <c r="C2115" s="29" t="s">
        <v>355</v>
      </c>
      <c r="D2115" s="29" t="s">
        <v>360</v>
      </c>
      <c r="E2115" s="29" t="s">
        <v>172</v>
      </c>
      <c r="F2115" s="28" t="s">
        <v>4810</v>
      </c>
      <c r="G2115" s="28" t="s">
        <v>4810</v>
      </c>
      <c r="H2115" s="28" t="s">
        <v>174</v>
      </c>
      <c r="I2115" s="28" t="s">
        <v>174</v>
      </c>
      <c r="J2115" s="30" t="s">
        <v>174</v>
      </c>
      <c r="K2115" s="28" t="s">
        <v>424</v>
      </c>
      <c r="L2115" s="31">
        <v>43678</v>
      </c>
      <c r="M2115" s="28">
        <v>8</v>
      </c>
      <c r="N2115" s="32" t="s">
        <v>184</v>
      </c>
      <c r="O2115" s="28" t="s">
        <v>204</v>
      </c>
      <c r="P2115" s="28" t="s">
        <v>4977</v>
      </c>
      <c r="Q2115" s="28" t="s">
        <v>4978</v>
      </c>
      <c r="R2115" s="28" t="s">
        <v>4979</v>
      </c>
    </row>
    <row r="2116" spans="1:18" hidden="1">
      <c r="A2116" s="28">
        <v>6</v>
      </c>
      <c r="B2116" s="29" t="s">
        <v>365</v>
      </c>
      <c r="C2116" s="29" t="s">
        <v>366</v>
      </c>
      <c r="D2116" s="29" t="s">
        <v>367</v>
      </c>
      <c r="E2116" s="29" t="s">
        <v>172</v>
      </c>
      <c r="F2116" s="28" t="s">
        <v>4810</v>
      </c>
      <c r="G2116" s="28" t="s">
        <v>4810</v>
      </c>
      <c r="H2116" s="28" t="s">
        <v>174</v>
      </c>
      <c r="I2116" s="28" t="s">
        <v>174</v>
      </c>
      <c r="J2116" s="30" t="s">
        <v>174</v>
      </c>
      <c r="K2116" s="28" t="s">
        <v>232</v>
      </c>
      <c r="L2116" s="31">
        <v>42522</v>
      </c>
      <c r="M2116" s="28">
        <v>6</v>
      </c>
      <c r="N2116" s="32" t="s">
        <v>184</v>
      </c>
      <c r="O2116" s="28" t="s">
        <v>204</v>
      </c>
      <c r="P2116" s="28" t="s">
        <v>4980</v>
      </c>
      <c r="Q2116" s="28" t="s">
        <v>4981</v>
      </c>
      <c r="R2116" s="28" t="s">
        <v>2693</v>
      </c>
    </row>
    <row r="2117" spans="1:18" hidden="1">
      <c r="A2117" s="28">
        <v>1</v>
      </c>
      <c r="B2117" s="29" t="s">
        <v>379</v>
      </c>
      <c r="C2117" s="29" t="s">
        <v>388</v>
      </c>
      <c r="D2117" s="29" t="s">
        <v>389</v>
      </c>
      <c r="E2117" s="29" t="s">
        <v>172</v>
      </c>
      <c r="F2117" s="28" t="s">
        <v>4982</v>
      </c>
      <c r="G2117" s="28" t="s">
        <v>4982</v>
      </c>
      <c r="H2117" s="28" t="s">
        <v>174</v>
      </c>
      <c r="I2117" s="28" t="s">
        <v>174</v>
      </c>
      <c r="J2117" s="30" t="s">
        <v>174</v>
      </c>
      <c r="K2117" s="28" t="s">
        <v>2131</v>
      </c>
      <c r="L2117" s="31">
        <v>44531</v>
      </c>
      <c r="M2117" s="28">
        <v>12</v>
      </c>
      <c r="N2117" s="32" t="s">
        <v>176</v>
      </c>
      <c r="O2117" s="28" t="s">
        <v>177</v>
      </c>
      <c r="P2117" s="28" t="s">
        <v>4983</v>
      </c>
      <c r="Q2117" s="28" t="s">
        <v>4984</v>
      </c>
      <c r="R2117" s="28" t="s">
        <v>4985</v>
      </c>
    </row>
    <row r="2118" spans="1:18" hidden="1">
      <c r="A2118" s="28">
        <v>1</v>
      </c>
      <c r="B2118" s="29" t="s">
        <v>379</v>
      </c>
      <c r="C2118" s="29" t="s">
        <v>1048</v>
      </c>
      <c r="D2118" s="29" t="s">
        <v>1074</v>
      </c>
      <c r="E2118" s="29" t="s">
        <v>172</v>
      </c>
      <c r="F2118" s="28" t="s">
        <v>4982</v>
      </c>
      <c r="G2118" s="28" t="s">
        <v>4982</v>
      </c>
      <c r="H2118" s="28" t="s">
        <v>174</v>
      </c>
      <c r="I2118" s="28" t="s">
        <v>174</v>
      </c>
      <c r="J2118" s="30" t="s">
        <v>174</v>
      </c>
      <c r="K2118" s="28" t="s">
        <v>198</v>
      </c>
      <c r="L2118" s="31">
        <v>42767</v>
      </c>
      <c r="M2118" s="28">
        <v>2</v>
      </c>
      <c r="N2118" s="32" t="s">
        <v>176</v>
      </c>
      <c r="O2118" s="28" t="s">
        <v>177</v>
      </c>
      <c r="P2118" s="28" t="s">
        <v>4986</v>
      </c>
      <c r="Q2118" s="28" t="s">
        <v>4987</v>
      </c>
      <c r="R2118" s="28" t="s">
        <v>4988</v>
      </c>
    </row>
    <row r="2119" spans="1:18" hidden="1">
      <c r="A2119" s="28">
        <v>1</v>
      </c>
      <c r="B2119" s="29" t="s">
        <v>379</v>
      </c>
      <c r="C2119" s="29" t="s">
        <v>1193</v>
      </c>
      <c r="D2119" s="29" t="s">
        <v>1194</v>
      </c>
      <c r="E2119" s="29" t="s">
        <v>172</v>
      </c>
      <c r="F2119" s="28" t="s">
        <v>4982</v>
      </c>
      <c r="G2119" s="28" t="s">
        <v>4982</v>
      </c>
      <c r="H2119" s="28" t="s">
        <v>174</v>
      </c>
      <c r="I2119" s="28" t="s">
        <v>174</v>
      </c>
      <c r="J2119" s="30" t="s">
        <v>174</v>
      </c>
      <c r="K2119" s="28" t="s">
        <v>554</v>
      </c>
      <c r="L2119" s="31">
        <v>44317</v>
      </c>
      <c r="M2119" s="28">
        <v>5</v>
      </c>
      <c r="N2119" s="32" t="s">
        <v>191</v>
      </c>
      <c r="O2119" s="28" t="s">
        <v>185</v>
      </c>
      <c r="P2119" s="28" t="s">
        <v>4989</v>
      </c>
      <c r="Q2119" s="28" t="s">
        <v>4990</v>
      </c>
      <c r="R2119" s="28" t="s">
        <v>4991</v>
      </c>
    </row>
    <row r="2120" spans="1:18" hidden="1">
      <c r="A2120" s="28">
        <v>1</v>
      </c>
      <c r="B2120" s="29" t="s">
        <v>379</v>
      </c>
      <c r="C2120" s="29" t="s">
        <v>4992</v>
      </c>
      <c r="D2120" s="29" t="s">
        <v>4993</v>
      </c>
      <c r="E2120" s="29" t="s">
        <v>172</v>
      </c>
      <c r="F2120" s="28" t="s">
        <v>4982</v>
      </c>
      <c r="G2120" s="28" t="s">
        <v>4982</v>
      </c>
      <c r="H2120" s="28" t="s">
        <v>174</v>
      </c>
      <c r="I2120" s="28" t="s">
        <v>174</v>
      </c>
      <c r="J2120" s="30" t="s">
        <v>174</v>
      </c>
      <c r="K2120" s="28" t="s">
        <v>473</v>
      </c>
      <c r="L2120" s="31">
        <v>43160</v>
      </c>
      <c r="M2120" s="28">
        <v>3</v>
      </c>
      <c r="N2120" s="32" t="s">
        <v>191</v>
      </c>
      <c r="O2120" s="28" t="s">
        <v>177</v>
      </c>
      <c r="P2120" s="28" t="s">
        <v>4994</v>
      </c>
      <c r="Q2120" s="28" t="s">
        <v>4995</v>
      </c>
      <c r="R2120" s="28" t="s">
        <v>4996</v>
      </c>
    </row>
    <row r="2121" spans="1:18" hidden="1">
      <c r="A2121" s="28">
        <v>11</v>
      </c>
      <c r="B2121" s="29" t="s">
        <v>169</v>
      </c>
      <c r="C2121" s="29" t="s">
        <v>181</v>
      </c>
      <c r="D2121" s="29" t="s">
        <v>182</v>
      </c>
      <c r="E2121" s="29" t="s">
        <v>172</v>
      </c>
      <c r="F2121" s="28" t="s">
        <v>4982</v>
      </c>
      <c r="G2121" s="28" t="s">
        <v>4982</v>
      </c>
      <c r="H2121" s="28" t="s">
        <v>174</v>
      </c>
      <c r="I2121" s="28" t="s">
        <v>174</v>
      </c>
      <c r="J2121" s="30" t="s">
        <v>174</v>
      </c>
      <c r="K2121" s="28" t="s">
        <v>646</v>
      </c>
      <c r="L2121" s="31">
        <v>44075</v>
      </c>
      <c r="M2121" s="28">
        <v>9</v>
      </c>
      <c r="N2121" s="32" t="s">
        <v>191</v>
      </c>
      <c r="O2121" s="28" t="s">
        <v>953</v>
      </c>
      <c r="P2121" s="28" t="s">
        <v>4997</v>
      </c>
      <c r="Q2121" s="28" t="s">
        <v>4998</v>
      </c>
      <c r="R2121" s="28" t="s">
        <v>3968</v>
      </c>
    </row>
    <row r="2122" spans="1:18" hidden="1">
      <c r="A2122" s="28">
        <v>11</v>
      </c>
      <c r="B2122" s="29" t="s">
        <v>169</v>
      </c>
      <c r="C2122" s="29" t="s">
        <v>181</v>
      </c>
      <c r="D2122" s="29" t="s">
        <v>189</v>
      </c>
      <c r="E2122" s="29" t="s">
        <v>172</v>
      </c>
      <c r="F2122" s="28" t="s">
        <v>4982</v>
      </c>
      <c r="G2122" s="28" t="s">
        <v>4982</v>
      </c>
      <c r="H2122" s="28" t="s">
        <v>174</v>
      </c>
      <c r="I2122" s="28" t="s">
        <v>174</v>
      </c>
      <c r="J2122" s="30" t="s">
        <v>174</v>
      </c>
      <c r="K2122" s="28" t="s">
        <v>473</v>
      </c>
      <c r="L2122" s="31">
        <v>43160</v>
      </c>
      <c r="M2122" s="28">
        <v>3</v>
      </c>
      <c r="N2122" s="32" t="s">
        <v>191</v>
      </c>
      <c r="O2122" s="28" t="s">
        <v>204</v>
      </c>
      <c r="P2122" s="28" t="s">
        <v>4999</v>
      </c>
      <c r="Q2122" s="28" t="s">
        <v>5000</v>
      </c>
      <c r="R2122" s="28" t="s">
        <v>3859</v>
      </c>
    </row>
    <row r="2123" spans="1:18" hidden="1">
      <c r="A2123" s="28">
        <v>11</v>
      </c>
      <c r="B2123" s="29" t="s">
        <v>169</v>
      </c>
      <c r="C2123" s="29" t="s">
        <v>181</v>
      </c>
      <c r="D2123" s="29" t="s">
        <v>189</v>
      </c>
      <c r="E2123" s="29" t="s">
        <v>172</v>
      </c>
      <c r="F2123" s="28" t="s">
        <v>4982</v>
      </c>
      <c r="G2123" s="28" t="s">
        <v>4982</v>
      </c>
      <c r="H2123" s="28" t="s">
        <v>174</v>
      </c>
      <c r="I2123" s="28" t="s">
        <v>174</v>
      </c>
      <c r="J2123" s="30" t="s">
        <v>174</v>
      </c>
      <c r="K2123" s="28" t="s">
        <v>345</v>
      </c>
      <c r="L2123" s="31">
        <v>44440</v>
      </c>
      <c r="M2123" s="28">
        <v>9</v>
      </c>
      <c r="N2123" s="32" t="s">
        <v>191</v>
      </c>
      <c r="O2123" s="28" t="s">
        <v>953</v>
      </c>
      <c r="P2123" s="28" t="s">
        <v>5001</v>
      </c>
      <c r="Q2123" s="28" t="s">
        <v>4998</v>
      </c>
      <c r="R2123" s="28" t="s">
        <v>3968</v>
      </c>
    </row>
    <row r="2124" spans="1:18" hidden="1">
      <c r="A2124" s="28">
        <v>12</v>
      </c>
      <c r="B2124" s="29" t="s">
        <v>195</v>
      </c>
      <c r="C2124" s="29" t="s">
        <v>230</v>
      </c>
      <c r="D2124" s="29" t="s">
        <v>231</v>
      </c>
      <c r="E2124" s="29" t="s">
        <v>172</v>
      </c>
      <c r="F2124" s="28" t="s">
        <v>4982</v>
      </c>
      <c r="G2124" s="28" t="s">
        <v>4982</v>
      </c>
      <c r="H2124" s="28" t="s">
        <v>174</v>
      </c>
      <c r="I2124" s="28" t="s">
        <v>174</v>
      </c>
      <c r="J2124" s="30" t="s">
        <v>174</v>
      </c>
      <c r="K2124" s="28" t="s">
        <v>501</v>
      </c>
      <c r="L2124" s="31">
        <v>43405</v>
      </c>
      <c r="M2124" s="28">
        <v>11</v>
      </c>
      <c r="N2124" s="32" t="s">
        <v>191</v>
      </c>
      <c r="O2124" s="28" t="s">
        <v>329</v>
      </c>
      <c r="P2124" s="28" t="s">
        <v>5002</v>
      </c>
      <c r="Q2124" s="28" t="s">
        <v>5003</v>
      </c>
      <c r="R2124" s="28" t="s">
        <v>5004</v>
      </c>
    </row>
    <row r="2125" spans="1:18" hidden="1">
      <c r="A2125" s="28">
        <v>12</v>
      </c>
      <c r="B2125" s="29" t="s">
        <v>195</v>
      </c>
      <c r="C2125" s="29" t="s">
        <v>230</v>
      </c>
      <c r="D2125" s="29" t="s">
        <v>231</v>
      </c>
      <c r="E2125" s="29" t="s">
        <v>172</v>
      </c>
      <c r="F2125" s="28" t="s">
        <v>4982</v>
      </c>
      <c r="G2125" s="28" t="s">
        <v>4982</v>
      </c>
      <c r="H2125" s="28" t="s">
        <v>174</v>
      </c>
      <c r="I2125" s="28" t="s">
        <v>174</v>
      </c>
      <c r="J2125" s="30" t="s">
        <v>174</v>
      </c>
      <c r="K2125" s="28" t="s">
        <v>522</v>
      </c>
      <c r="L2125" s="31">
        <v>44256</v>
      </c>
      <c r="M2125" s="28">
        <v>3</v>
      </c>
      <c r="N2125" s="32" t="s">
        <v>191</v>
      </c>
      <c r="O2125" s="28" t="s">
        <v>177</v>
      </c>
      <c r="P2125" s="28" t="s">
        <v>5005</v>
      </c>
      <c r="Q2125" s="28" t="s">
        <v>5006</v>
      </c>
      <c r="R2125" s="28" t="s">
        <v>5007</v>
      </c>
    </row>
    <row r="2126" spans="1:18" hidden="1">
      <c r="A2126" s="28">
        <v>4</v>
      </c>
      <c r="B2126" s="29" t="s">
        <v>306</v>
      </c>
      <c r="C2126" s="29" t="s">
        <v>307</v>
      </c>
      <c r="D2126" s="29" t="s">
        <v>308</v>
      </c>
      <c r="E2126" s="29" t="s">
        <v>172</v>
      </c>
      <c r="F2126" s="28" t="s">
        <v>4982</v>
      </c>
      <c r="G2126" s="28" t="s">
        <v>4982</v>
      </c>
      <c r="H2126" s="28" t="s">
        <v>174</v>
      </c>
      <c r="I2126" s="28" t="s">
        <v>174</v>
      </c>
      <c r="J2126" s="30" t="s">
        <v>174</v>
      </c>
      <c r="K2126" s="28" t="s">
        <v>335</v>
      </c>
      <c r="L2126" s="31">
        <v>42614</v>
      </c>
      <c r="M2126" s="28">
        <v>9</v>
      </c>
      <c r="N2126" s="32" t="s">
        <v>191</v>
      </c>
      <c r="O2126" s="28" t="s">
        <v>1060</v>
      </c>
      <c r="P2126" s="28" t="s">
        <v>5008</v>
      </c>
      <c r="Q2126" s="28" t="s">
        <v>5009</v>
      </c>
      <c r="R2126" s="28" t="s">
        <v>5010</v>
      </c>
    </row>
    <row r="2127" spans="1:18" hidden="1">
      <c r="A2127" s="28">
        <v>5</v>
      </c>
      <c r="B2127" s="29" t="s">
        <v>349</v>
      </c>
      <c r="C2127" s="29" t="s">
        <v>355</v>
      </c>
      <c r="D2127" s="29" t="s">
        <v>360</v>
      </c>
      <c r="E2127" s="29" t="s">
        <v>172</v>
      </c>
      <c r="F2127" s="28" t="s">
        <v>4982</v>
      </c>
      <c r="G2127" s="28" t="s">
        <v>4982</v>
      </c>
      <c r="H2127" s="28" t="s">
        <v>174</v>
      </c>
      <c r="I2127" s="28" t="s">
        <v>174</v>
      </c>
      <c r="J2127" s="30" t="s">
        <v>174</v>
      </c>
      <c r="K2127" s="28" t="s">
        <v>278</v>
      </c>
      <c r="L2127" s="31">
        <v>43525</v>
      </c>
      <c r="M2127" s="28">
        <v>3</v>
      </c>
      <c r="N2127" s="32" t="s">
        <v>191</v>
      </c>
      <c r="O2127" s="28" t="s">
        <v>185</v>
      </c>
      <c r="P2127" s="28" t="s">
        <v>5011</v>
      </c>
      <c r="Q2127" s="28" t="s">
        <v>5012</v>
      </c>
      <c r="R2127" s="28" t="s">
        <v>5013</v>
      </c>
    </row>
    <row r="2128" spans="1:18" hidden="1">
      <c r="A2128" s="28">
        <v>6</v>
      </c>
      <c r="B2128" s="29" t="s">
        <v>365</v>
      </c>
      <c r="C2128" s="29" t="s">
        <v>366</v>
      </c>
      <c r="D2128" s="29" t="s">
        <v>1887</v>
      </c>
      <c r="E2128" s="29" t="s">
        <v>172</v>
      </c>
      <c r="F2128" s="28" t="s">
        <v>4982</v>
      </c>
      <c r="G2128" s="28" t="s">
        <v>4982</v>
      </c>
      <c r="H2128" s="28" t="s">
        <v>174</v>
      </c>
      <c r="I2128" s="28" t="s">
        <v>174</v>
      </c>
      <c r="J2128" s="30" t="s">
        <v>174</v>
      </c>
      <c r="K2128" s="28" t="s">
        <v>464</v>
      </c>
      <c r="L2128" s="31">
        <v>42887</v>
      </c>
      <c r="M2128" s="28">
        <v>6</v>
      </c>
      <c r="N2128" s="32" t="s">
        <v>184</v>
      </c>
      <c r="O2128" s="28" t="s">
        <v>177</v>
      </c>
      <c r="P2128" s="28" t="s">
        <v>5014</v>
      </c>
      <c r="Q2128" s="28" t="s">
        <v>5015</v>
      </c>
      <c r="R2128" s="28" t="s">
        <v>5016</v>
      </c>
    </row>
    <row r="2129" spans="1:18" hidden="1">
      <c r="A2129" s="28">
        <v>6</v>
      </c>
      <c r="B2129" s="29" t="s">
        <v>365</v>
      </c>
      <c r="C2129" s="29" t="s">
        <v>366</v>
      </c>
      <c r="D2129" s="29" t="s">
        <v>1887</v>
      </c>
      <c r="E2129" s="29" t="s">
        <v>172</v>
      </c>
      <c r="F2129" s="28" t="s">
        <v>4982</v>
      </c>
      <c r="G2129" s="28" t="s">
        <v>4982</v>
      </c>
      <c r="H2129" s="28" t="s">
        <v>174</v>
      </c>
      <c r="I2129" s="28" t="s">
        <v>174</v>
      </c>
      <c r="J2129" s="30" t="s">
        <v>174</v>
      </c>
      <c r="K2129" s="28" t="s">
        <v>813</v>
      </c>
      <c r="L2129" s="31">
        <v>43009</v>
      </c>
      <c r="M2129" s="28">
        <v>10</v>
      </c>
      <c r="N2129" s="32" t="s">
        <v>191</v>
      </c>
      <c r="O2129" s="28" t="s">
        <v>794</v>
      </c>
      <c r="P2129" s="28" t="s">
        <v>5017</v>
      </c>
      <c r="Q2129" s="28" t="s">
        <v>5018</v>
      </c>
      <c r="R2129" s="28" t="s">
        <v>5019</v>
      </c>
    </row>
    <row r="2130" spans="1:18" hidden="1">
      <c r="A2130" s="28">
        <v>6</v>
      </c>
      <c r="B2130" s="29" t="s">
        <v>365</v>
      </c>
      <c r="C2130" s="29" t="s">
        <v>366</v>
      </c>
      <c r="D2130" s="29" t="s">
        <v>1887</v>
      </c>
      <c r="E2130" s="29" t="s">
        <v>172</v>
      </c>
      <c r="F2130" s="28" t="s">
        <v>4982</v>
      </c>
      <c r="G2130" s="28" t="s">
        <v>4982</v>
      </c>
      <c r="H2130" s="28" t="s">
        <v>174</v>
      </c>
      <c r="I2130" s="28" t="s">
        <v>174</v>
      </c>
      <c r="J2130" s="30" t="s">
        <v>174</v>
      </c>
      <c r="K2130" s="28" t="s">
        <v>405</v>
      </c>
      <c r="L2130" s="31">
        <v>43221</v>
      </c>
      <c r="M2130" s="28">
        <v>5</v>
      </c>
      <c r="N2130" s="32" t="s">
        <v>191</v>
      </c>
      <c r="O2130" s="28" t="s">
        <v>794</v>
      </c>
      <c r="P2130" s="28" t="s">
        <v>5020</v>
      </c>
      <c r="Q2130" s="28" t="s">
        <v>5018</v>
      </c>
      <c r="R2130" s="28" t="s">
        <v>5019</v>
      </c>
    </row>
    <row r="2131" spans="1:18" hidden="1">
      <c r="A2131" s="28">
        <v>6</v>
      </c>
      <c r="B2131" s="29" t="s">
        <v>365</v>
      </c>
      <c r="C2131" s="29" t="s">
        <v>366</v>
      </c>
      <c r="D2131" s="29" t="s">
        <v>1887</v>
      </c>
      <c r="E2131" s="29" t="s">
        <v>172</v>
      </c>
      <c r="F2131" s="28" t="s">
        <v>4982</v>
      </c>
      <c r="G2131" s="28" t="s">
        <v>4982</v>
      </c>
      <c r="H2131" s="28" t="s">
        <v>174</v>
      </c>
      <c r="I2131" s="28" t="s">
        <v>174</v>
      </c>
      <c r="J2131" s="30" t="s">
        <v>174</v>
      </c>
      <c r="K2131" s="28" t="s">
        <v>278</v>
      </c>
      <c r="L2131" s="31">
        <v>43525</v>
      </c>
      <c r="M2131" s="28">
        <v>3</v>
      </c>
      <c r="N2131" s="32" t="s">
        <v>191</v>
      </c>
      <c r="O2131" s="28" t="s">
        <v>794</v>
      </c>
      <c r="P2131" s="28" t="s">
        <v>5021</v>
      </c>
      <c r="Q2131" s="28" t="s">
        <v>5018</v>
      </c>
      <c r="R2131" s="28" t="s">
        <v>5019</v>
      </c>
    </row>
    <row r="2132" spans="1:18" hidden="1">
      <c r="A2132" s="28">
        <v>9</v>
      </c>
      <c r="B2132" s="29" t="s">
        <v>1992</v>
      </c>
      <c r="C2132" s="29" t="s">
        <v>1998</v>
      </c>
      <c r="D2132" s="29" t="s">
        <v>5022</v>
      </c>
      <c r="E2132" s="29" t="s">
        <v>374</v>
      </c>
      <c r="F2132" s="28" t="s">
        <v>4982</v>
      </c>
      <c r="G2132" s="28" t="s">
        <v>4982</v>
      </c>
      <c r="H2132" s="28" t="s">
        <v>174</v>
      </c>
      <c r="I2132" s="28" t="s">
        <v>174</v>
      </c>
      <c r="J2132" s="30" t="s">
        <v>174</v>
      </c>
      <c r="K2132" s="28" t="s">
        <v>243</v>
      </c>
      <c r="L2132" s="31">
        <v>42461</v>
      </c>
      <c r="M2132" s="28">
        <v>4</v>
      </c>
      <c r="N2132" s="32" t="s">
        <v>191</v>
      </c>
      <c r="O2132" s="28" t="s">
        <v>177</v>
      </c>
      <c r="P2132" s="28" t="s">
        <v>5023</v>
      </c>
      <c r="Q2132" s="28" t="s">
        <v>5024</v>
      </c>
      <c r="R2132" s="28" t="s">
        <v>5025</v>
      </c>
    </row>
    <row r="2133" spans="1:18" hidden="1">
      <c r="A2133" s="28">
        <v>9</v>
      </c>
      <c r="B2133" s="29" t="s">
        <v>1992</v>
      </c>
      <c r="C2133" s="29" t="s">
        <v>1998</v>
      </c>
      <c r="D2133" s="29" t="s">
        <v>1999</v>
      </c>
      <c r="E2133" s="29" t="s">
        <v>374</v>
      </c>
      <c r="F2133" s="28" t="s">
        <v>4982</v>
      </c>
      <c r="G2133" s="28" t="s">
        <v>4982</v>
      </c>
      <c r="H2133" s="28" t="s">
        <v>174</v>
      </c>
      <c r="I2133" s="28" t="s">
        <v>174</v>
      </c>
      <c r="J2133" s="30" t="s">
        <v>174</v>
      </c>
      <c r="K2133" s="28" t="s">
        <v>501</v>
      </c>
      <c r="L2133" s="31">
        <v>43405</v>
      </c>
      <c r="M2133" s="28">
        <v>11</v>
      </c>
      <c r="N2133" s="32" t="s">
        <v>191</v>
      </c>
      <c r="O2133" s="28" t="s">
        <v>177</v>
      </c>
      <c r="P2133" s="28" t="s">
        <v>5026</v>
      </c>
      <c r="Q2133" s="28" t="s">
        <v>5024</v>
      </c>
      <c r="R2133" s="28" t="s">
        <v>5027</v>
      </c>
    </row>
    <row r="2134" spans="1:18" hidden="1">
      <c r="A2134" s="28">
        <v>9</v>
      </c>
      <c r="B2134" s="29" t="s">
        <v>1992</v>
      </c>
      <c r="C2134" s="29" t="s">
        <v>1998</v>
      </c>
      <c r="D2134" s="29" t="s">
        <v>1999</v>
      </c>
      <c r="E2134" s="29" t="s">
        <v>374</v>
      </c>
      <c r="F2134" s="28" t="s">
        <v>4982</v>
      </c>
      <c r="G2134" s="28" t="s">
        <v>4982</v>
      </c>
      <c r="H2134" s="28" t="s">
        <v>174</v>
      </c>
      <c r="I2134" s="28" t="s">
        <v>174</v>
      </c>
      <c r="J2134" s="30" t="s">
        <v>174</v>
      </c>
      <c r="K2134" s="28" t="s">
        <v>504</v>
      </c>
      <c r="L2134" s="31">
        <v>43922</v>
      </c>
      <c r="M2134" s="28">
        <v>4</v>
      </c>
      <c r="N2134" s="32" t="s">
        <v>191</v>
      </c>
      <c r="O2134" s="28" t="s">
        <v>177</v>
      </c>
      <c r="P2134" s="28" t="s">
        <v>5028</v>
      </c>
      <c r="Q2134" s="28" t="s">
        <v>5024</v>
      </c>
      <c r="R2134" s="28" t="s">
        <v>5027</v>
      </c>
    </row>
    <row r="2135" spans="1:18" hidden="1">
      <c r="A2135" s="28">
        <v>9</v>
      </c>
      <c r="B2135" s="29" t="s">
        <v>1992</v>
      </c>
      <c r="C2135" s="29" t="s">
        <v>1998</v>
      </c>
      <c r="D2135" s="29" t="s">
        <v>1999</v>
      </c>
      <c r="E2135" s="29" t="s">
        <v>374</v>
      </c>
      <c r="F2135" s="28" t="s">
        <v>4982</v>
      </c>
      <c r="G2135" s="28" t="s">
        <v>4982</v>
      </c>
      <c r="H2135" s="28" t="s">
        <v>174</v>
      </c>
      <c r="I2135" s="28" t="s">
        <v>174</v>
      </c>
      <c r="J2135" s="30" t="s">
        <v>174</v>
      </c>
      <c r="K2135" s="28" t="s">
        <v>823</v>
      </c>
      <c r="L2135" s="31">
        <v>44136</v>
      </c>
      <c r="M2135" s="28">
        <v>11</v>
      </c>
      <c r="N2135" s="32" t="s">
        <v>191</v>
      </c>
      <c r="O2135" s="28" t="s">
        <v>177</v>
      </c>
      <c r="P2135" s="28" t="s">
        <v>5029</v>
      </c>
      <c r="Q2135" s="28" t="s">
        <v>5024</v>
      </c>
      <c r="R2135" s="28" t="s">
        <v>5027</v>
      </c>
    </row>
    <row r="2136" spans="1:18" hidden="1">
      <c r="A2136" s="28">
        <v>9</v>
      </c>
      <c r="B2136" s="29" t="s">
        <v>1992</v>
      </c>
      <c r="C2136" s="29" t="s">
        <v>2607</v>
      </c>
      <c r="D2136" s="29" t="s">
        <v>2947</v>
      </c>
      <c r="E2136" s="29" t="s">
        <v>374</v>
      </c>
      <c r="F2136" s="28" t="s">
        <v>4982</v>
      </c>
      <c r="G2136" s="28" t="s">
        <v>4982</v>
      </c>
      <c r="H2136" s="28" t="s">
        <v>174</v>
      </c>
      <c r="I2136" s="28" t="s">
        <v>174</v>
      </c>
      <c r="J2136" s="30" t="s">
        <v>174</v>
      </c>
      <c r="K2136" s="28" t="s">
        <v>198</v>
      </c>
      <c r="L2136" s="31">
        <v>42767</v>
      </c>
      <c r="M2136" s="28">
        <v>2</v>
      </c>
      <c r="N2136" s="32" t="s">
        <v>176</v>
      </c>
      <c r="O2136" s="28" t="s">
        <v>953</v>
      </c>
      <c r="P2136" s="28" t="s">
        <v>5030</v>
      </c>
      <c r="Q2136" s="28" t="s">
        <v>5031</v>
      </c>
      <c r="R2136" s="28" t="s">
        <v>5032</v>
      </c>
    </row>
    <row r="2137" spans="1:18" hidden="1">
      <c r="A2137" s="28">
        <v>12</v>
      </c>
      <c r="B2137" s="29" t="s">
        <v>195</v>
      </c>
      <c r="C2137" s="29" t="s">
        <v>202</v>
      </c>
      <c r="D2137" s="29" t="s">
        <v>417</v>
      </c>
      <c r="E2137" s="29" t="s">
        <v>172</v>
      </c>
      <c r="F2137" s="28" t="s">
        <v>5033</v>
      </c>
      <c r="G2137" s="28" t="s">
        <v>5033</v>
      </c>
      <c r="H2137" s="28" t="s">
        <v>174</v>
      </c>
      <c r="I2137" s="28" t="s">
        <v>174</v>
      </c>
      <c r="J2137" s="30" t="s">
        <v>174</v>
      </c>
      <c r="K2137" s="28" t="s">
        <v>460</v>
      </c>
      <c r="L2137" s="31">
        <v>42675</v>
      </c>
      <c r="M2137" s="28">
        <v>11</v>
      </c>
      <c r="N2137" s="32" t="s">
        <v>191</v>
      </c>
      <c r="O2137" s="28" t="s">
        <v>204</v>
      </c>
      <c r="P2137" s="28" t="s">
        <v>5034</v>
      </c>
      <c r="Q2137" s="28" t="s">
        <v>432</v>
      </c>
      <c r="R2137" s="28" t="s">
        <v>2623</v>
      </c>
    </row>
    <row r="2138" spans="1:18" hidden="1">
      <c r="A2138" s="28">
        <v>12</v>
      </c>
      <c r="B2138" s="29" t="s">
        <v>195</v>
      </c>
      <c r="C2138" s="29" t="s">
        <v>1484</v>
      </c>
      <c r="D2138" s="29" t="s">
        <v>1485</v>
      </c>
      <c r="E2138" s="29" t="s">
        <v>172</v>
      </c>
      <c r="F2138" s="28" t="s">
        <v>5033</v>
      </c>
      <c r="G2138" s="28" t="s">
        <v>5033</v>
      </c>
      <c r="H2138" s="28" t="s">
        <v>174</v>
      </c>
      <c r="I2138" s="28" t="s">
        <v>174</v>
      </c>
      <c r="J2138" s="30" t="s">
        <v>174</v>
      </c>
      <c r="K2138" s="28" t="s">
        <v>212</v>
      </c>
      <c r="L2138" s="31">
        <v>43313</v>
      </c>
      <c r="M2138" s="28">
        <v>8</v>
      </c>
      <c r="N2138" s="32" t="s">
        <v>184</v>
      </c>
      <c r="O2138" s="28" t="s">
        <v>204</v>
      </c>
      <c r="P2138" s="28" t="s">
        <v>5035</v>
      </c>
      <c r="Q2138" s="28" t="s">
        <v>5036</v>
      </c>
      <c r="R2138" s="28" t="s">
        <v>5037</v>
      </c>
    </row>
    <row r="2139" spans="1:18" hidden="1">
      <c r="A2139" s="28">
        <v>12</v>
      </c>
      <c r="B2139" s="29" t="s">
        <v>195</v>
      </c>
      <c r="C2139" s="29" t="s">
        <v>230</v>
      </c>
      <c r="D2139" s="29" t="s">
        <v>231</v>
      </c>
      <c r="E2139" s="29" t="s">
        <v>172</v>
      </c>
      <c r="F2139" s="28" t="s">
        <v>5033</v>
      </c>
      <c r="G2139" s="28" t="s">
        <v>5033</v>
      </c>
      <c r="H2139" s="28" t="s">
        <v>174</v>
      </c>
      <c r="I2139" s="28" t="s">
        <v>174</v>
      </c>
      <c r="J2139" s="30" t="s">
        <v>174</v>
      </c>
      <c r="K2139" s="28" t="s">
        <v>646</v>
      </c>
      <c r="L2139" s="31">
        <v>44075</v>
      </c>
      <c r="M2139" s="28">
        <v>9</v>
      </c>
      <c r="N2139" s="32" t="s">
        <v>191</v>
      </c>
      <c r="O2139" s="28" t="s">
        <v>204</v>
      </c>
      <c r="P2139" s="28" t="s">
        <v>5038</v>
      </c>
      <c r="Q2139" s="28" t="s">
        <v>5039</v>
      </c>
      <c r="R2139" s="28" t="s">
        <v>2623</v>
      </c>
    </row>
    <row r="2140" spans="1:18" hidden="1">
      <c r="A2140" s="28">
        <v>2</v>
      </c>
      <c r="B2140" s="29" t="s">
        <v>240</v>
      </c>
      <c r="C2140" s="29" t="s">
        <v>241</v>
      </c>
      <c r="D2140" s="29" t="s">
        <v>509</v>
      </c>
      <c r="E2140" s="29" t="s">
        <v>172</v>
      </c>
      <c r="F2140" s="28" t="s">
        <v>5033</v>
      </c>
      <c r="G2140" s="28" t="s">
        <v>5033</v>
      </c>
      <c r="H2140" s="28" t="s">
        <v>174</v>
      </c>
      <c r="I2140" s="28" t="s">
        <v>174</v>
      </c>
      <c r="J2140" s="30" t="s">
        <v>174</v>
      </c>
      <c r="K2140" s="28" t="s">
        <v>324</v>
      </c>
      <c r="L2140" s="31">
        <v>43862</v>
      </c>
      <c r="M2140" s="28">
        <v>2</v>
      </c>
      <c r="N2140" s="32" t="s">
        <v>176</v>
      </c>
      <c r="O2140" s="28" t="s">
        <v>204</v>
      </c>
      <c r="P2140" s="28" t="s">
        <v>5040</v>
      </c>
      <c r="Q2140" s="28" t="s">
        <v>5041</v>
      </c>
      <c r="R2140" s="28" t="s">
        <v>5042</v>
      </c>
    </row>
    <row r="2141" spans="1:18" hidden="1">
      <c r="A2141" s="28">
        <v>2</v>
      </c>
      <c r="B2141" s="29" t="s">
        <v>240</v>
      </c>
      <c r="C2141" s="29" t="s">
        <v>241</v>
      </c>
      <c r="D2141" s="29" t="s">
        <v>509</v>
      </c>
      <c r="E2141" s="29" t="s">
        <v>172</v>
      </c>
      <c r="F2141" s="28" t="s">
        <v>5033</v>
      </c>
      <c r="G2141" s="28" t="s">
        <v>5033</v>
      </c>
      <c r="H2141" s="28" t="s">
        <v>174</v>
      </c>
      <c r="I2141" s="28" t="s">
        <v>174</v>
      </c>
      <c r="J2141" s="30" t="s">
        <v>174</v>
      </c>
      <c r="K2141" s="28" t="s">
        <v>430</v>
      </c>
      <c r="L2141" s="31">
        <v>44105</v>
      </c>
      <c r="M2141" s="28">
        <v>10</v>
      </c>
      <c r="N2141" s="32" t="s">
        <v>191</v>
      </c>
      <c r="O2141" s="28" t="s">
        <v>204</v>
      </c>
      <c r="P2141" s="28" t="s">
        <v>5043</v>
      </c>
      <c r="Q2141" s="28" t="s">
        <v>5044</v>
      </c>
      <c r="R2141" s="28" t="s">
        <v>5042</v>
      </c>
    </row>
    <row r="2142" spans="1:18" hidden="1">
      <c r="A2142" s="28">
        <v>2</v>
      </c>
      <c r="B2142" s="29" t="s">
        <v>240</v>
      </c>
      <c r="C2142" s="29" t="s">
        <v>261</v>
      </c>
      <c r="D2142" s="29" t="s">
        <v>262</v>
      </c>
      <c r="E2142" s="29" t="s">
        <v>172</v>
      </c>
      <c r="F2142" s="28" t="s">
        <v>5033</v>
      </c>
      <c r="G2142" s="28" t="s">
        <v>5033</v>
      </c>
      <c r="H2142" s="28" t="s">
        <v>174</v>
      </c>
      <c r="I2142" s="28" t="s">
        <v>174</v>
      </c>
      <c r="J2142" s="30" t="s">
        <v>174</v>
      </c>
      <c r="K2142" s="28" t="s">
        <v>335</v>
      </c>
      <c r="L2142" s="31">
        <v>42614</v>
      </c>
      <c r="M2142" s="28">
        <v>9</v>
      </c>
      <c r="N2142" s="32" t="s">
        <v>191</v>
      </c>
      <c r="O2142" s="28" t="s">
        <v>204</v>
      </c>
      <c r="P2142" s="28" t="s">
        <v>5045</v>
      </c>
      <c r="Q2142" s="28" t="s">
        <v>2633</v>
      </c>
      <c r="R2142" s="28" t="s">
        <v>535</v>
      </c>
    </row>
    <row r="2143" spans="1:18" hidden="1">
      <c r="A2143" s="28">
        <v>4</v>
      </c>
      <c r="B2143" s="29" t="s">
        <v>306</v>
      </c>
      <c r="C2143" s="29" t="s">
        <v>307</v>
      </c>
      <c r="D2143" s="29" t="s">
        <v>592</v>
      </c>
      <c r="E2143" s="29" t="s">
        <v>172</v>
      </c>
      <c r="F2143" s="28" t="s">
        <v>5033</v>
      </c>
      <c r="G2143" s="28" t="s">
        <v>5033</v>
      </c>
      <c r="H2143" s="28" t="s">
        <v>174</v>
      </c>
      <c r="I2143" s="28" t="s">
        <v>174</v>
      </c>
      <c r="J2143" s="30" t="s">
        <v>174</v>
      </c>
      <c r="K2143" s="28" t="s">
        <v>522</v>
      </c>
      <c r="L2143" s="31">
        <v>44256</v>
      </c>
      <c r="M2143" s="28">
        <v>3</v>
      </c>
      <c r="N2143" s="32" t="s">
        <v>191</v>
      </c>
      <c r="O2143" s="28" t="s">
        <v>204</v>
      </c>
      <c r="P2143" s="28" t="s">
        <v>5046</v>
      </c>
      <c r="Q2143" s="28" t="s">
        <v>602</v>
      </c>
      <c r="R2143" s="28" t="s">
        <v>603</v>
      </c>
    </row>
    <row r="2144" spans="1:18" hidden="1">
      <c r="A2144" s="28">
        <v>4</v>
      </c>
      <c r="B2144" s="29" t="s">
        <v>306</v>
      </c>
      <c r="C2144" s="29" t="s">
        <v>307</v>
      </c>
      <c r="D2144" s="29" t="s">
        <v>308</v>
      </c>
      <c r="E2144" s="29" t="s">
        <v>172</v>
      </c>
      <c r="F2144" s="28" t="s">
        <v>5033</v>
      </c>
      <c r="G2144" s="28" t="s">
        <v>5033</v>
      </c>
      <c r="H2144" s="28" t="s">
        <v>174</v>
      </c>
      <c r="I2144" s="28" t="s">
        <v>174</v>
      </c>
      <c r="J2144" s="30" t="s">
        <v>174</v>
      </c>
      <c r="K2144" s="28" t="s">
        <v>335</v>
      </c>
      <c r="L2144" s="31">
        <v>42614</v>
      </c>
      <c r="M2144" s="28">
        <v>9</v>
      </c>
      <c r="N2144" s="32" t="s">
        <v>191</v>
      </c>
      <c r="O2144" s="28" t="s">
        <v>204</v>
      </c>
      <c r="P2144" s="28" t="s">
        <v>5047</v>
      </c>
      <c r="Q2144" s="28" t="s">
        <v>602</v>
      </c>
      <c r="R2144" s="28" t="s">
        <v>603</v>
      </c>
    </row>
    <row r="2145" spans="1:18" hidden="1">
      <c r="A2145" s="28">
        <v>4</v>
      </c>
      <c r="B2145" s="29" t="s">
        <v>306</v>
      </c>
      <c r="C2145" s="29" t="s">
        <v>318</v>
      </c>
      <c r="D2145" s="29" t="s">
        <v>323</v>
      </c>
      <c r="E2145" s="29" t="s">
        <v>172</v>
      </c>
      <c r="F2145" s="28" t="s">
        <v>5033</v>
      </c>
      <c r="G2145" s="28" t="s">
        <v>5033</v>
      </c>
      <c r="H2145" s="28" t="s">
        <v>174</v>
      </c>
      <c r="I2145" s="28" t="s">
        <v>174</v>
      </c>
      <c r="J2145" s="30" t="s">
        <v>174</v>
      </c>
      <c r="K2145" s="28" t="s">
        <v>297</v>
      </c>
      <c r="L2145" s="31">
        <v>44409</v>
      </c>
      <c r="M2145" s="28">
        <v>8</v>
      </c>
      <c r="N2145" s="32" t="s">
        <v>184</v>
      </c>
      <c r="O2145" s="28" t="s">
        <v>204</v>
      </c>
      <c r="P2145" s="28" t="s">
        <v>5048</v>
      </c>
      <c r="Q2145" s="28" t="s">
        <v>5049</v>
      </c>
      <c r="R2145" s="28" t="s">
        <v>5050</v>
      </c>
    </row>
    <row r="2146" spans="1:18" hidden="1">
      <c r="A2146" s="28">
        <v>4</v>
      </c>
      <c r="B2146" s="29" t="s">
        <v>306</v>
      </c>
      <c r="C2146" s="29" t="s">
        <v>318</v>
      </c>
      <c r="D2146" s="29" t="s">
        <v>323</v>
      </c>
      <c r="E2146" s="29" t="s">
        <v>172</v>
      </c>
      <c r="F2146" s="28" t="s">
        <v>5033</v>
      </c>
      <c r="G2146" s="28" t="s">
        <v>5033</v>
      </c>
      <c r="H2146" s="28" t="s">
        <v>174</v>
      </c>
      <c r="I2146" s="28" t="s">
        <v>174</v>
      </c>
      <c r="J2146" s="30" t="s">
        <v>174</v>
      </c>
      <c r="K2146" s="28" t="s">
        <v>345</v>
      </c>
      <c r="L2146" s="31">
        <v>44440</v>
      </c>
      <c r="M2146" s="28">
        <v>9</v>
      </c>
      <c r="N2146" s="32" t="s">
        <v>191</v>
      </c>
      <c r="O2146" s="28" t="s">
        <v>204</v>
      </c>
      <c r="P2146" s="28" t="s">
        <v>5051</v>
      </c>
      <c r="Q2146" s="28" t="s">
        <v>5052</v>
      </c>
      <c r="R2146" s="28" t="s">
        <v>5053</v>
      </c>
    </row>
    <row r="2147" spans="1:18" hidden="1">
      <c r="A2147" s="28">
        <v>4</v>
      </c>
      <c r="B2147" s="29" t="s">
        <v>306</v>
      </c>
      <c r="C2147" s="29" t="s">
        <v>339</v>
      </c>
      <c r="D2147" s="29" t="s">
        <v>340</v>
      </c>
      <c r="E2147" s="29" t="s">
        <v>172</v>
      </c>
      <c r="F2147" s="28" t="s">
        <v>5033</v>
      </c>
      <c r="G2147" s="28" t="s">
        <v>5033</v>
      </c>
      <c r="H2147" s="28" t="s">
        <v>174</v>
      </c>
      <c r="I2147" s="28" t="s">
        <v>174</v>
      </c>
      <c r="J2147" s="30" t="s">
        <v>174</v>
      </c>
      <c r="K2147" s="28" t="s">
        <v>473</v>
      </c>
      <c r="L2147" s="31">
        <v>43160</v>
      </c>
      <c r="M2147" s="28">
        <v>3</v>
      </c>
      <c r="N2147" s="32" t="s">
        <v>191</v>
      </c>
      <c r="O2147" s="28" t="s">
        <v>204</v>
      </c>
      <c r="P2147" s="28" t="s">
        <v>5054</v>
      </c>
      <c r="Q2147" s="28" t="s">
        <v>5055</v>
      </c>
      <c r="R2147" s="28" t="s">
        <v>5056</v>
      </c>
    </row>
    <row r="2148" spans="1:18" hidden="1">
      <c r="A2148" s="28">
        <v>4</v>
      </c>
      <c r="B2148" s="29" t="s">
        <v>306</v>
      </c>
      <c r="C2148" s="29" t="s">
        <v>339</v>
      </c>
      <c r="D2148" s="29" t="s">
        <v>340</v>
      </c>
      <c r="E2148" s="29" t="s">
        <v>172</v>
      </c>
      <c r="F2148" s="28" t="s">
        <v>5033</v>
      </c>
      <c r="G2148" s="28" t="s">
        <v>5033</v>
      </c>
      <c r="H2148" s="28" t="s">
        <v>174</v>
      </c>
      <c r="I2148" s="28" t="s">
        <v>174</v>
      </c>
      <c r="J2148" s="30" t="s">
        <v>174</v>
      </c>
      <c r="K2148" s="28" t="s">
        <v>361</v>
      </c>
      <c r="L2148" s="31">
        <v>43435</v>
      </c>
      <c r="M2148" s="28">
        <v>12</v>
      </c>
      <c r="N2148" s="32" t="s">
        <v>176</v>
      </c>
      <c r="O2148" s="28" t="s">
        <v>204</v>
      </c>
      <c r="P2148" s="28" t="s">
        <v>5057</v>
      </c>
      <c r="Q2148" s="28" t="s">
        <v>5058</v>
      </c>
      <c r="R2148" s="28" t="s">
        <v>5056</v>
      </c>
    </row>
    <row r="2149" spans="1:18" hidden="1">
      <c r="A2149" s="28">
        <v>5</v>
      </c>
      <c r="B2149" s="29" t="s">
        <v>349</v>
      </c>
      <c r="C2149" s="29" t="s">
        <v>350</v>
      </c>
      <c r="D2149" s="29" t="s">
        <v>716</v>
      </c>
      <c r="E2149" s="29" t="s">
        <v>172</v>
      </c>
      <c r="F2149" s="28" t="s">
        <v>5033</v>
      </c>
      <c r="G2149" s="28" t="s">
        <v>5033</v>
      </c>
      <c r="H2149" s="28" t="s">
        <v>174</v>
      </c>
      <c r="I2149" s="28" t="s">
        <v>174</v>
      </c>
      <c r="J2149" s="30" t="s">
        <v>174</v>
      </c>
      <c r="K2149" s="28" t="s">
        <v>232</v>
      </c>
      <c r="L2149" s="31">
        <v>42522</v>
      </c>
      <c r="M2149" s="28">
        <v>6</v>
      </c>
      <c r="N2149" s="32" t="s">
        <v>184</v>
      </c>
      <c r="O2149" s="28" t="s">
        <v>204</v>
      </c>
      <c r="P2149" s="28" t="s">
        <v>5059</v>
      </c>
      <c r="Q2149" s="28" t="s">
        <v>358</v>
      </c>
      <c r="R2149" s="28" t="s">
        <v>359</v>
      </c>
    </row>
    <row r="2150" spans="1:18" hidden="1">
      <c r="A2150" s="28">
        <v>5</v>
      </c>
      <c r="B2150" s="29" t="s">
        <v>349</v>
      </c>
      <c r="C2150" s="29" t="s">
        <v>355</v>
      </c>
      <c r="D2150" s="29" t="s">
        <v>360</v>
      </c>
      <c r="E2150" s="29" t="s">
        <v>172</v>
      </c>
      <c r="F2150" s="28" t="s">
        <v>5033</v>
      </c>
      <c r="G2150" s="28" t="s">
        <v>5033</v>
      </c>
      <c r="H2150" s="28" t="s">
        <v>174</v>
      </c>
      <c r="I2150" s="28" t="s">
        <v>174</v>
      </c>
      <c r="J2150" s="30" t="s">
        <v>174</v>
      </c>
      <c r="K2150" s="28" t="s">
        <v>267</v>
      </c>
      <c r="L2150" s="31">
        <v>42583</v>
      </c>
      <c r="M2150" s="28">
        <v>8</v>
      </c>
      <c r="N2150" s="32" t="s">
        <v>184</v>
      </c>
      <c r="O2150" s="28" t="s">
        <v>204</v>
      </c>
      <c r="P2150" s="28" t="s">
        <v>5060</v>
      </c>
      <c r="Q2150" s="28" t="s">
        <v>5061</v>
      </c>
      <c r="R2150" s="28" t="s">
        <v>5062</v>
      </c>
    </row>
    <row r="2151" spans="1:18" hidden="1">
      <c r="A2151" s="28">
        <v>5</v>
      </c>
      <c r="B2151" s="29" t="s">
        <v>349</v>
      </c>
      <c r="C2151" s="29" t="s">
        <v>761</v>
      </c>
      <c r="D2151" s="29" t="s">
        <v>762</v>
      </c>
      <c r="E2151" s="29" t="s">
        <v>172</v>
      </c>
      <c r="F2151" s="28" t="s">
        <v>5033</v>
      </c>
      <c r="G2151" s="28" t="s">
        <v>5033</v>
      </c>
      <c r="H2151" s="28" t="s">
        <v>174</v>
      </c>
      <c r="I2151" s="28" t="s">
        <v>174</v>
      </c>
      <c r="J2151" s="30" t="s">
        <v>174</v>
      </c>
      <c r="K2151" s="28" t="s">
        <v>485</v>
      </c>
      <c r="L2151" s="31">
        <v>42401</v>
      </c>
      <c r="M2151" s="28">
        <v>2</v>
      </c>
      <c r="N2151" s="32" t="s">
        <v>176</v>
      </c>
      <c r="O2151" s="28" t="s">
        <v>204</v>
      </c>
      <c r="P2151" s="28" t="s">
        <v>5063</v>
      </c>
      <c r="Q2151" s="28" t="s">
        <v>5064</v>
      </c>
      <c r="R2151" s="28" t="s">
        <v>5065</v>
      </c>
    </row>
    <row r="2152" spans="1:18" hidden="1">
      <c r="A2152" s="28">
        <v>5</v>
      </c>
      <c r="B2152" s="29" t="s">
        <v>349</v>
      </c>
      <c r="C2152" s="29" t="s">
        <v>761</v>
      </c>
      <c r="D2152" s="29" t="s">
        <v>762</v>
      </c>
      <c r="E2152" s="29" t="s">
        <v>172</v>
      </c>
      <c r="F2152" s="28" t="s">
        <v>5033</v>
      </c>
      <c r="G2152" s="28" t="s">
        <v>5033</v>
      </c>
      <c r="H2152" s="28" t="s">
        <v>174</v>
      </c>
      <c r="I2152" s="28" t="s">
        <v>174</v>
      </c>
      <c r="J2152" s="30" t="s">
        <v>174</v>
      </c>
      <c r="K2152" s="28" t="s">
        <v>271</v>
      </c>
      <c r="L2152" s="31">
        <v>42856</v>
      </c>
      <c r="M2152" s="28">
        <v>5</v>
      </c>
      <c r="N2152" s="32" t="s">
        <v>191</v>
      </c>
      <c r="O2152" s="28" t="s">
        <v>204</v>
      </c>
      <c r="P2152" s="28" t="s">
        <v>5066</v>
      </c>
      <c r="Q2152" s="28" t="s">
        <v>5067</v>
      </c>
      <c r="R2152" s="28" t="s">
        <v>5068</v>
      </c>
    </row>
    <row r="2153" spans="1:18" hidden="1">
      <c r="A2153" s="28">
        <v>5</v>
      </c>
      <c r="B2153" s="29" t="s">
        <v>349</v>
      </c>
      <c r="C2153" s="29" t="s">
        <v>761</v>
      </c>
      <c r="D2153" s="29" t="s">
        <v>762</v>
      </c>
      <c r="E2153" s="29" t="s">
        <v>172</v>
      </c>
      <c r="F2153" s="28" t="s">
        <v>5033</v>
      </c>
      <c r="G2153" s="28" t="s">
        <v>5033</v>
      </c>
      <c r="H2153" s="28" t="s">
        <v>174</v>
      </c>
      <c r="I2153" s="28" t="s">
        <v>174</v>
      </c>
      <c r="J2153" s="30" t="s">
        <v>174</v>
      </c>
      <c r="K2153" s="28" t="s">
        <v>397</v>
      </c>
      <c r="L2153" s="31">
        <v>43739</v>
      </c>
      <c r="M2153" s="28">
        <v>10</v>
      </c>
      <c r="N2153" s="32" t="s">
        <v>191</v>
      </c>
      <c r="O2153" s="28" t="s">
        <v>204</v>
      </c>
      <c r="P2153" s="28" t="s">
        <v>5069</v>
      </c>
      <c r="Q2153" s="28" t="s">
        <v>5067</v>
      </c>
      <c r="R2153" s="28" t="s">
        <v>5068</v>
      </c>
    </row>
    <row r="2154" spans="1:18" hidden="1">
      <c r="A2154" s="28">
        <v>5</v>
      </c>
      <c r="B2154" s="29" t="s">
        <v>349</v>
      </c>
      <c r="C2154" s="29" t="s">
        <v>761</v>
      </c>
      <c r="D2154" s="29" t="s">
        <v>762</v>
      </c>
      <c r="E2154" s="29" t="s">
        <v>172</v>
      </c>
      <c r="F2154" s="28" t="s">
        <v>5033</v>
      </c>
      <c r="G2154" s="28" t="s">
        <v>5033</v>
      </c>
      <c r="H2154" s="28" t="s">
        <v>174</v>
      </c>
      <c r="I2154" s="28" t="s">
        <v>174</v>
      </c>
      <c r="J2154" s="30" t="s">
        <v>174</v>
      </c>
      <c r="K2154" s="28" t="s">
        <v>520</v>
      </c>
      <c r="L2154" s="31">
        <v>43800</v>
      </c>
      <c r="M2154" s="28">
        <v>12</v>
      </c>
      <c r="N2154" s="32" t="s">
        <v>176</v>
      </c>
      <c r="O2154" s="28" t="s">
        <v>204</v>
      </c>
      <c r="P2154" s="28" t="s">
        <v>5070</v>
      </c>
      <c r="Q2154" s="28" t="s">
        <v>5067</v>
      </c>
      <c r="R2154" s="28" t="s">
        <v>5068</v>
      </c>
    </row>
    <row r="2155" spans="1:18" hidden="1">
      <c r="A2155" s="28">
        <v>5</v>
      </c>
      <c r="B2155" s="29" t="s">
        <v>349</v>
      </c>
      <c r="C2155" s="29" t="s">
        <v>761</v>
      </c>
      <c r="D2155" s="29" t="s">
        <v>762</v>
      </c>
      <c r="E2155" s="29" t="s">
        <v>172</v>
      </c>
      <c r="F2155" s="28" t="s">
        <v>5033</v>
      </c>
      <c r="G2155" s="28" t="s">
        <v>5033</v>
      </c>
      <c r="H2155" s="28" t="s">
        <v>174</v>
      </c>
      <c r="I2155" s="28" t="s">
        <v>174</v>
      </c>
      <c r="J2155" s="30" t="s">
        <v>174</v>
      </c>
      <c r="K2155" s="28" t="s">
        <v>2131</v>
      </c>
      <c r="L2155" s="31">
        <v>44531</v>
      </c>
      <c r="M2155" s="28">
        <v>12</v>
      </c>
      <c r="N2155" s="32" t="s">
        <v>176</v>
      </c>
      <c r="O2155" s="28" t="s">
        <v>204</v>
      </c>
      <c r="P2155" s="28" t="s">
        <v>5071</v>
      </c>
      <c r="Q2155" s="28" t="s">
        <v>5067</v>
      </c>
      <c r="R2155" s="28" t="s">
        <v>5068</v>
      </c>
    </row>
    <row r="2156" spans="1:18" hidden="1">
      <c r="A2156" s="28">
        <v>5</v>
      </c>
      <c r="B2156" s="29" t="s">
        <v>349</v>
      </c>
      <c r="C2156" s="29" t="s">
        <v>761</v>
      </c>
      <c r="D2156" s="29" t="s">
        <v>768</v>
      </c>
      <c r="E2156" s="29" t="s">
        <v>172</v>
      </c>
      <c r="F2156" s="28" t="s">
        <v>5033</v>
      </c>
      <c r="G2156" s="28" t="s">
        <v>5033</v>
      </c>
      <c r="H2156" s="28" t="s">
        <v>174</v>
      </c>
      <c r="I2156" s="28" t="s">
        <v>174</v>
      </c>
      <c r="J2156" s="30" t="s">
        <v>174</v>
      </c>
      <c r="K2156" s="28" t="s">
        <v>293</v>
      </c>
      <c r="L2156" s="31">
        <v>43374</v>
      </c>
      <c r="M2156" s="28">
        <v>10</v>
      </c>
      <c r="N2156" s="32" t="s">
        <v>191</v>
      </c>
      <c r="O2156" s="28" t="s">
        <v>204</v>
      </c>
      <c r="P2156" s="28" t="s">
        <v>5072</v>
      </c>
      <c r="Q2156" s="28" t="s">
        <v>5067</v>
      </c>
      <c r="R2156" s="28" t="s">
        <v>5068</v>
      </c>
    </row>
    <row r="2157" spans="1:18" hidden="1">
      <c r="A2157" s="28">
        <v>5</v>
      </c>
      <c r="B2157" s="29" t="s">
        <v>349</v>
      </c>
      <c r="C2157" s="29" t="s">
        <v>761</v>
      </c>
      <c r="D2157" s="29" t="s">
        <v>768</v>
      </c>
      <c r="E2157" s="29" t="s">
        <v>172</v>
      </c>
      <c r="F2157" s="28" t="s">
        <v>5033</v>
      </c>
      <c r="G2157" s="28" t="s">
        <v>5033</v>
      </c>
      <c r="H2157" s="28" t="s">
        <v>174</v>
      </c>
      <c r="I2157" s="28" t="s">
        <v>174</v>
      </c>
      <c r="J2157" s="30" t="s">
        <v>174</v>
      </c>
      <c r="K2157" s="28" t="s">
        <v>643</v>
      </c>
      <c r="L2157" s="31">
        <v>44013</v>
      </c>
      <c r="M2157" s="28">
        <v>7</v>
      </c>
      <c r="N2157" s="32" t="s">
        <v>184</v>
      </c>
      <c r="O2157" s="28" t="s">
        <v>204</v>
      </c>
      <c r="P2157" s="28" t="s">
        <v>5073</v>
      </c>
      <c r="Q2157" s="28" t="s">
        <v>5067</v>
      </c>
      <c r="R2157" s="28" t="s">
        <v>5068</v>
      </c>
    </row>
    <row r="2158" spans="1:18" hidden="1">
      <c r="A2158" s="28">
        <v>10</v>
      </c>
      <c r="B2158" s="29" t="s">
        <v>1215</v>
      </c>
      <c r="C2158" s="29" t="s">
        <v>1216</v>
      </c>
      <c r="D2158" s="29" t="s">
        <v>1217</v>
      </c>
      <c r="E2158" s="29" t="s">
        <v>374</v>
      </c>
      <c r="F2158" s="28" t="s">
        <v>3685</v>
      </c>
      <c r="G2158" s="28" t="s">
        <v>3685</v>
      </c>
      <c r="H2158" s="28" t="s">
        <v>174</v>
      </c>
      <c r="I2158" s="28" t="s">
        <v>174</v>
      </c>
      <c r="J2158" s="30" t="s">
        <v>174</v>
      </c>
      <c r="K2158" s="28" t="s">
        <v>278</v>
      </c>
      <c r="L2158" s="31">
        <v>43525</v>
      </c>
      <c r="M2158" s="28">
        <v>3</v>
      </c>
      <c r="N2158" s="32" t="s">
        <v>191</v>
      </c>
      <c r="O2158" s="28" t="s">
        <v>329</v>
      </c>
      <c r="P2158" s="28" t="s">
        <v>5074</v>
      </c>
      <c r="Q2158" s="28" t="s">
        <v>5075</v>
      </c>
      <c r="R2158" s="28" t="s">
        <v>5076</v>
      </c>
    </row>
    <row r="2159" spans="1:18" hidden="1">
      <c r="A2159" s="28">
        <v>12</v>
      </c>
      <c r="B2159" s="29" t="s">
        <v>195</v>
      </c>
      <c r="C2159" s="29" t="s">
        <v>230</v>
      </c>
      <c r="D2159" s="29" t="s">
        <v>231</v>
      </c>
      <c r="E2159" s="29" t="s">
        <v>172</v>
      </c>
      <c r="F2159" s="28" t="s">
        <v>5077</v>
      </c>
      <c r="G2159" s="28" t="s">
        <v>5078</v>
      </c>
      <c r="H2159" s="28" t="s">
        <v>174</v>
      </c>
      <c r="I2159" s="28" t="s">
        <v>174</v>
      </c>
      <c r="J2159" s="30" t="s">
        <v>174</v>
      </c>
      <c r="K2159" s="28" t="s">
        <v>302</v>
      </c>
      <c r="L2159" s="31">
        <v>43282</v>
      </c>
      <c r="M2159" s="28">
        <v>7</v>
      </c>
      <c r="N2159" s="32" t="s">
        <v>184</v>
      </c>
      <c r="O2159" s="28" t="s">
        <v>5077</v>
      </c>
      <c r="P2159" s="28" t="s">
        <v>5079</v>
      </c>
      <c r="Q2159" s="28" t="s">
        <v>4055</v>
      </c>
      <c r="R2159" s="28" t="s">
        <v>4056</v>
      </c>
    </row>
    <row r="2160" spans="1:18" hidden="1">
      <c r="A2160" s="28">
        <v>5</v>
      </c>
      <c r="B2160" s="29" t="s">
        <v>349</v>
      </c>
      <c r="C2160" s="29" t="s">
        <v>355</v>
      </c>
      <c r="D2160" s="29" t="s">
        <v>360</v>
      </c>
      <c r="E2160" s="29" t="s">
        <v>172</v>
      </c>
      <c r="F2160" s="28" t="s">
        <v>5077</v>
      </c>
      <c r="G2160" s="28" t="s">
        <v>5078</v>
      </c>
      <c r="H2160" s="28" t="s">
        <v>174</v>
      </c>
      <c r="I2160" s="28" t="s">
        <v>174</v>
      </c>
      <c r="J2160" s="30" t="s">
        <v>174</v>
      </c>
      <c r="K2160" s="28" t="s">
        <v>302</v>
      </c>
      <c r="L2160" s="31">
        <v>43282</v>
      </c>
      <c r="M2160" s="28">
        <v>7</v>
      </c>
      <c r="N2160" s="32" t="s">
        <v>184</v>
      </c>
      <c r="O2160" s="28" t="s">
        <v>5077</v>
      </c>
      <c r="P2160" s="28" t="s">
        <v>5080</v>
      </c>
      <c r="Q2160" s="28" t="s">
        <v>5081</v>
      </c>
      <c r="R2160" s="28" t="s">
        <v>4036</v>
      </c>
    </row>
    <row r="2161" spans="1:18" hidden="1">
      <c r="A2161" s="28">
        <v>10</v>
      </c>
      <c r="B2161" s="29" t="s">
        <v>1215</v>
      </c>
      <c r="C2161" s="29" t="s">
        <v>1221</v>
      </c>
      <c r="D2161" s="29" t="s">
        <v>1222</v>
      </c>
      <c r="E2161" s="29" t="s">
        <v>374</v>
      </c>
      <c r="F2161" s="28" t="s">
        <v>5082</v>
      </c>
      <c r="G2161" s="28" t="s">
        <v>5083</v>
      </c>
      <c r="H2161" s="28" t="s">
        <v>174</v>
      </c>
      <c r="I2161" s="28" t="s">
        <v>174</v>
      </c>
      <c r="J2161" s="30" t="s">
        <v>174</v>
      </c>
      <c r="K2161" s="28" t="s">
        <v>236</v>
      </c>
      <c r="L2161" s="31">
        <v>43617</v>
      </c>
      <c r="M2161" s="28">
        <v>6</v>
      </c>
      <c r="N2161" s="32" t="s">
        <v>184</v>
      </c>
      <c r="O2161" s="28" t="s">
        <v>177</v>
      </c>
      <c r="P2161" s="28" t="s">
        <v>5084</v>
      </c>
      <c r="Q2161" s="28" t="s">
        <v>5085</v>
      </c>
      <c r="R2161" s="28" t="s">
        <v>5086</v>
      </c>
    </row>
    <row r="2162" spans="1:18" hidden="1">
      <c r="A2162" s="28">
        <v>10</v>
      </c>
      <c r="B2162" s="29" t="s">
        <v>1215</v>
      </c>
      <c r="C2162" s="29" t="s">
        <v>1221</v>
      </c>
      <c r="D2162" s="29" t="s">
        <v>1222</v>
      </c>
      <c r="E2162" s="29" t="s">
        <v>374</v>
      </c>
      <c r="F2162" s="28" t="s">
        <v>5082</v>
      </c>
      <c r="G2162" s="28" t="s">
        <v>5087</v>
      </c>
      <c r="H2162" s="28" t="s">
        <v>174</v>
      </c>
      <c r="I2162" s="28" t="s">
        <v>174</v>
      </c>
      <c r="J2162" s="30" t="s">
        <v>174</v>
      </c>
      <c r="K2162" s="28" t="s">
        <v>183</v>
      </c>
      <c r="L2162" s="31">
        <v>43983</v>
      </c>
      <c r="M2162" s="28">
        <v>6</v>
      </c>
      <c r="N2162" s="32" t="s">
        <v>184</v>
      </c>
      <c r="O2162" s="28" t="s">
        <v>2975</v>
      </c>
      <c r="P2162" s="28" t="s">
        <v>5088</v>
      </c>
      <c r="Q2162" s="28" t="s">
        <v>5089</v>
      </c>
      <c r="R2162" s="28" t="s">
        <v>5090</v>
      </c>
    </row>
    <row r="2163" spans="1:18" hidden="1">
      <c r="A2163" s="28">
        <v>11</v>
      </c>
      <c r="B2163" s="29" t="s">
        <v>169</v>
      </c>
      <c r="C2163" s="29" t="s">
        <v>181</v>
      </c>
      <c r="D2163" s="29" t="s">
        <v>189</v>
      </c>
      <c r="E2163" s="29" t="s">
        <v>172</v>
      </c>
      <c r="F2163" s="28" t="s">
        <v>5082</v>
      </c>
      <c r="G2163" s="28" t="s">
        <v>5083</v>
      </c>
      <c r="H2163" s="28" t="s">
        <v>174</v>
      </c>
      <c r="I2163" s="28" t="s">
        <v>174</v>
      </c>
      <c r="J2163" s="30" t="s">
        <v>174</v>
      </c>
      <c r="K2163" s="28" t="s">
        <v>271</v>
      </c>
      <c r="L2163" s="31">
        <v>42856</v>
      </c>
      <c r="M2163" s="28">
        <v>5</v>
      </c>
      <c r="N2163" s="32" t="s">
        <v>191</v>
      </c>
      <c r="O2163" s="28" t="s">
        <v>177</v>
      </c>
      <c r="P2163" s="28" t="s">
        <v>5091</v>
      </c>
      <c r="Q2163" s="28" t="s">
        <v>5092</v>
      </c>
      <c r="R2163" s="28" t="s">
        <v>5093</v>
      </c>
    </row>
    <row r="2164" spans="1:18" hidden="1">
      <c r="A2164" s="28">
        <v>11</v>
      </c>
      <c r="B2164" s="29" t="s">
        <v>169</v>
      </c>
      <c r="C2164" s="29" t="s">
        <v>181</v>
      </c>
      <c r="D2164" s="29" t="s">
        <v>189</v>
      </c>
      <c r="E2164" s="29" t="s">
        <v>172</v>
      </c>
      <c r="F2164" s="28" t="s">
        <v>5082</v>
      </c>
      <c r="G2164" s="28" t="s">
        <v>5083</v>
      </c>
      <c r="H2164" s="28" t="s">
        <v>174</v>
      </c>
      <c r="I2164" s="28" t="s">
        <v>174</v>
      </c>
      <c r="J2164" s="30" t="s">
        <v>174</v>
      </c>
      <c r="K2164" s="28" t="s">
        <v>302</v>
      </c>
      <c r="L2164" s="31">
        <v>43282</v>
      </c>
      <c r="M2164" s="28">
        <v>7</v>
      </c>
      <c r="N2164" s="32" t="s">
        <v>184</v>
      </c>
      <c r="O2164" s="28" t="s">
        <v>272</v>
      </c>
      <c r="P2164" s="28" t="s">
        <v>5094</v>
      </c>
      <c r="Q2164" s="28" t="s">
        <v>5095</v>
      </c>
      <c r="R2164" s="28" t="s">
        <v>5096</v>
      </c>
    </row>
    <row r="2165" spans="1:18" hidden="1">
      <c r="A2165" s="28">
        <v>12</v>
      </c>
      <c r="B2165" s="29" t="s">
        <v>195</v>
      </c>
      <c r="C2165" s="29" t="s">
        <v>1391</v>
      </c>
      <c r="D2165" s="29" t="s">
        <v>5097</v>
      </c>
      <c r="E2165" s="29" t="s">
        <v>172</v>
      </c>
      <c r="F2165" s="28" t="s">
        <v>5082</v>
      </c>
      <c r="G2165" s="28" t="s">
        <v>5087</v>
      </c>
      <c r="H2165" s="28" t="s">
        <v>174</v>
      </c>
      <c r="I2165" s="28" t="s">
        <v>174</v>
      </c>
      <c r="J2165" s="30" t="s">
        <v>174</v>
      </c>
      <c r="K2165" s="28" t="s">
        <v>263</v>
      </c>
      <c r="L2165" s="31">
        <v>42430</v>
      </c>
      <c r="M2165" s="28">
        <v>3</v>
      </c>
      <c r="N2165" s="32" t="s">
        <v>191</v>
      </c>
      <c r="O2165" s="28" t="s">
        <v>2054</v>
      </c>
      <c r="P2165" s="28" t="s">
        <v>5098</v>
      </c>
      <c r="Q2165" s="28" t="s">
        <v>5099</v>
      </c>
      <c r="R2165" s="28" t="s">
        <v>5100</v>
      </c>
    </row>
    <row r="2166" spans="1:18" hidden="1">
      <c r="A2166" s="28">
        <v>12</v>
      </c>
      <c r="B2166" s="29" t="s">
        <v>195</v>
      </c>
      <c r="C2166" s="29" t="s">
        <v>1391</v>
      </c>
      <c r="D2166" s="29" t="s">
        <v>5097</v>
      </c>
      <c r="E2166" s="29" t="s">
        <v>172</v>
      </c>
      <c r="F2166" s="28" t="s">
        <v>5082</v>
      </c>
      <c r="G2166" s="28" t="s">
        <v>5087</v>
      </c>
      <c r="H2166" s="28" t="s">
        <v>174</v>
      </c>
      <c r="I2166" s="28" t="s">
        <v>174</v>
      </c>
      <c r="J2166" s="30" t="s">
        <v>174</v>
      </c>
      <c r="K2166" s="28" t="s">
        <v>218</v>
      </c>
      <c r="L2166" s="31">
        <v>44044</v>
      </c>
      <c r="M2166" s="28">
        <v>8</v>
      </c>
      <c r="N2166" s="32" t="s">
        <v>184</v>
      </c>
      <c r="O2166" s="28" t="s">
        <v>2054</v>
      </c>
      <c r="P2166" s="28" t="s">
        <v>5101</v>
      </c>
      <c r="Q2166" s="28" t="s">
        <v>5102</v>
      </c>
      <c r="R2166" s="28" t="s">
        <v>5103</v>
      </c>
    </row>
    <row r="2167" spans="1:18" hidden="1">
      <c r="A2167" s="28">
        <v>12</v>
      </c>
      <c r="B2167" s="29" t="s">
        <v>195</v>
      </c>
      <c r="C2167" s="29" t="s">
        <v>230</v>
      </c>
      <c r="D2167" s="29" t="s">
        <v>231</v>
      </c>
      <c r="E2167" s="29" t="s">
        <v>172</v>
      </c>
      <c r="F2167" s="28" t="s">
        <v>5082</v>
      </c>
      <c r="G2167" s="28" t="s">
        <v>5087</v>
      </c>
      <c r="H2167" s="28" t="s">
        <v>174</v>
      </c>
      <c r="I2167" s="28" t="s">
        <v>174</v>
      </c>
      <c r="J2167" s="30" t="s">
        <v>174</v>
      </c>
      <c r="K2167" s="28" t="s">
        <v>248</v>
      </c>
      <c r="L2167" s="31">
        <v>43070</v>
      </c>
      <c r="M2167" s="28">
        <v>12</v>
      </c>
      <c r="N2167" s="32" t="s">
        <v>176</v>
      </c>
      <c r="O2167" s="28" t="s">
        <v>2054</v>
      </c>
      <c r="P2167" s="28" t="s">
        <v>5104</v>
      </c>
      <c r="Q2167" s="28" t="s">
        <v>5105</v>
      </c>
      <c r="R2167" s="28" t="s">
        <v>5106</v>
      </c>
    </row>
    <row r="2168" spans="1:18" hidden="1">
      <c r="A2168" s="28">
        <v>2</v>
      </c>
      <c r="B2168" s="29" t="s">
        <v>240</v>
      </c>
      <c r="C2168" s="29" t="s">
        <v>915</v>
      </c>
      <c r="D2168" s="29" t="s">
        <v>4279</v>
      </c>
      <c r="E2168" s="29" t="s">
        <v>172</v>
      </c>
      <c r="F2168" s="28" t="s">
        <v>5082</v>
      </c>
      <c r="G2168" s="28" t="s">
        <v>5087</v>
      </c>
      <c r="H2168" s="28" t="s">
        <v>174</v>
      </c>
      <c r="I2168" s="28" t="s">
        <v>174</v>
      </c>
      <c r="J2168" s="30" t="s">
        <v>174</v>
      </c>
      <c r="K2168" s="28" t="s">
        <v>1136</v>
      </c>
      <c r="L2168" s="31">
        <v>43497</v>
      </c>
      <c r="M2168" s="28">
        <v>2</v>
      </c>
      <c r="N2168" s="32" t="s">
        <v>176</v>
      </c>
      <c r="O2168" s="28" t="s">
        <v>2054</v>
      </c>
      <c r="P2168" s="28" t="s">
        <v>5107</v>
      </c>
      <c r="Q2168" s="28" t="s">
        <v>5108</v>
      </c>
      <c r="R2168" s="28" t="s">
        <v>5109</v>
      </c>
    </row>
    <row r="2169" spans="1:18" hidden="1">
      <c r="A2169" s="28">
        <v>4</v>
      </c>
      <c r="B2169" s="29" t="s">
        <v>306</v>
      </c>
      <c r="C2169" s="29" t="s">
        <v>1776</v>
      </c>
      <c r="D2169" s="29" t="s">
        <v>2666</v>
      </c>
      <c r="E2169" s="29" t="s">
        <v>172</v>
      </c>
      <c r="F2169" s="28" t="s">
        <v>5082</v>
      </c>
      <c r="G2169" s="28" t="s">
        <v>5087</v>
      </c>
      <c r="H2169" s="28" t="s">
        <v>174</v>
      </c>
      <c r="I2169" s="28" t="s">
        <v>174</v>
      </c>
      <c r="J2169" s="30" t="s">
        <v>174</v>
      </c>
      <c r="K2169" s="28" t="s">
        <v>473</v>
      </c>
      <c r="L2169" s="31">
        <v>43160</v>
      </c>
      <c r="M2169" s="28">
        <v>3</v>
      </c>
      <c r="N2169" s="32" t="s">
        <v>191</v>
      </c>
      <c r="O2169" s="28" t="s">
        <v>2054</v>
      </c>
      <c r="P2169" s="28" t="s">
        <v>5110</v>
      </c>
      <c r="Q2169" s="28" t="s">
        <v>5111</v>
      </c>
      <c r="R2169" s="28" t="s">
        <v>5112</v>
      </c>
    </row>
    <row r="2170" spans="1:18" hidden="1">
      <c r="A2170" s="28">
        <v>4</v>
      </c>
      <c r="B2170" s="29" t="s">
        <v>306</v>
      </c>
      <c r="C2170" s="29" t="s">
        <v>333</v>
      </c>
      <c r="D2170" s="29" t="s">
        <v>673</v>
      </c>
      <c r="E2170" s="29" t="s">
        <v>172</v>
      </c>
      <c r="F2170" s="28" t="s">
        <v>5082</v>
      </c>
      <c r="G2170" s="28" t="s">
        <v>5083</v>
      </c>
      <c r="H2170" s="28" t="s">
        <v>174</v>
      </c>
      <c r="I2170" s="28" t="s">
        <v>174</v>
      </c>
      <c r="J2170" s="30" t="s">
        <v>174</v>
      </c>
      <c r="K2170" s="28" t="s">
        <v>341</v>
      </c>
      <c r="L2170" s="31">
        <v>44228</v>
      </c>
      <c r="M2170" s="28">
        <v>2</v>
      </c>
      <c r="N2170" s="32" t="s">
        <v>176</v>
      </c>
      <c r="O2170" s="28" t="s">
        <v>272</v>
      </c>
      <c r="P2170" s="28" t="s">
        <v>5113</v>
      </c>
      <c r="Q2170" s="28" t="s">
        <v>5114</v>
      </c>
      <c r="R2170" s="28" t="s">
        <v>5115</v>
      </c>
    </row>
    <row r="2171" spans="1:18" hidden="1">
      <c r="A2171" s="28">
        <v>5</v>
      </c>
      <c r="B2171" s="29" t="s">
        <v>349</v>
      </c>
      <c r="C2171" s="29" t="s">
        <v>350</v>
      </c>
      <c r="D2171" s="29" t="s">
        <v>725</v>
      </c>
      <c r="E2171" s="29" t="s">
        <v>172</v>
      </c>
      <c r="F2171" s="28" t="s">
        <v>5082</v>
      </c>
      <c r="G2171" s="28" t="s">
        <v>5083</v>
      </c>
      <c r="H2171" s="28" t="s">
        <v>174</v>
      </c>
      <c r="I2171" s="28" t="s">
        <v>174</v>
      </c>
      <c r="J2171" s="30" t="s">
        <v>174</v>
      </c>
      <c r="K2171" s="28" t="s">
        <v>683</v>
      </c>
      <c r="L2171" s="31">
        <v>43831</v>
      </c>
      <c r="M2171" s="28">
        <v>1</v>
      </c>
      <c r="N2171" s="32" t="s">
        <v>176</v>
      </c>
      <c r="O2171" s="28" t="s">
        <v>177</v>
      </c>
      <c r="P2171" s="28" t="s">
        <v>5116</v>
      </c>
      <c r="Q2171" s="28" t="s">
        <v>5117</v>
      </c>
      <c r="R2171" s="28" t="s">
        <v>5118</v>
      </c>
    </row>
    <row r="2172" spans="1:18" hidden="1">
      <c r="A2172" s="28">
        <v>5</v>
      </c>
      <c r="B2172" s="29" t="s">
        <v>349</v>
      </c>
      <c r="C2172" s="29" t="s">
        <v>355</v>
      </c>
      <c r="D2172" s="29" t="s">
        <v>360</v>
      </c>
      <c r="E2172" s="29" t="s">
        <v>172</v>
      </c>
      <c r="F2172" s="28" t="s">
        <v>5082</v>
      </c>
      <c r="G2172" s="28" t="s">
        <v>5083</v>
      </c>
      <c r="H2172" s="28" t="s">
        <v>174</v>
      </c>
      <c r="I2172" s="28" t="s">
        <v>174</v>
      </c>
      <c r="J2172" s="30" t="s">
        <v>174</v>
      </c>
      <c r="K2172" s="28" t="s">
        <v>190</v>
      </c>
      <c r="L2172" s="31">
        <v>44287</v>
      </c>
      <c r="M2172" s="28">
        <v>4</v>
      </c>
      <c r="N2172" s="32" t="s">
        <v>191</v>
      </c>
      <c r="O2172" s="28" t="s">
        <v>204</v>
      </c>
      <c r="P2172" s="28" t="s">
        <v>5119</v>
      </c>
      <c r="Q2172" s="28" t="s">
        <v>5120</v>
      </c>
      <c r="R2172" s="28" t="s">
        <v>5121</v>
      </c>
    </row>
    <row r="2173" spans="1:18" hidden="1">
      <c r="A2173" s="28">
        <v>5</v>
      </c>
      <c r="B2173" s="29" t="s">
        <v>349</v>
      </c>
      <c r="C2173" s="29" t="s">
        <v>355</v>
      </c>
      <c r="D2173" s="29" t="s">
        <v>360</v>
      </c>
      <c r="E2173" s="29" t="s">
        <v>172</v>
      </c>
      <c r="F2173" s="28" t="s">
        <v>5082</v>
      </c>
      <c r="G2173" s="28" t="s">
        <v>5087</v>
      </c>
      <c r="H2173" s="28" t="s">
        <v>174</v>
      </c>
      <c r="I2173" s="28" t="s">
        <v>174</v>
      </c>
      <c r="J2173" s="30" t="s">
        <v>174</v>
      </c>
      <c r="K2173" s="28" t="s">
        <v>632</v>
      </c>
      <c r="L2173" s="31">
        <v>44378</v>
      </c>
      <c r="M2173" s="28">
        <v>7</v>
      </c>
      <c r="N2173" s="32" t="s">
        <v>184</v>
      </c>
      <c r="O2173" s="28" t="s">
        <v>2975</v>
      </c>
      <c r="P2173" s="28" t="s">
        <v>5122</v>
      </c>
      <c r="Q2173" s="28" t="s">
        <v>5123</v>
      </c>
      <c r="R2173" s="28" t="s">
        <v>5112</v>
      </c>
    </row>
    <row r="2174" spans="1:18" hidden="1">
      <c r="A2174" s="28">
        <v>5</v>
      </c>
      <c r="B2174" s="29" t="s">
        <v>349</v>
      </c>
      <c r="C2174" s="29" t="s">
        <v>761</v>
      </c>
      <c r="D2174" s="29" t="s">
        <v>762</v>
      </c>
      <c r="E2174" s="29" t="s">
        <v>172</v>
      </c>
      <c r="F2174" s="28" t="s">
        <v>5082</v>
      </c>
      <c r="G2174" s="28" t="s">
        <v>5087</v>
      </c>
      <c r="H2174" s="28" t="s">
        <v>174</v>
      </c>
      <c r="I2174" s="28" t="s">
        <v>174</v>
      </c>
      <c r="J2174" s="30" t="s">
        <v>174</v>
      </c>
      <c r="K2174" s="28" t="s">
        <v>248</v>
      </c>
      <c r="L2174" s="31">
        <v>43070</v>
      </c>
      <c r="M2174" s="28">
        <v>12</v>
      </c>
      <c r="N2174" s="32" t="s">
        <v>176</v>
      </c>
      <c r="O2174" s="28" t="s">
        <v>185</v>
      </c>
      <c r="P2174" s="28" t="s">
        <v>5124</v>
      </c>
      <c r="Q2174" s="28" t="s">
        <v>5125</v>
      </c>
      <c r="R2174" s="28" t="s">
        <v>5126</v>
      </c>
    </row>
    <row r="2175" spans="1:18" hidden="1">
      <c r="A2175" s="28">
        <v>12</v>
      </c>
      <c r="B2175" s="29" t="s">
        <v>195</v>
      </c>
      <c r="C2175" s="29" t="s">
        <v>196</v>
      </c>
      <c r="D2175" s="29" t="s">
        <v>197</v>
      </c>
      <c r="E2175" s="29" t="s">
        <v>172</v>
      </c>
      <c r="F2175" s="28" t="s">
        <v>3776</v>
      </c>
      <c r="G2175" s="28" t="s">
        <v>5127</v>
      </c>
      <c r="H2175" s="28" t="s">
        <v>384</v>
      </c>
      <c r="I2175" s="28">
        <v>4</v>
      </c>
      <c r="J2175" s="30">
        <v>6.9000000000000006E-2</v>
      </c>
      <c r="K2175" s="28" t="s">
        <v>328</v>
      </c>
      <c r="L2175" s="31">
        <v>43891</v>
      </c>
      <c r="M2175" s="28">
        <v>3</v>
      </c>
      <c r="N2175" s="32" t="s">
        <v>191</v>
      </c>
      <c r="O2175" s="28" t="s">
        <v>204</v>
      </c>
      <c r="P2175" s="28" t="s">
        <v>5128</v>
      </c>
      <c r="Q2175" s="28" t="s">
        <v>5129</v>
      </c>
      <c r="R2175" s="28" t="s">
        <v>5130</v>
      </c>
    </row>
    <row r="2176" spans="1:18" hidden="1">
      <c r="A2176" s="28">
        <v>12</v>
      </c>
      <c r="B2176" s="29" t="s">
        <v>195</v>
      </c>
      <c r="C2176" s="29" t="s">
        <v>202</v>
      </c>
      <c r="D2176" s="29" t="s">
        <v>1389</v>
      </c>
      <c r="E2176" s="29" t="s">
        <v>172</v>
      </c>
      <c r="F2176" s="28" t="s">
        <v>3776</v>
      </c>
      <c r="G2176" s="28" t="s">
        <v>5127</v>
      </c>
      <c r="H2176" s="28" t="s">
        <v>384</v>
      </c>
      <c r="I2176" s="28">
        <v>4</v>
      </c>
      <c r="J2176" s="30">
        <v>6.9000000000000006E-2</v>
      </c>
      <c r="K2176" s="28" t="s">
        <v>475</v>
      </c>
      <c r="L2176" s="31">
        <v>43191</v>
      </c>
      <c r="M2176" s="28">
        <v>4</v>
      </c>
      <c r="N2176" s="32" t="s">
        <v>191</v>
      </c>
      <c r="O2176" s="28" t="s">
        <v>204</v>
      </c>
      <c r="P2176" s="28" t="s">
        <v>5131</v>
      </c>
      <c r="Q2176" s="28" t="s">
        <v>5132</v>
      </c>
      <c r="R2176" s="28" t="s">
        <v>5133</v>
      </c>
    </row>
    <row r="2177" spans="1:18" hidden="1">
      <c r="A2177" s="28">
        <v>2</v>
      </c>
      <c r="B2177" s="29" t="s">
        <v>240</v>
      </c>
      <c r="C2177" s="29" t="s">
        <v>241</v>
      </c>
      <c r="D2177" s="29" t="s">
        <v>252</v>
      </c>
      <c r="E2177" s="29" t="s">
        <v>172</v>
      </c>
      <c r="F2177" s="28" t="s">
        <v>3776</v>
      </c>
      <c r="G2177" s="28" t="s">
        <v>5127</v>
      </c>
      <c r="H2177" s="28" t="s">
        <v>384</v>
      </c>
      <c r="I2177" s="28">
        <v>4</v>
      </c>
      <c r="J2177" s="30">
        <v>6.9000000000000006E-2</v>
      </c>
      <c r="K2177" s="28" t="s">
        <v>769</v>
      </c>
      <c r="L2177" s="31">
        <v>42826</v>
      </c>
      <c r="M2177" s="28">
        <v>4</v>
      </c>
      <c r="N2177" s="32" t="s">
        <v>191</v>
      </c>
      <c r="O2177" s="28" t="s">
        <v>204</v>
      </c>
      <c r="P2177" s="28" t="s">
        <v>5134</v>
      </c>
      <c r="Q2177" s="28" t="s">
        <v>4274</v>
      </c>
      <c r="R2177" s="28" t="s">
        <v>4275</v>
      </c>
    </row>
    <row r="2178" spans="1:18" hidden="1">
      <c r="A2178" s="28">
        <v>2</v>
      </c>
      <c r="B2178" s="29" t="s">
        <v>240</v>
      </c>
      <c r="C2178" s="29" t="s">
        <v>241</v>
      </c>
      <c r="D2178" s="29" t="s">
        <v>252</v>
      </c>
      <c r="E2178" s="29" t="s">
        <v>172</v>
      </c>
      <c r="F2178" s="28" t="s">
        <v>3776</v>
      </c>
      <c r="G2178" s="28" t="s">
        <v>5127</v>
      </c>
      <c r="H2178" s="28" t="s">
        <v>384</v>
      </c>
      <c r="I2178" s="28">
        <v>4</v>
      </c>
      <c r="J2178" s="30">
        <v>6.9000000000000006E-2</v>
      </c>
      <c r="K2178" s="28" t="s">
        <v>522</v>
      </c>
      <c r="L2178" s="31">
        <v>44256</v>
      </c>
      <c r="M2178" s="28">
        <v>3</v>
      </c>
      <c r="N2178" s="32" t="s">
        <v>191</v>
      </c>
      <c r="O2178" s="28" t="s">
        <v>204</v>
      </c>
      <c r="P2178" s="28" t="s">
        <v>5135</v>
      </c>
      <c r="Q2178" s="28" t="s">
        <v>4274</v>
      </c>
      <c r="R2178" s="28" t="s">
        <v>4275</v>
      </c>
    </row>
    <row r="2179" spans="1:18">
      <c r="A2179" s="28">
        <v>3</v>
      </c>
      <c r="B2179" s="29" t="s">
        <v>286</v>
      </c>
      <c r="C2179" s="29" t="s">
        <v>287</v>
      </c>
      <c r="D2179" s="29" t="s">
        <v>288</v>
      </c>
      <c r="E2179" s="29" t="s">
        <v>172</v>
      </c>
      <c r="F2179" s="28" t="s">
        <v>3776</v>
      </c>
      <c r="G2179" s="28" t="s">
        <v>5127</v>
      </c>
      <c r="H2179" s="28" t="s">
        <v>384</v>
      </c>
      <c r="I2179" s="28">
        <v>4</v>
      </c>
      <c r="J2179" s="30">
        <v>6.9000000000000006E-2</v>
      </c>
      <c r="K2179" s="28" t="s">
        <v>813</v>
      </c>
      <c r="L2179" s="31">
        <v>43009</v>
      </c>
      <c r="M2179" s="28">
        <v>10</v>
      </c>
      <c r="N2179" s="32" t="s">
        <v>191</v>
      </c>
      <c r="O2179" s="28" t="s">
        <v>204</v>
      </c>
      <c r="P2179" s="28" t="s">
        <v>5136</v>
      </c>
      <c r="Q2179" s="28" t="s">
        <v>5137</v>
      </c>
      <c r="R2179" s="28" t="s">
        <v>5138</v>
      </c>
    </row>
    <row r="2180" spans="1:18">
      <c r="A2180" s="28">
        <v>3</v>
      </c>
      <c r="B2180" s="29" t="s">
        <v>286</v>
      </c>
      <c r="C2180" s="29" t="s">
        <v>287</v>
      </c>
      <c r="D2180" s="29" t="s">
        <v>288</v>
      </c>
      <c r="E2180" s="29" t="s">
        <v>172</v>
      </c>
      <c r="F2180" s="28" t="s">
        <v>3776</v>
      </c>
      <c r="G2180" s="28" t="s">
        <v>5127</v>
      </c>
      <c r="H2180" s="28" t="s">
        <v>384</v>
      </c>
      <c r="I2180" s="28">
        <v>4</v>
      </c>
      <c r="J2180" s="30">
        <v>6.9000000000000006E-2</v>
      </c>
      <c r="K2180" s="28" t="s">
        <v>293</v>
      </c>
      <c r="L2180" s="31">
        <v>43374</v>
      </c>
      <c r="M2180" s="28">
        <v>10</v>
      </c>
      <c r="N2180" s="32" t="s">
        <v>191</v>
      </c>
      <c r="O2180" s="28" t="s">
        <v>204</v>
      </c>
      <c r="P2180" s="28" t="s">
        <v>5139</v>
      </c>
      <c r="Q2180" s="28" t="s">
        <v>5140</v>
      </c>
      <c r="R2180" s="28" t="s">
        <v>5141</v>
      </c>
    </row>
    <row r="2181" spans="1:18">
      <c r="A2181" s="28">
        <v>3</v>
      </c>
      <c r="B2181" s="29" t="s">
        <v>286</v>
      </c>
      <c r="C2181" s="29" t="s">
        <v>287</v>
      </c>
      <c r="D2181" s="29" t="s">
        <v>288</v>
      </c>
      <c r="E2181" s="29" t="s">
        <v>172</v>
      </c>
      <c r="F2181" s="28" t="s">
        <v>3776</v>
      </c>
      <c r="G2181" s="28" t="s">
        <v>5127</v>
      </c>
      <c r="H2181" s="28" t="s">
        <v>384</v>
      </c>
      <c r="I2181" s="28">
        <v>4</v>
      </c>
      <c r="J2181" s="30">
        <v>6.9000000000000006E-2</v>
      </c>
      <c r="K2181" s="28" t="s">
        <v>278</v>
      </c>
      <c r="L2181" s="31">
        <v>43525</v>
      </c>
      <c r="M2181" s="28">
        <v>3</v>
      </c>
      <c r="N2181" s="32" t="s">
        <v>191</v>
      </c>
      <c r="O2181" s="28" t="s">
        <v>204</v>
      </c>
      <c r="P2181" s="28" t="s">
        <v>5142</v>
      </c>
      <c r="Q2181" s="28" t="s">
        <v>5140</v>
      </c>
      <c r="R2181" s="28" t="s">
        <v>5141</v>
      </c>
    </row>
    <row r="2182" spans="1:18" hidden="1">
      <c r="A2182" s="28">
        <v>4</v>
      </c>
      <c r="B2182" s="29" t="s">
        <v>306</v>
      </c>
      <c r="C2182" s="29" t="s">
        <v>307</v>
      </c>
      <c r="D2182" s="29" t="s">
        <v>592</v>
      </c>
      <c r="E2182" s="29" t="s">
        <v>172</v>
      </c>
      <c r="F2182" s="28" t="s">
        <v>3776</v>
      </c>
      <c r="G2182" s="28" t="s">
        <v>5127</v>
      </c>
      <c r="H2182" s="28" t="s">
        <v>384</v>
      </c>
      <c r="I2182" s="28">
        <v>4</v>
      </c>
      <c r="J2182" s="30">
        <v>6.9000000000000006E-2</v>
      </c>
      <c r="K2182" s="28" t="s">
        <v>424</v>
      </c>
      <c r="L2182" s="31">
        <v>43678</v>
      </c>
      <c r="M2182" s="28">
        <v>8</v>
      </c>
      <c r="N2182" s="32" t="s">
        <v>184</v>
      </c>
      <c r="O2182" s="28" t="s">
        <v>185</v>
      </c>
      <c r="P2182" s="28" t="s">
        <v>5143</v>
      </c>
      <c r="Q2182" s="28" t="s">
        <v>5144</v>
      </c>
      <c r="R2182" s="28" t="s">
        <v>5145</v>
      </c>
    </row>
    <row r="2183" spans="1:18" hidden="1">
      <c r="A2183" s="28">
        <v>4</v>
      </c>
      <c r="B2183" s="29" t="s">
        <v>306</v>
      </c>
      <c r="C2183" s="29" t="s">
        <v>307</v>
      </c>
      <c r="D2183" s="29" t="s">
        <v>592</v>
      </c>
      <c r="E2183" s="29" t="s">
        <v>172</v>
      </c>
      <c r="F2183" s="28" t="s">
        <v>3776</v>
      </c>
      <c r="G2183" s="28" t="s">
        <v>5127</v>
      </c>
      <c r="H2183" s="28" t="s">
        <v>384</v>
      </c>
      <c r="I2183" s="28">
        <v>4</v>
      </c>
      <c r="J2183" s="30">
        <v>6.9000000000000006E-2</v>
      </c>
      <c r="K2183" s="28" t="s">
        <v>522</v>
      </c>
      <c r="L2183" s="31">
        <v>44256</v>
      </c>
      <c r="M2183" s="28">
        <v>3</v>
      </c>
      <c r="N2183" s="32" t="s">
        <v>191</v>
      </c>
      <c r="O2183" s="28" t="s">
        <v>204</v>
      </c>
      <c r="P2183" s="28" t="s">
        <v>5146</v>
      </c>
      <c r="Q2183" s="28" t="s">
        <v>5147</v>
      </c>
      <c r="R2183" s="28" t="s">
        <v>5148</v>
      </c>
    </row>
    <row r="2184" spans="1:18" hidden="1">
      <c r="A2184" s="28">
        <v>4</v>
      </c>
      <c r="B2184" s="29" t="s">
        <v>306</v>
      </c>
      <c r="C2184" s="29" t="s">
        <v>307</v>
      </c>
      <c r="D2184" s="29" t="s">
        <v>604</v>
      </c>
      <c r="E2184" s="29" t="s">
        <v>172</v>
      </c>
      <c r="F2184" s="28" t="s">
        <v>3776</v>
      </c>
      <c r="G2184" s="28" t="s">
        <v>5127</v>
      </c>
      <c r="H2184" s="28" t="s">
        <v>384</v>
      </c>
      <c r="I2184" s="28">
        <v>4</v>
      </c>
      <c r="J2184" s="30">
        <v>6.9000000000000006E-2</v>
      </c>
      <c r="K2184" s="28" t="s">
        <v>243</v>
      </c>
      <c r="L2184" s="31">
        <v>42461</v>
      </c>
      <c r="M2184" s="28">
        <v>4</v>
      </c>
      <c r="N2184" s="32" t="s">
        <v>191</v>
      </c>
      <c r="O2184" s="28" t="s">
        <v>204</v>
      </c>
      <c r="P2184" s="28" t="s">
        <v>5149</v>
      </c>
      <c r="Q2184" s="28" t="s">
        <v>5150</v>
      </c>
      <c r="R2184" s="28" t="s">
        <v>5148</v>
      </c>
    </row>
    <row r="2185" spans="1:18" hidden="1">
      <c r="A2185" s="28">
        <v>4</v>
      </c>
      <c r="B2185" s="29" t="s">
        <v>306</v>
      </c>
      <c r="C2185" s="29" t="s">
        <v>307</v>
      </c>
      <c r="D2185" s="29" t="s">
        <v>604</v>
      </c>
      <c r="E2185" s="29" t="s">
        <v>172</v>
      </c>
      <c r="F2185" s="28" t="s">
        <v>3776</v>
      </c>
      <c r="G2185" s="28" t="s">
        <v>5127</v>
      </c>
      <c r="H2185" s="28" t="s">
        <v>384</v>
      </c>
      <c r="I2185" s="28">
        <v>4</v>
      </c>
      <c r="J2185" s="30">
        <v>6.9000000000000006E-2</v>
      </c>
      <c r="K2185" s="28" t="s">
        <v>971</v>
      </c>
      <c r="L2185" s="31">
        <v>42979</v>
      </c>
      <c r="M2185" s="28">
        <v>9</v>
      </c>
      <c r="N2185" s="32" t="s">
        <v>191</v>
      </c>
      <c r="O2185" s="28" t="s">
        <v>204</v>
      </c>
      <c r="P2185" s="28" t="s">
        <v>5151</v>
      </c>
      <c r="Q2185" s="28" t="s">
        <v>5150</v>
      </c>
      <c r="R2185" s="28" t="s">
        <v>5148</v>
      </c>
    </row>
    <row r="2186" spans="1:18" hidden="1">
      <c r="A2186" s="28">
        <v>4</v>
      </c>
      <c r="B2186" s="29" t="s">
        <v>306</v>
      </c>
      <c r="C2186" s="29" t="s">
        <v>307</v>
      </c>
      <c r="D2186" s="29" t="s">
        <v>604</v>
      </c>
      <c r="E2186" s="29" t="s">
        <v>172</v>
      </c>
      <c r="F2186" s="28" t="s">
        <v>3776</v>
      </c>
      <c r="G2186" s="28" t="s">
        <v>5127</v>
      </c>
      <c r="H2186" s="28" t="s">
        <v>384</v>
      </c>
      <c r="I2186" s="28">
        <v>4</v>
      </c>
      <c r="J2186" s="30">
        <v>6.9000000000000006E-2</v>
      </c>
      <c r="K2186" s="28" t="s">
        <v>1136</v>
      </c>
      <c r="L2186" s="31">
        <v>43497</v>
      </c>
      <c r="M2186" s="28">
        <v>2</v>
      </c>
      <c r="N2186" s="32" t="s">
        <v>176</v>
      </c>
      <c r="O2186" s="28" t="s">
        <v>204</v>
      </c>
      <c r="P2186" s="28" t="s">
        <v>5152</v>
      </c>
      <c r="Q2186" s="28" t="s">
        <v>5153</v>
      </c>
      <c r="R2186" s="28" t="s">
        <v>5154</v>
      </c>
    </row>
    <row r="2187" spans="1:18" hidden="1">
      <c r="A2187" s="28">
        <v>4</v>
      </c>
      <c r="B2187" s="29" t="s">
        <v>306</v>
      </c>
      <c r="C2187" s="29" t="s">
        <v>307</v>
      </c>
      <c r="D2187" s="29" t="s">
        <v>604</v>
      </c>
      <c r="E2187" s="29" t="s">
        <v>172</v>
      </c>
      <c r="F2187" s="28" t="s">
        <v>3776</v>
      </c>
      <c r="G2187" s="28" t="s">
        <v>5127</v>
      </c>
      <c r="H2187" s="28" t="s">
        <v>384</v>
      </c>
      <c r="I2187" s="28">
        <v>4</v>
      </c>
      <c r="J2187" s="30">
        <v>6.9000000000000006E-2</v>
      </c>
      <c r="K2187" s="28" t="s">
        <v>397</v>
      </c>
      <c r="L2187" s="31">
        <v>43739</v>
      </c>
      <c r="M2187" s="28">
        <v>10</v>
      </c>
      <c r="N2187" s="32" t="s">
        <v>191</v>
      </c>
      <c r="O2187" s="28" t="s">
        <v>204</v>
      </c>
      <c r="P2187" s="28" t="s">
        <v>5155</v>
      </c>
      <c r="Q2187" s="28" t="s">
        <v>5147</v>
      </c>
      <c r="R2187" s="28" t="s">
        <v>5148</v>
      </c>
    </row>
    <row r="2188" spans="1:18" hidden="1">
      <c r="A2188" s="28">
        <v>4</v>
      </c>
      <c r="B2188" s="29" t="s">
        <v>306</v>
      </c>
      <c r="C2188" s="29" t="s">
        <v>307</v>
      </c>
      <c r="D2188" s="29" t="s">
        <v>308</v>
      </c>
      <c r="E2188" s="29" t="s">
        <v>172</v>
      </c>
      <c r="F2188" s="28" t="s">
        <v>3776</v>
      </c>
      <c r="G2188" s="28" t="s">
        <v>5127</v>
      </c>
      <c r="H2188" s="28" t="s">
        <v>384</v>
      </c>
      <c r="I2188" s="28">
        <v>4</v>
      </c>
      <c r="J2188" s="30">
        <v>6.9000000000000006E-2</v>
      </c>
      <c r="K2188" s="28" t="s">
        <v>232</v>
      </c>
      <c r="L2188" s="31">
        <v>42522</v>
      </c>
      <c r="M2188" s="28">
        <v>6</v>
      </c>
      <c r="N2188" s="32" t="s">
        <v>184</v>
      </c>
      <c r="O2188" s="28" t="s">
        <v>204</v>
      </c>
      <c r="P2188" s="28" t="s">
        <v>5156</v>
      </c>
      <c r="Q2188" s="28" t="s">
        <v>5157</v>
      </c>
      <c r="R2188" s="28" t="s">
        <v>5158</v>
      </c>
    </row>
    <row r="2189" spans="1:18" hidden="1">
      <c r="A2189" s="28">
        <v>4</v>
      </c>
      <c r="B2189" s="29" t="s">
        <v>306</v>
      </c>
      <c r="C2189" s="29" t="s">
        <v>307</v>
      </c>
      <c r="D2189" s="29" t="s">
        <v>308</v>
      </c>
      <c r="E2189" s="29" t="s">
        <v>172</v>
      </c>
      <c r="F2189" s="28" t="s">
        <v>3776</v>
      </c>
      <c r="G2189" s="28" t="s">
        <v>5127</v>
      </c>
      <c r="H2189" s="28" t="s">
        <v>384</v>
      </c>
      <c r="I2189" s="28">
        <v>4</v>
      </c>
      <c r="J2189" s="30">
        <v>6.9000000000000006E-2</v>
      </c>
      <c r="K2189" s="28" t="s">
        <v>473</v>
      </c>
      <c r="L2189" s="31">
        <v>43160</v>
      </c>
      <c r="M2189" s="28">
        <v>3</v>
      </c>
      <c r="N2189" s="32" t="s">
        <v>191</v>
      </c>
      <c r="O2189" s="28" t="s">
        <v>204</v>
      </c>
      <c r="P2189" s="28" t="s">
        <v>5159</v>
      </c>
      <c r="Q2189" s="28" t="s">
        <v>5157</v>
      </c>
      <c r="R2189" s="28" t="s">
        <v>5158</v>
      </c>
    </row>
    <row r="2190" spans="1:18" hidden="1">
      <c r="A2190" s="28">
        <v>4</v>
      </c>
      <c r="B2190" s="29" t="s">
        <v>306</v>
      </c>
      <c r="C2190" s="29" t="s">
        <v>307</v>
      </c>
      <c r="D2190" s="29" t="s">
        <v>308</v>
      </c>
      <c r="E2190" s="29" t="s">
        <v>172</v>
      </c>
      <c r="F2190" s="28" t="s">
        <v>3776</v>
      </c>
      <c r="G2190" s="28" t="s">
        <v>5127</v>
      </c>
      <c r="H2190" s="28" t="s">
        <v>384</v>
      </c>
      <c r="I2190" s="28">
        <v>4</v>
      </c>
      <c r="J2190" s="30">
        <v>6.9000000000000006E-2</v>
      </c>
      <c r="K2190" s="28" t="s">
        <v>361</v>
      </c>
      <c r="L2190" s="31">
        <v>43435</v>
      </c>
      <c r="M2190" s="28">
        <v>12</v>
      </c>
      <c r="N2190" s="32" t="s">
        <v>176</v>
      </c>
      <c r="O2190" s="28" t="s">
        <v>204</v>
      </c>
      <c r="P2190" s="28" t="s">
        <v>5160</v>
      </c>
      <c r="Q2190" s="28" t="s">
        <v>5147</v>
      </c>
      <c r="R2190" s="28" t="s">
        <v>5148</v>
      </c>
    </row>
    <row r="2191" spans="1:18" hidden="1">
      <c r="A2191" s="28">
        <v>4</v>
      </c>
      <c r="B2191" s="29" t="s">
        <v>306</v>
      </c>
      <c r="C2191" s="29" t="s">
        <v>307</v>
      </c>
      <c r="D2191" s="29" t="s">
        <v>308</v>
      </c>
      <c r="E2191" s="29" t="s">
        <v>172</v>
      </c>
      <c r="F2191" s="28" t="s">
        <v>3776</v>
      </c>
      <c r="G2191" s="28" t="s">
        <v>5127</v>
      </c>
      <c r="H2191" s="28" t="s">
        <v>384</v>
      </c>
      <c r="I2191" s="28">
        <v>4</v>
      </c>
      <c r="J2191" s="30">
        <v>6.9000000000000006E-2</v>
      </c>
      <c r="K2191" s="28" t="s">
        <v>844</v>
      </c>
      <c r="L2191" s="31">
        <v>43586</v>
      </c>
      <c r="M2191" s="28">
        <v>5</v>
      </c>
      <c r="N2191" s="32" t="s">
        <v>191</v>
      </c>
      <c r="O2191" s="28" t="s">
        <v>204</v>
      </c>
      <c r="P2191" s="28" t="s">
        <v>5161</v>
      </c>
      <c r="Q2191" s="28" t="s">
        <v>5147</v>
      </c>
      <c r="R2191" s="28" t="s">
        <v>5148</v>
      </c>
    </row>
    <row r="2192" spans="1:18" hidden="1">
      <c r="A2192" s="28">
        <v>4</v>
      </c>
      <c r="B2192" s="29" t="s">
        <v>306</v>
      </c>
      <c r="C2192" s="29" t="s">
        <v>307</v>
      </c>
      <c r="D2192" s="29" t="s">
        <v>308</v>
      </c>
      <c r="E2192" s="29" t="s">
        <v>172</v>
      </c>
      <c r="F2192" s="28" t="s">
        <v>3776</v>
      </c>
      <c r="G2192" s="28" t="s">
        <v>5127</v>
      </c>
      <c r="H2192" s="28" t="s">
        <v>384</v>
      </c>
      <c r="I2192" s="28">
        <v>4</v>
      </c>
      <c r="J2192" s="30">
        <v>6.9000000000000006E-2</v>
      </c>
      <c r="K2192" s="28" t="s">
        <v>442</v>
      </c>
      <c r="L2192" s="31">
        <v>43647</v>
      </c>
      <c r="M2192" s="28">
        <v>7</v>
      </c>
      <c r="N2192" s="32" t="s">
        <v>184</v>
      </c>
      <c r="O2192" s="28" t="s">
        <v>204</v>
      </c>
      <c r="P2192" s="28" t="s">
        <v>5162</v>
      </c>
      <c r="Q2192" s="28" t="s">
        <v>5147</v>
      </c>
      <c r="R2192" s="28" t="s">
        <v>5148</v>
      </c>
    </row>
    <row r="2193" spans="1:18" hidden="1">
      <c r="A2193" s="28">
        <v>4</v>
      </c>
      <c r="B2193" s="29" t="s">
        <v>306</v>
      </c>
      <c r="C2193" s="29" t="s">
        <v>307</v>
      </c>
      <c r="D2193" s="29" t="s">
        <v>308</v>
      </c>
      <c r="E2193" s="29" t="s">
        <v>172</v>
      </c>
      <c r="F2193" s="28" t="s">
        <v>3776</v>
      </c>
      <c r="G2193" s="28" t="s">
        <v>5127</v>
      </c>
      <c r="H2193" s="28" t="s">
        <v>384</v>
      </c>
      <c r="I2193" s="28">
        <v>4</v>
      </c>
      <c r="J2193" s="30">
        <v>6.9000000000000006E-2</v>
      </c>
      <c r="K2193" s="28" t="s">
        <v>345</v>
      </c>
      <c r="L2193" s="31">
        <v>44440</v>
      </c>
      <c r="M2193" s="28">
        <v>9</v>
      </c>
      <c r="N2193" s="32" t="s">
        <v>191</v>
      </c>
      <c r="O2193" s="28" t="s">
        <v>204</v>
      </c>
      <c r="P2193" s="28" t="s">
        <v>5163</v>
      </c>
      <c r="Q2193" s="28" t="s">
        <v>5153</v>
      </c>
      <c r="R2193" s="28" t="s">
        <v>5154</v>
      </c>
    </row>
    <row r="2194" spans="1:18" hidden="1">
      <c r="A2194" s="28">
        <v>4</v>
      </c>
      <c r="B2194" s="29" t="s">
        <v>306</v>
      </c>
      <c r="C2194" s="29" t="s">
        <v>312</v>
      </c>
      <c r="D2194" s="29" t="s">
        <v>313</v>
      </c>
      <c r="E2194" s="29" t="s">
        <v>172</v>
      </c>
      <c r="F2194" s="28" t="s">
        <v>3776</v>
      </c>
      <c r="G2194" s="28" t="s">
        <v>5127</v>
      </c>
      <c r="H2194" s="28" t="s">
        <v>384</v>
      </c>
      <c r="I2194" s="28">
        <v>4</v>
      </c>
      <c r="J2194" s="30">
        <v>6.9000000000000006E-2</v>
      </c>
      <c r="K2194" s="28" t="s">
        <v>302</v>
      </c>
      <c r="L2194" s="31">
        <v>43282</v>
      </c>
      <c r="M2194" s="28">
        <v>7</v>
      </c>
      <c r="N2194" s="32" t="s">
        <v>184</v>
      </c>
      <c r="O2194" s="28" t="s">
        <v>204</v>
      </c>
      <c r="P2194" s="28" t="s">
        <v>5164</v>
      </c>
      <c r="Q2194" s="28" t="s">
        <v>5147</v>
      </c>
      <c r="R2194" s="28" t="s">
        <v>5148</v>
      </c>
    </row>
    <row r="2195" spans="1:18" hidden="1">
      <c r="A2195" s="28">
        <v>4</v>
      </c>
      <c r="B2195" s="29" t="s">
        <v>306</v>
      </c>
      <c r="C2195" s="29" t="s">
        <v>624</v>
      </c>
      <c r="D2195" s="29" t="s">
        <v>625</v>
      </c>
      <c r="E2195" s="29" t="s">
        <v>172</v>
      </c>
      <c r="F2195" s="28" t="s">
        <v>3776</v>
      </c>
      <c r="G2195" s="28" t="s">
        <v>5127</v>
      </c>
      <c r="H2195" s="28" t="s">
        <v>384</v>
      </c>
      <c r="I2195" s="28">
        <v>4</v>
      </c>
      <c r="J2195" s="30">
        <v>6.9000000000000006E-2</v>
      </c>
      <c r="K2195" s="28" t="s">
        <v>813</v>
      </c>
      <c r="L2195" s="31">
        <v>43009</v>
      </c>
      <c r="M2195" s="28">
        <v>10</v>
      </c>
      <c r="N2195" s="32" t="s">
        <v>191</v>
      </c>
      <c r="O2195" s="28" t="s">
        <v>204</v>
      </c>
      <c r="P2195" s="28" t="s">
        <v>5165</v>
      </c>
      <c r="Q2195" s="28" t="s">
        <v>5166</v>
      </c>
      <c r="R2195" s="28" t="s">
        <v>5148</v>
      </c>
    </row>
    <row r="2196" spans="1:18" hidden="1">
      <c r="A2196" s="28">
        <v>4</v>
      </c>
      <c r="B2196" s="29" t="s">
        <v>306</v>
      </c>
      <c r="C2196" s="29" t="s">
        <v>624</v>
      </c>
      <c r="D2196" s="29" t="s">
        <v>625</v>
      </c>
      <c r="E2196" s="29" t="s">
        <v>172</v>
      </c>
      <c r="F2196" s="28" t="s">
        <v>3776</v>
      </c>
      <c r="G2196" s="28" t="s">
        <v>5127</v>
      </c>
      <c r="H2196" s="28" t="s">
        <v>384</v>
      </c>
      <c r="I2196" s="28">
        <v>4</v>
      </c>
      <c r="J2196" s="30">
        <v>6.9000000000000006E-2</v>
      </c>
      <c r="K2196" s="28" t="s">
        <v>435</v>
      </c>
      <c r="L2196" s="31">
        <v>43040</v>
      </c>
      <c r="M2196" s="28">
        <v>11</v>
      </c>
      <c r="N2196" s="32" t="s">
        <v>191</v>
      </c>
      <c r="O2196" s="28" t="s">
        <v>204</v>
      </c>
      <c r="P2196" s="28" t="s">
        <v>5167</v>
      </c>
      <c r="Q2196" s="28" t="s">
        <v>5168</v>
      </c>
      <c r="R2196" s="28" t="s">
        <v>5148</v>
      </c>
    </row>
    <row r="2197" spans="1:18" hidden="1">
      <c r="A2197" s="28">
        <v>4</v>
      </c>
      <c r="B2197" s="29" t="s">
        <v>306</v>
      </c>
      <c r="C2197" s="29" t="s">
        <v>624</v>
      </c>
      <c r="D2197" s="29" t="s">
        <v>625</v>
      </c>
      <c r="E2197" s="29" t="s">
        <v>172</v>
      </c>
      <c r="F2197" s="28" t="s">
        <v>3776</v>
      </c>
      <c r="G2197" s="28" t="s">
        <v>5127</v>
      </c>
      <c r="H2197" s="28" t="s">
        <v>384</v>
      </c>
      <c r="I2197" s="28">
        <v>4</v>
      </c>
      <c r="J2197" s="30">
        <v>6.9000000000000006E-2</v>
      </c>
      <c r="K2197" s="28" t="s">
        <v>559</v>
      </c>
      <c r="L2197" s="31">
        <v>43252</v>
      </c>
      <c r="M2197" s="28">
        <v>6</v>
      </c>
      <c r="N2197" s="32" t="s">
        <v>184</v>
      </c>
      <c r="O2197" s="28" t="s">
        <v>204</v>
      </c>
      <c r="P2197" s="28" t="s">
        <v>5169</v>
      </c>
      <c r="Q2197" s="28" t="s">
        <v>5168</v>
      </c>
      <c r="R2197" s="28" t="s">
        <v>5148</v>
      </c>
    </row>
    <row r="2198" spans="1:18" hidden="1">
      <c r="A2198" s="28">
        <v>4</v>
      </c>
      <c r="B2198" s="29" t="s">
        <v>306</v>
      </c>
      <c r="C2198" s="29" t="s">
        <v>624</v>
      </c>
      <c r="D2198" s="29" t="s">
        <v>625</v>
      </c>
      <c r="E2198" s="29" t="s">
        <v>172</v>
      </c>
      <c r="F2198" s="28" t="s">
        <v>3776</v>
      </c>
      <c r="G2198" s="28" t="s">
        <v>5127</v>
      </c>
      <c r="H2198" s="28" t="s">
        <v>384</v>
      </c>
      <c r="I2198" s="28">
        <v>4</v>
      </c>
      <c r="J2198" s="30">
        <v>6.9000000000000006E-2</v>
      </c>
      <c r="K2198" s="28" t="s">
        <v>361</v>
      </c>
      <c r="L2198" s="31">
        <v>43435</v>
      </c>
      <c r="M2198" s="28">
        <v>12</v>
      </c>
      <c r="N2198" s="32" t="s">
        <v>176</v>
      </c>
      <c r="O2198" s="28" t="s">
        <v>204</v>
      </c>
      <c r="P2198" s="28" t="s">
        <v>5170</v>
      </c>
      <c r="Q2198" s="28" t="s">
        <v>5166</v>
      </c>
      <c r="R2198" s="28" t="s">
        <v>5148</v>
      </c>
    </row>
    <row r="2199" spans="1:18" hidden="1">
      <c r="A2199" s="28">
        <v>4</v>
      </c>
      <c r="B2199" s="29" t="s">
        <v>306</v>
      </c>
      <c r="C2199" s="29" t="s">
        <v>624</v>
      </c>
      <c r="D2199" s="29" t="s">
        <v>625</v>
      </c>
      <c r="E2199" s="29" t="s">
        <v>172</v>
      </c>
      <c r="F2199" s="28" t="s">
        <v>3776</v>
      </c>
      <c r="G2199" s="28" t="s">
        <v>5127</v>
      </c>
      <c r="H2199" s="28" t="s">
        <v>384</v>
      </c>
      <c r="I2199" s="28">
        <v>4</v>
      </c>
      <c r="J2199" s="30">
        <v>6.9000000000000006E-2</v>
      </c>
      <c r="K2199" s="28" t="s">
        <v>415</v>
      </c>
      <c r="L2199" s="31">
        <v>43952</v>
      </c>
      <c r="M2199" s="28">
        <v>5</v>
      </c>
      <c r="N2199" s="32" t="s">
        <v>191</v>
      </c>
      <c r="O2199" s="28" t="s">
        <v>204</v>
      </c>
      <c r="P2199" s="28" t="s">
        <v>5171</v>
      </c>
      <c r="Q2199" s="28" t="s">
        <v>5166</v>
      </c>
      <c r="R2199" s="28" t="s">
        <v>5148</v>
      </c>
    </row>
    <row r="2200" spans="1:18" hidden="1">
      <c r="A2200" s="28">
        <v>4</v>
      </c>
      <c r="B2200" s="29" t="s">
        <v>306</v>
      </c>
      <c r="C2200" s="29" t="s">
        <v>624</v>
      </c>
      <c r="D2200" s="29" t="s">
        <v>630</v>
      </c>
      <c r="E2200" s="29" t="s">
        <v>172</v>
      </c>
      <c r="F2200" s="28" t="s">
        <v>3776</v>
      </c>
      <c r="G2200" s="28" t="s">
        <v>5127</v>
      </c>
      <c r="H2200" s="28" t="s">
        <v>384</v>
      </c>
      <c r="I2200" s="28">
        <v>4</v>
      </c>
      <c r="J2200" s="30">
        <v>6.9000000000000006E-2</v>
      </c>
      <c r="K2200" s="28" t="s">
        <v>473</v>
      </c>
      <c r="L2200" s="31">
        <v>43160</v>
      </c>
      <c r="M2200" s="28">
        <v>3</v>
      </c>
      <c r="N2200" s="32" t="s">
        <v>191</v>
      </c>
      <c r="O2200" s="28" t="s">
        <v>204</v>
      </c>
      <c r="P2200" s="28" t="s">
        <v>5172</v>
      </c>
      <c r="Q2200" s="28" t="s">
        <v>5173</v>
      </c>
      <c r="R2200" s="28" t="s">
        <v>5148</v>
      </c>
    </row>
    <row r="2201" spans="1:18" hidden="1">
      <c r="A2201" s="28">
        <v>4</v>
      </c>
      <c r="B2201" s="29" t="s">
        <v>306</v>
      </c>
      <c r="C2201" s="29" t="s">
        <v>624</v>
      </c>
      <c r="D2201" s="29" t="s">
        <v>630</v>
      </c>
      <c r="E2201" s="29" t="s">
        <v>172</v>
      </c>
      <c r="F2201" s="28" t="s">
        <v>3776</v>
      </c>
      <c r="G2201" s="28" t="s">
        <v>5127</v>
      </c>
      <c r="H2201" s="28" t="s">
        <v>384</v>
      </c>
      <c r="I2201" s="28">
        <v>4</v>
      </c>
      <c r="J2201" s="30">
        <v>6.9000000000000006E-2</v>
      </c>
      <c r="K2201" s="28" t="s">
        <v>1136</v>
      </c>
      <c r="L2201" s="31">
        <v>43497</v>
      </c>
      <c r="M2201" s="28">
        <v>2</v>
      </c>
      <c r="N2201" s="32" t="s">
        <v>176</v>
      </c>
      <c r="O2201" s="28" t="s">
        <v>204</v>
      </c>
      <c r="P2201" s="28" t="s">
        <v>5174</v>
      </c>
      <c r="Q2201" s="28" t="s">
        <v>5173</v>
      </c>
      <c r="R2201" s="28" t="s">
        <v>5148</v>
      </c>
    </row>
    <row r="2202" spans="1:18" hidden="1">
      <c r="A2202" s="28">
        <v>4</v>
      </c>
      <c r="B2202" s="29" t="s">
        <v>306</v>
      </c>
      <c r="C2202" s="29" t="s">
        <v>624</v>
      </c>
      <c r="D2202" s="29" t="s">
        <v>630</v>
      </c>
      <c r="E2202" s="29" t="s">
        <v>172</v>
      </c>
      <c r="F2202" s="28" t="s">
        <v>3776</v>
      </c>
      <c r="G2202" s="28" t="s">
        <v>5127</v>
      </c>
      <c r="H2202" s="28" t="s">
        <v>384</v>
      </c>
      <c r="I2202" s="28">
        <v>4</v>
      </c>
      <c r="J2202" s="30">
        <v>6.9000000000000006E-2</v>
      </c>
      <c r="K2202" s="28" t="s">
        <v>823</v>
      </c>
      <c r="L2202" s="31">
        <v>44136</v>
      </c>
      <c r="M2202" s="28">
        <v>11</v>
      </c>
      <c r="N2202" s="32" t="s">
        <v>191</v>
      </c>
      <c r="O2202" s="28" t="s">
        <v>204</v>
      </c>
      <c r="P2202" s="28" t="s">
        <v>5175</v>
      </c>
      <c r="Q2202" s="28" t="s">
        <v>5173</v>
      </c>
      <c r="R2202" s="28" t="s">
        <v>5148</v>
      </c>
    </row>
    <row r="2203" spans="1:18" hidden="1">
      <c r="A2203" s="28">
        <v>4</v>
      </c>
      <c r="B2203" s="29" t="s">
        <v>306</v>
      </c>
      <c r="C2203" s="29" t="s">
        <v>318</v>
      </c>
      <c r="D2203" s="29" t="s">
        <v>323</v>
      </c>
      <c r="E2203" s="29" t="s">
        <v>172</v>
      </c>
      <c r="F2203" s="28" t="s">
        <v>3776</v>
      </c>
      <c r="G2203" s="28" t="s">
        <v>5127</v>
      </c>
      <c r="H2203" s="28" t="s">
        <v>384</v>
      </c>
      <c r="I2203" s="28">
        <v>4</v>
      </c>
      <c r="J2203" s="30">
        <v>6.9000000000000006E-2</v>
      </c>
      <c r="K2203" s="28" t="s">
        <v>391</v>
      </c>
      <c r="L2203" s="31">
        <v>42370</v>
      </c>
      <c r="M2203" s="28">
        <v>1</v>
      </c>
      <c r="N2203" s="32" t="s">
        <v>176</v>
      </c>
      <c r="O2203" s="28" t="s">
        <v>204</v>
      </c>
      <c r="P2203" s="28" t="s">
        <v>5176</v>
      </c>
      <c r="Q2203" s="28" t="s">
        <v>5177</v>
      </c>
      <c r="R2203" s="28" t="s">
        <v>5178</v>
      </c>
    </row>
    <row r="2204" spans="1:18" hidden="1">
      <c r="A2204" s="28">
        <v>4</v>
      </c>
      <c r="B2204" s="29" t="s">
        <v>306</v>
      </c>
      <c r="C2204" s="29" t="s">
        <v>318</v>
      </c>
      <c r="D2204" s="29" t="s">
        <v>323</v>
      </c>
      <c r="E2204" s="29" t="s">
        <v>172</v>
      </c>
      <c r="F2204" s="28" t="s">
        <v>3776</v>
      </c>
      <c r="G2204" s="28" t="s">
        <v>5127</v>
      </c>
      <c r="H2204" s="28" t="s">
        <v>384</v>
      </c>
      <c r="I2204" s="28">
        <v>4</v>
      </c>
      <c r="J2204" s="30">
        <v>6.9000000000000006E-2</v>
      </c>
      <c r="K2204" s="28" t="s">
        <v>496</v>
      </c>
      <c r="L2204" s="31">
        <v>42917</v>
      </c>
      <c r="M2204" s="28">
        <v>7</v>
      </c>
      <c r="N2204" s="32" t="s">
        <v>184</v>
      </c>
      <c r="O2204" s="28" t="s">
        <v>204</v>
      </c>
      <c r="P2204" s="28" t="s">
        <v>5179</v>
      </c>
      <c r="Q2204" s="28" t="s">
        <v>5180</v>
      </c>
      <c r="R2204" s="28" t="s">
        <v>5181</v>
      </c>
    </row>
    <row r="2205" spans="1:18" hidden="1">
      <c r="A2205" s="28">
        <v>4</v>
      </c>
      <c r="B2205" s="29" t="s">
        <v>306</v>
      </c>
      <c r="C2205" s="29" t="s">
        <v>318</v>
      </c>
      <c r="D2205" s="29" t="s">
        <v>323</v>
      </c>
      <c r="E2205" s="29" t="s">
        <v>172</v>
      </c>
      <c r="F2205" s="28" t="s">
        <v>3776</v>
      </c>
      <c r="G2205" s="28" t="s">
        <v>5127</v>
      </c>
      <c r="H2205" s="28" t="s">
        <v>384</v>
      </c>
      <c r="I2205" s="28">
        <v>4</v>
      </c>
      <c r="J2205" s="30">
        <v>6.9000000000000006E-2</v>
      </c>
      <c r="K2205" s="28" t="s">
        <v>293</v>
      </c>
      <c r="L2205" s="31">
        <v>43374</v>
      </c>
      <c r="M2205" s="28">
        <v>10</v>
      </c>
      <c r="N2205" s="32" t="s">
        <v>191</v>
      </c>
      <c r="O2205" s="28" t="s">
        <v>204</v>
      </c>
      <c r="P2205" s="28" t="s">
        <v>5182</v>
      </c>
      <c r="Q2205" s="28" t="s">
        <v>5183</v>
      </c>
      <c r="R2205" s="28" t="s">
        <v>5184</v>
      </c>
    </row>
    <row r="2206" spans="1:18" hidden="1">
      <c r="A2206" s="28">
        <v>4</v>
      </c>
      <c r="B2206" s="29" t="s">
        <v>306</v>
      </c>
      <c r="C2206" s="29" t="s">
        <v>318</v>
      </c>
      <c r="D2206" s="29" t="s">
        <v>323</v>
      </c>
      <c r="E2206" s="29" t="s">
        <v>172</v>
      </c>
      <c r="F2206" s="28" t="s">
        <v>3776</v>
      </c>
      <c r="G2206" s="28" t="s">
        <v>5127</v>
      </c>
      <c r="H2206" s="28" t="s">
        <v>384</v>
      </c>
      <c r="I2206" s="28">
        <v>4</v>
      </c>
      <c r="J2206" s="30">
        <v>6.9000000000000006E-2</v>
      </c>
      <c r="K2206" s="28" t="s">
        <v>844</v>
      </c>
      <c r="L2206" s="31">
        <v>43586</v>
      </c>
      <c r="M2206" s="28">
        <v>5</v>
      </c>
      <c r="N2206" s="32" t="s">
        <v>191</v>
      </c>
      <c r="O2206" s="28" t="s">
        <v>204</v>
      </c>
      <c r="P2206" s="28" t="s">
        <v>5185</v>
      </c>
      <c r="Q2206" s="28" t="s">
        <v>5186</v>
      </c>
      <c r="R2206" s="28" t="s">
        <v>5178</v>
      </c>
    </row>
    <row r="2207" spans="1:18" hidden="1">
      <c r="A2207" s="28">
        <v>4</v>
      </c>
      <c r="B2207" s="29" t="s">
        <v>306</v>
      </c>
      <c r="C2207" s="29" t="s">
        <v>318</v>
      </c>
      <c r="D2207" s="29" t="s">
        <v>323</v>
      </c>
      <c r="E2207" s="29" t="s">
        <v>172</v>
      </c>
      <c r="F2207" s="28" t="s">
        <v>3776</v>
      </c>
      <c r="G2207" s="28" t="s">
        <v>5127</v>
      </c>
      <c r="H2207" s="28" t="s">
        <v>384</v>
      </c>
      <c r="I2207" s="28">
        <v>4</v>
      </c>
      <c r="J2207" s="30">
        <v>6.9000000000000006E-2</v>
      </c>
      <c r="K2207" s="28" t="s">
        <v>218</v>
      </c>
      <c r="L2207" s="31">
        <v>44044</v>
      </c>
      <c r="M2207" s="28">
        <v>8</v>
      </c>
      <c r="N2207" s="32" t="s">
        <v>184</v>
      </c>
      <c r="O2207" s="28" t="s">
        <v>204</v>
      </c>
      <c r="P2207" s="28" t="s">
        <v>5187</v>
      </c>
      <c r="Q2207" s="28" t="s">
        <v>5188</v>
      </c>
      <c r="R2207" s="28" t="s">
        <v>5178</v>
      </c>
    </row>
    <row r="2208" spans="1:18" hidden="1">
      <c r="A2208" s="28">
        <v>4</v>
      </c>
      <c r="B2208" s="29" t="s">
        <v>306</v>
      </c>
      <c r="C2208" s="29" t="s">
        <v>333</v>
      </c>
      <c r="D2208" s="29" t="s">
        <v>334</v>
      </c>
      <c r="E2208" s="29" t="s">
        <v>172</v>
      </c>
      <c r="F2208" s="28" t="s">
        <v>3776</v>
      </c>
      <c r="G2208" s="28" t="s">
        <v>5127</v>
      </c>
      <c r="H2208" s="28" t="s">
        <v>384</v>
      </c>
      <c r="I2208" s="28">
        <v>4</v>
      </c>
      <c r="J2208" s="30">
        <v>6.9000000000000006E-2</v>
      </c>
      <c r="K2208" s="28" t="s">
        <v>442</v>
      </c>
      <c r="L2208" s="31">
        <v>43647</v>
      </c>
      <c r="M2208" s="28">
        <v>7</v>
      </c>
      <c r="N2208" s="32" t="s">
        <v>184</v>
      </c>
      <c r="O2208" s="28" t="s">
        <v>204</v>
      </c>
      <c r="P2208" s="28" t="s">
        <v>5189</v>
      </c>
      <c r="Q2208" s="28" t="s">
        <v>5190</v>
      </c>
      <c r="R2208" s="28" t="s">
        <v>5191</v>
      </c>
    </row>
    <row r="2209" spans="1:18" hidden="1">
      <c r="A2209" s="28">
        <v>4</v>
      </c>
      <c r="B2209" s="29" t="s">
        <v>306</v>
      </c>
      <c r="C2209" s="29" t="s">
        <v>333</v>
      </c>
      <c r="D2209" s="29" t="s">
        <v>673</v>
      </c>
      <c r="E2209" s="29" t="s">
        <v>172</v>
      </c>
      <c r="F2209" s="28" t="s">
        <v>3776</v>
      </c>
      <c r="G2209" s="28" t="s">
        <v>5127</v>
      </c>
      <c r="H2209" s="28" t="s">
        <v>384</v>
      </c>
      <c r="I2209" s="28">
        <v>4</v>
      </c>
      <c r="J2209" s="30">
        <v>6.9000000000000006E-2</v>
      </c>
      <c r="K2209" s="28" t="s">
        <v>769</v>
      </c>
      <c r="L2209" s="31">
        <v>42826</v>
      </c>
      <c r="M2209" s="28">
        <v>4</v>
      </c>
      <c r="N2209" s="32" t="s">
        <v>191</v>
      </c>
      <c r="O2209" s="28" t="s">
        <v>204</v>
      </c>
      <c r="P2209" s="28" t="s">
        <v>5192</v>
      </c>
      <c r="Q2209" s="28" t="s">
        <v>5193</v>
      </c>
      <c r="R2209" s="28" t="s">
        <v>5191</v>
      </c>
    </row>
    <row r="2210" spans="1:18" hidden="1">
      <c r="A2210" s="28">
        <v>4</v>
      </c>
      <c r="B2210" s="29" t="s">
        <v>306</v>
      </c>
      <c r="C2210" s="29" t="s">
        <v>333</v>
      </c>
      <c r="D2210" s="29" t="s">
        <v>673</v>
      </c>
      <c r="E2210" s="29" t="s">
        <v>172</v>
      </c>
      <c r="F2210" s="28" t="s">
        <v>3776</v>
      </c>
      <c r="G2210" s="28" t="s">
        <v>5127</v>
      </c>
      <c r="H2210" s="28" t="s">
        <v>384</v>
      </c>
      <c r="I2210" s="28">
        <v>4</v>
      </c>
      <c r="J2210" s="30">
        <v>6.9000000000000006E-2</v>
      </c>
      <c r="K2210" s="28" t="s">
        <v>405</v>
      </c>
      <c r="L2210" s="31">
        <v>43221</v>
      </c>
      <c r="M2210" s="28">
        <v>5</v>
      </c>
      <c r="N2210" s="32" t="s">
        <v>191</v>
      </c>
      <c r="O2210" s="28" t="s">
        <v>204</v>
      </c>
      <c r="P2210" s="28" t="s">
        <v>5194</v>
      </c>
      <c r="Q2210" s="28" t="s">
        <v>5195</v>
      </c>
      <c r="R2210" s="28" t="s">
        <v>5196</v>
      </c>
    </row>
    <row r="2211" spans="1:18" hidden="1">
      <c r="A2211" s="28">
        <v>4</v>
      </c>
      <c r="B2211" s="29" t="s">
        <v>306</v>
      </c>
      <c r="C2211" s="29" t="s">
        <v>333</v>
      </c>
      <c r="D2211" s="29" t="s">
        <v>673</v>
      </c>
      <c r="E2211" s="29" t="s">
        <v>172</v>
      </c>
      <c r="F2211" s="28" t="s">
        <v>3776</v>
      </c>
      <c r="G2211" s="28" t="s">
        <v>5127</v>
      </c>
      <c r="H2211" s="28" t="s">
        <v>384</v>
      </c>
      <c r="I2211" s="28">
        <v>4</v>
      </c>
      <c r="J2211" s="30">
        <v>6.9000000000000006E-2</v>
      </c>
      <c r="K2211" s="28" t="s">
        <v>678</v>
      </c>
      <c r="L2211" s="31">
        <v>43344</v>
      </c>
      <c r="M2211" s="28">
        <v>9</v>
      </c>
      <c r="N2211" s="32" t="s">
        <v>191</v>
      </c>
      <c r="O2211" s="28" t="s">
        <v>204</v>
      </c>
      <c r="P2211" s="28" t="s">
        <v>5197</v>
      </c>
      <c r="Q2211" s="28" t="s">
        <v>5198</v>
      </c>
      <c r="R2211" s="28" t="s">
        <v>5199</v>
      </c>
    </row>
    <row r="2212" spans="1:18" hidden="1">
      <c r="A2212" s="28">
        <v>4</v>
      </c>
      <c r="B2212" s="29" t="s">
        <v>306</v>
      </c>
      <c r="C2212" s="29" t="s">
        <v>333</v>
      </c>
      <c r="D2212" s="29" t="s">
        <v>673</v>
      </c>
      <c r="E2212" s="29" t="s">
        <v>172</v>
      </c>
      <c r="F2212" s="28" t="s">
        <v>3776</v>
      </c>
      <c r="G2212" s="28" t="s">
        <v>5127</v>
      </c>
      <c r="H2212" s="28" t="s">
        <v>384</v>
      </c>
      <c r="I2212" s="28">
        <v>4</v>
      </c>
      <c r="J2212" s="30">
        <v>6.9000000000000006E-2</v>
      </c>
      <c r="K2212" s="28" t="s">
        <v>501</v>
      </c>
      <c r="L2212" s="31">
        <v>43405</v>
      </c>
      <c r="M2212" s="28">
        <v>11</v>
      </c>
      <c r="N2212" s="32" t="s">
        <v>191</v>
      </c>
      <c r="O2212" s="28" t="s">
        <v>204</v>
      </c>
      <c r="P2212" s="28" t="s">
        <v>5200</v>
      </c>
      <c r="Q2212" s="28" t="s">
        <v>5193</v>
      </c>
      <c r="R2212" s="28" t="s">
        <v>5191</v>
      </c>
    </row>
    <row r="2213" spans="1:18" hidden="1">
      <c r="A2213" s="28">
        <v>4</v>
      </c>
      <c r="B2213" s="29" t="s">
        <v>306</v>
      </c>
      <c r="C2213" s="29" t="s">
        <v>333</v>
      </c>
      <c r="D2213" s="29" t="s">
        <v>673</v>
      </c>
      <c r="E2213" s="29" t="s">
        <v>172</v>
      </c>
      <c r="F2213" s="28" t="s">
        <v>3776</v>
      </c>
      <c r="G2213" s="28" t="s">
        <v>5127</v>
      </c>
      <c r="H2213" s="28" t="s">
        <v>384</v>
      </c>
      <c r="I2213" s="28">
        <v>4</v>
      </c>
      <c r="J2213" s="30">
        <v>6.9000000000000006E-2</v>
      </c>
      <c r="K2213" s="28" t="s">
        <v>1136</v>
      </c>
      <c r="L2213" s="31">
        <v>43497</v>
      </c>
      <c r="M2213" s="28">
        <v>2</v>
      </c>
      <c r="N2213" s="32" t="s">
        <v>176</v>
      </c>
      <c r="O2213" s="28" t="s">
        <v>204</v>
      </c>
      <c r="P2213" s="28" t="s">
        <v>5201</v>
      </c>
      <c r="Q2213" s="28" t="s">
        <v>5202</v>
      </c>
      <c r="R2213" s="28" t="s">
        <v>5191</v>
      </c>
    </row>
    <row r="2214" spans="1:18" hidden="1">
      <c r="A2214" s="28">
        <v>4</v>
      </c>
      <c r="B2214" s="29" t="s">
        <v>306</v>
      </c>
      <c r="C2214" s="29" t="s">
        <v>333</v>
      </c>
      <c r="D2214" s="29" t="s">
        <v>673</v>
      </c>
      <c r="E2214" s="29" t="s">
        <v>172</v>
      </c>
      <c r="F2214" s="28" t="s">
        <v>3776</v>
      </c>
      <c r="G2214" s="28" t="s">
        <v>5127</v>
      </c>
      <c r="H2214" s="28" t="s">
        <v>384</v>
      </c>
      <c r="I2214" s="28">
        <v>4</v>
      </c>
      <c r="J2214" s="30">
        <v>6.9000000000000006E-2</v>
      </c>
      <c r="K2214" s="28" t="s">
        <v>236</v>
      </c>
      <c r="L2214" s="31">
        <v>43617</v>
      </c>
      <c r="M2214" s="28">
        <v>6</v>
      </c>
      <c r="N2214" s="32" t="s">
        <v>184</v>
      </c>
      <c r="O2214" s="28" t="s">
        <v>185</v>
      </c>
      <c r="P2214" s="28" t="s">
        <v>5203</v>
      </c>
      <c r="Q2214" s="28" t="s">
        <v>5204</v>
      </c>
      <c r="R2214" s="28" t="s">
        <v>5205</v>
      </c>
    </row>
    <row r="2215" spans="1:18" hidden="1">
      <c r="A2215" s="28">
        <v>4</v>
      </c>
      <c r="B2215" s="29" t="s">
        <v>306</v>
      </c>
      <c r="C2215" s="29" t="s">
        <v>333</v>
      </c>
      <c r="D2215" s="29" t="s">
        <v>673</v>
      </c>
      <c r="E2215" s="29" t="s">
        <v>172</v>
      </c>
      <c r="F2215" s="28" t="s">
        <v>3776</v>
      </c>
      <c r="G2215" s="28" t="s">
        <v>5127</v>
      </c>
      <c r="H2215" s="28" t="s">
        <v>384</v>
      </c>
      <c r="I2215" s="28">
        <v>4</v>
      </c>
      <c r="J2215" s="30">
        <v>6.9000000000000006E-2</v>
      </c>
      <c r="K2215" s="28" t="s">
        <v>823</v>
      </c>
      <c r="L2215" s="31">
        <v>44136</v>
      </c>
      <c r="M2215" s="28">
        <v>11</v>
      </c>
      <c r="N2215" s="32" t="s">
        <v>191</v>
      </c>
      <c r="O2215" s="28" t="s">
        <v>204</v>
      </c>
      <c r="P2215" s="28" t="s">
        <v>5206</v>
      </c>
      <c r="Q2215" s="28" t="s">
        <v>5193</v>
      </c>
      <c r="R2215" s="28" t="s">
        <v>5191</v>
      </c>
    </row>
    <row r="2216" spans="1:18" hidden="1">
      <c r="A2216" s="28">
        <v>4</v>
      </c>
      <c r="B2216" s="29" t="s">
        <v>306</v>
      </c>
      <c r="C2216" s="29" t="s">
        <v>333</v>
      </c>
      <c r="D2216" s="29" t="s">
        <v>673</v>
      </c>
      <c r="E2216" s="29" t="s">
        <v>172</v>
      </c>
      <c r="F2216" s="28" t="s">
        <v>3776</v>
      </c>
      <c r="G2216" s="28" t="s">
        <v>5127</v>
      </c>
      <c r="H2216" s="28" t="s">
        <v>384</v>
      </c>
      <c r="I2216" s="28">
        <v>4</v>
      </c>
      <c r="J2216" s="30">
        <v>6.9000000000000006E-2</v>
      </c>
      <c r="K2216" s="28" t="s">
        <v>962</v>
      </c>
      <c r="L2216" s="31">
        <v>44348</v>
      </c>
      <c r="M2216" s="28">
        <v>6</v>
      </c>
      <c r="N2216" s="32" t="s">
        <v>184</v>
      </c>
      <c r="O2216" s="28" t="s">
        <v>1060</v>
      </c>
      <c r="P2216" s="28" t="s">
        <v>5207</v>
      </c>
      <c r="Q2216" s="28" t="s">
        <v>5208</v>
      </c>
      <c r="R2216" s="28" t="s">
        <v>5209</v>
      </c>
    </row>
    <row r="2217" spans="1:18" hidden="1">
      <c r="A2217" s="28">
        <v>4</v>
      </c>
      <c r="B2217" s="29" t="s">
        <v>306</v>
      </c>
      <c r="C2217" s="29" t="s">
        <v>339</v>
      </c>
      <c r="D2217" s="29" t="s">
        <v>340</v>
      </c>
      <c r="E2217" s="29" t="s">
        <v>172</v>
      </c>
      <c r="F2217" s="28" t="s">
        <v>3776</v>
      </c>
      <c r="G2217" s="28" t="s">
        <v>5127</v>
      </c>
      <c r="H2217" s="28" t="s">
        <v>384</v>
      </c>
      <c r="I2217" s="28">
        <v>4</v>
      </c>
      <c r="J2217" s="30">
        <v>6.9000000000000006E-2</v>
      </c>
      <c r="K2217" s="28" t="s">
        <v>485</v>
      </c>
      <c r="L2217" s="31">
        <v>42401</v>
      </c>
      <c r="M2217" s="28">
        <v>2</v>
      </c>
      <c r="N2217" s="32" t="s">
        <v>176</v>
      </c>
      <c r="O2217" s="28" t="s">
        <v>204</v>
      </c>
      <c r="P2217" s="28" t="s">
        <v>5210</v>
      </c>
      <c r="Q2217" s="28" t="s">
        <v>5193</v>
      </c>
      <c r="R2217" s="28" t="s">
        <v>5211</v>
      </c>
    </row>
    <row r="2218" spans="1:18" hidden="1">
      <c r="A2218" s="28">
        <v>4</v>
      </c>
      <c r="B2218" s="29" t="s">
        <v>306</v>
      </c>
      <c r="C2218" s="29" t="s">
        <v>339</v>
      </c>
      <c r="D2218" s="29" t="s">
        <v>340</v>
      </c>
      <c r="E2218" s="29" t="s">
        <v>172</v>
      </c>
      <c r="F2218" s="28" t="s">
        <v>3776</v>
      </c>
      <c r="G2218" s="28" t="s">
        <v>5127</v>
      </c>
      <c r="H2218" s="28" t="s">
        <v>384</v>
      </c>
      <c r="I2218" s="28">
        <v>4</v>
      </c>
      <c r="J2218" s="30">
        <v>6.9000000000000006E-2</v>
      </c>
      <c r="K2218" s="28" t="s">
        <v>489</v>
      </c>
      <c r="L2218" s="31">
        <v>42491</v>
      </c>
      <c r="M2218" s="28">
        <v>5</v>
      </c>
      <c r="N2218" s="32" t="s">
        <v>191</v>
      </c>
      <c r="O2218" s="28" t="s">
        <v>204</v>
      </c>
      <c r="P2218" s="28" t="s">
        <v>5212</v>
      </c>
      <c r="Q2218" s="28" t="s">
        <v>5213</v>
      </c>
      <c r="R2218" s="28" t="s">
        <v>5214</v>
      </c>
    </row>
    <row r="2219" spans="1:18" hidden="1">
      <c r="A2219" s="28">
        <v>4</v>
      </c>
      <c r="B2219" s="29" t="s">
        <v>306</v>
      </c>
      <c r="C2219" s="29" t="s">
        <v>339</v>
      </c>
      <c r="D2219" s="29" t="s">
        <v>340</v>
      </c>
      <c r="E2219" s="29" t="s">
        <v>172</v>
      </c>
      <c r="F2219" s="28" t="s">
        <v>3776</v>
      </c>
      <c r="G2219" s="28" t="s">
        <v>5127</v>
      </c>
      <c r="H2219" s="28" t="s">
        <v>384</v>
      </c>
      <c r="I2219" s="28">
        <v>4</v>
      </c>
      <c r="J2219" s="30">
        <v>6.9000000000000006E-2</v>
      </c>
      <c r="K2219" s="28" t="s">
        <v>442</v>
      </c>
      <c r="L2219" s="31">
        <v>43647</v>
      </c>
      <c r="M2219" s="28">
        <v>7</v>
      </c>
      <c r="N2219" s="32" t="s">
        <v>184</v>
      </c>
      <c r="O2219" s="28" t="s">
        <v>204</v>
      </c>
      <c r="P2219" s="28" t="s">
        <v>5215</v>
      </c>
      <c r="Q2219" s="28" t="s">
        <v>5193</v>
      </c>
      <c r="R2219" s="28" t="s">
        <v>5211</v>
      </c>
    </row>
    <row r="2220" spans="1:18" hidden="1">
      <c r="A2220" s="28">
        <v>4</v>
      </c>
      <c r="B2220" s="29" t="s">
        <v>306</v>
      </c>
      <c r="C2220" s="29" t="s">
        <v>339</v>
      </c>
      <c r="D2220" s="29" t="s">
        <v>340</v>
      </c>
      <c r="E2220" s="29" t="s">
        <v>172</v>
      </c>
      <c r="F2220" s="28" t="s">
        <v>3776</v>
      </c>
      <c r="G2220" s="28" t="s">
        <v>5127</v>
      </c>
      <c r="H2220" s="28" t="s">
        <v>384</v>
      </c>
      <c r="I2220" s="28">
        <v>4</v>
      </c>
      <c r="J2220" s="30">
        <v>6.9000000000000006E-2</v>
      </c>
      <c r="K2220" s="28" t="s">
        <v>479</v>
      </c>
      <c r="L2220" s="31">
        <v>43770</v>
      </c>
      <c r="M2220" s="28">
        <v>11</v>
      </c>
      <c r="N2220" s="32" t="s">
        <v>191</v>
      </c>
      <c r="O2220" s="28" t="s">
        <v>204</v>
      </c>
      <c r="P2220" s="28" t="s">
        <v>5216</v>
      </c>
      <c r="Q2220" s="28" t="s">
        <v>5193</v>
      </c>
      <c r="R2220" s="28" t="s">
        <v>5211</v>
      </c>
    </row>
    <row r="2221" spans="1:18" hidden="1">
      <c r="A2221" s="28">
        <v>4</v>
      </c>
      <c r="B2221" s="29" t="s">
        <v>306</v>
      </c>
      <c r="C2221" s="29" t="s">
        <v>339</v>
      </c>
      <c r="D2221" s="29" t="s">
        <v>340</v>
      </c>
      <c r="E2221" s="29" t="s">
        <v>172</v>
      </c>
      <c r="F2221" s="28" t="s">
        <v>3776</v>
      </c>
      <c r="G2221" s="28" t="s">
        <v>5127</v>
      </c>
      <c r="H2221" s="28" t="s">
        <v>384</v>
      </c>
      <c r="I2221" s="28">
        <v>4</v>
      </c>
      <c r="J2221" s="30">
        <v>6.9000000000000006E-2</v>
      </c>
      <c r="K2221" s="28" t="s">
        <v>328</v>
      </c>
      <c r="L2221" s="31">
        <v>43891</v>
      </c>
      <c r="M2221" s="28">
        <v>3</v>
      </c>
      <c r="N2221" s="32" t="s">
        <v>191</v>
      </c>
      <c r="O2221" s="28" t="s">
        <v>204</v>
      </c>
      <c r="P2221" s="28" t="s">
        <v>5217</v>
      </c>
      <c r="Q2221" s="28" t="s">
        <v>5218</v>
      </c>
      <c r="R2221" s="28" t="s">
        <v>5219</v>
      </c>
    </row>
    <row r="2222" spans="1:18" hidden="1">
      <c r="A2222" s="28">
        <v>4</v>
      </c>
      <c r="B2222" s="29" t="s">
        <v>306</v>
      </c>
      <c r="C2222" s="29" t="s">
        <v>339</v>
      </c>
      <c r="D2222" s="29" t="s">
        <v>340</v>
      </c>
      <c r="E2222" s="29" t="s">
        <v>172</v>
      </c>
      <c r="F2222" s="28" t="s">
        <v>3776</v>
      </c>
      <c r="G2222" s="28" t="s">
        <v>5127</v>
      </c>
      <c r="H2222" s="28" t="s">
        <v>384</v>
      </c>
      <c r="I2222" s="28">
        <v>4</v>
      </c>
      <c r="J2222" s="30">
        <v>6.9000000000000006E-2</v>
      </c>
      <c r="K2222" s="28" t="s">
        <v>183</v>
      </c>
      <c r="L2222" s="31">
        <v>43983</v>
      </c>
      <c r="M2222" s="28">
        <v>6</v>
      </c>
      <c r="N2222" s="32" t="s">
        <v>184</v>
      </c>
      <c r="O2222" s="28" t="s">
        <v>204</v>
      </c>
      <c r="P2222" s="28" t="s">
        <v>5220</v>
      </c>
      <c r="Q2222" s="28" t="s">
        <v>5221</v>
      </c>
      <c r="R2222" s="28" t="s">
        <v>5222</v>
      </c>
    </row>
    <row r="2223" spans="1:18" hidden="1">
      <c r="A2223" s="28">
        <v>4</v>
      </c>
      <c r="B2223" s="29" t="s">
        <v>306</v>
      </c>
      <c r="C2223" s="29" t="s">
        <v>339</v>
      </c>
      <c r="D2223" s="29" t="s">
        <v>340</v>
      </c>
      <c r="E2223" s="29" t="s">
        <v>172</v>
      </c>
      <c r="F2223" s="28" t="s">
        <v>3776</v>
      </c>
      <c r="G2223" s="28" t="s">
        <v>5127</v>
      </c>
      <c r="H2223" s="28" t="s">
        <v>384</v>
      </c>
      <c r="I2223" s="28">
        <v>4</v>
      </c>
      <c r="J2223" s="30">
        <v>6.9000000000000006E-2</v>
      </c>
      <c r="K2223" s="28" t="s">
        <v>554</v>
      </c>
      <c r="L2223" s="31">
        <v>44317</v>
      </c>
      <c r="M2223" s="28">
        <v>5</v>
      </c>
      <c r="N2223" s="32" t="s">
        <v>191</v>
      </c>
      <c r="O2223" s="28" t="s">
        <v>204</v>
      </c>
      <c r="P2223" s="28" t="s">
        <v>5223</v>
      </c>
      <c r="Q2223" s="28" t="s">
        <v>5193</v>
      </c>
      <c r="R2223" s="28" t="s">
        <v>5211</v>
      </c>
    </row>
    <row r="2224" spans="1:18" hidden="1">
      <c r="A2224" s="28">
        <v>5</v>
      </c>
      <c r="B2224" s="29" t="s">
        <v>349</v>
      </c>
      <c r="C2224" s="29" t="s">
        <v>350</v>
      </c>
      <c r="D2224" s="29" t="s">
        <v>716</v>
      </c>
      <c r="E2224" s="29" t="s">
        <v>172</v>
      </c>
      <c r="F2224" s="28" t="s">
        <v>3776</v>
      </c>
      <c r="G2224" s="28" t="s">
        <v>5127</v>
      </c>
      <c r="H2224" s="28" t="s">
        <v>384</v>
      </c>
      <c r="I2224" s="28">
        <v>4</v>
      </c>
      <c r="J2224" s="30">
        <v>6.9000000000000006E-2</v>
      </c>
      <c r="K2224" s="28" t="s">
        <v>341</v>
      </c>
      <c r="L2224" s="31">
        <v>44228</v>
      </c>
      <c r="M2224" s="28">
        <v>2</v>
      </c>
      <c r="N2224" s="32" t="s">
        <v>176</v>
      </c>
      <c r="O2224" s="28" t="s">
        <v>204</v>
      </c>
      <c r="P2224" s="28" t="s">
        <v>5224</v>
      </c>
      <c r="Q2224" s="28" t="s">
        <v>5225</v>
      </c>
      <c r="R2224" s="28" t="s">
        <v>5226</v>
      </c>
    </row>
    <row r="2225" spans="1:18" hidden="1">
      <c r="A2225" s="28">
        <v>5</v>
      </c>
      <c r="B2225" s="29" t="s">
        <v>349</v>
      </c>
      <c r="C2225" s="29" t="s">
        <v>350</v>
      </c>
      <c r="D2225" s="29" t="s">
        <v>725</v>
      </c>
      <c r="E2225" s="29" t="s">
        <v>172</v>
      </c>
      <c r="F2225" s="28" t="s">
        <v>3776</v>
      </c>
      <c r="G2225" s="28" t="s">
        <v>5127</v>
      </c>
      <c r="H2225" s="28" t="s">
        <v>384</v>
      </c>
      <c r="I2225" s="28">
        <v>4</v>
      </c>
      <c r="J2225" s="30">
        <v>6.9000000000000006E-2</v>
      </c>
      <c r="K2225" s="28" t="s">
        <v>1082</v>
      </c>
      <c r="L2225" s="31">
        <v>42095</v>
      </c>
      <c r="M2225" s="28">
        <v>4</v>
      </c>
      <c r="N2225" s="32" t="s">
        <v>191</v>
      </c>
      <c r="O2225" s="28" t="s">
        <v>204</v>
      </c>
      <c r="P2225" s="28" t="s">
        <v>5227</v>
      </c>
      <c r="Q2225" s="28" t="s">
        <v>5228</v>
      </c>
      <c r="R2225" s="28" t="s">
        <v>5229</v>
      </c>
    </row>
    <row r="2226" spans="1:18" hidden="1">
      <c r="A2226" s="28">
        <v>5</v>
      </c>
      <c r="B2226" s="29" t="s">
        <v>349</v>
      </c>
      <c r="C2226" s="29" t="s">
        <v>350</v>
      </c>
      <c r="D2226" s="29" t="s">
        <v>725</v>
      </c>
      <c r="E2226" s="29" t="s">
        <v>172</v>
      </c>
      <c r="F2226" s="28" t="s">
        <v>3776</v>
      </c>
      <c r="G2226" s="28" t="s">
        <v>5127</v>
      </c>
      <c r="H2226" s="28" t="s">
        <v>384</v>
      </c>
      <c r="I2226" s="28">
        <v>4</v>
      </c>
      <c r="J2226" s="30">
        <v>6.9000000000000006E-2</v>
      </c>
      <c r="K2226" s="28" t="s">
        <v>769</v>
      </c>
      <c r="L2226" s="31">
        <v>42826</v>
      </c>
      <c r="M2226" s="28">
        <v>4</v>
      </c>
      <c r="N2226" s="32" t="s">
        <v>191</v>
      </c>
      <c r="O2226" s="28" t="s">
        <v>204</v>
      </c>
      <c r="P2226" s="28" t="s">
        <v>5230</v>
      </c>
      <c r="Q2226" s="28" t="s">
        <v>5231</v>
      </c>
      <c r="R2226" s="28" t="s">
        <v>5229</v>
      </c>
    </row>
    <row r="2227" spans="1:18" hidden="1">
      <c r="A2227" s="28">
        <v>5</v>
      </c>
      <c r="B2227" s="29" t="s">
        <v>349</v>
      </c>
      <c r="C2227" s="29" t="s">
        <v>350</v>
      </c>
      <c r="D2227" s="29" t="s">
        <v>725</v>
      </c>
      <c r="E2227" s="29" t="s">
        <v>172</v>
      </c>
      <c r="F2227" s="28" t="s">
        <v>3776</v>
      </c>
      <c r="G2227" s="28" t="s">
        <v>5127</v>
      </c>
      <c r="H2227" s="28" t="s">
        <v>384</v>
      </c>
      <c r="I2227" s="28">
        <v>4</v>
      </c>
      <c r="J2227" s="30">
        <v>6.9000000000000006E-2</v>
      </c>
      <c r="K2227" s="28" t="s">
        <v>1136</v>
      </c>
      <c r="L2227" s="31">
        <v>43497</v>
      </c>
      <c r="M2227" s="28">
        <v>2</v>
      </c>
      <c r="N2227" s="32" t="s">
        <v>176</v>
      </c>
      <c r="O2227" s="28" t="s">
        <v>204</v>
      </c>
      <c r="P2227" s="28" t="s">
        <v>5232</v>
      </c>
      <c r="Q2227" s="28" t="s">
        <v>3014</v>
      </c>
      <c r="R2227" s="28" t="s">
        <v>3015</v>
      </c>
    </row>
    <row r="2228" spans="1:18" hidden="1">
      <c r="A2228" s="28">
        <v>5</v>
      </c>
      <c r="B2228" s="29" t="s">
        <v>349</v>
      </c>
      <c r="C2228" s="29" t="s">
        <v>350</v>
      </c>
      <c r="D2228" s="29" t="s">
        <v>725</v>
      </c>
      <c r="E2228" s="29" t="s">
        <v>172</v>
      </c>
      <c r="F2228" s="28" t="s">
        <v>3776</v>
      </c>
      <c r="G2228" s="28" t="s">
        <v>5127</v>
      </c>
      <c r="H2228" s="28" t="s">
        <v>384</v>
      </c>
      <c r="I2228" s="28">
        <v>4</v>
      </c>
      <c r="J2228" s="30">
        <v>6.9000000000000006E-2</v>
      </c>
      <c r="K2228" s="28" t="s">
        <v>424</v>
      </c>
      <c r="L2228" s="31">
        <v>43678</v>
      </c>
      <c r="M2228" s="28">
        <v>8</v>
      </c>
      <c r="N2228" s="32" t="s">
        <v>184</v>
      </c>
      <c r="O2228" s="28" t="s">
        <v>204</v>
      </c>
      <c r="P2228" s="28" t="s">
        <v>5233</v>
      </c>
      <c r="Q2228" s="28" t="s">
        <v>5234</v>
      </c>
      <c r="R2228" s="28" t="s">
        <v>5235</v>
      </c>
    </row>
    <row r="2229" spans="1:18" hidden="1">
      <c r="A2229" s="28">
        <v>5</v>
      </c>
      <c r="B2229" s="29" t="s">
        <v>349</v>
      </c>
      <c r="C2229" s="29" t="s">
        <v>355</v>
      </c>
      <c r="D2229" s="29" t="s">
        <v>360</v>
      </c>
      <c r="E2229" s="29" t="s">
        <v>172</v>
      </c>
      <c r="F2229" s="28" t="s">
        <v>3776</v>
      </c>
      <c r="G2229" s="28" t="s">
        <v>5127</v>
      </c>
      <c r="H2229" s="28" t="s">
        <v>384</v>
      </c>
      <c r="I2229" s="28">
        <v>4</v>
      </c>
      <c r="J2229" s="30">
        <v>6.9000000000000006E-2</v>
      </c>
      <c r="K2229" s="28" t="s">
        <v>1082</v>
      </c>
      <c r="L2229" s="31">
        <v>42095</v>
      </c>
      <c r="M2229" s="28">
        <v>4</v>
      </c>
      <c r="N2229" s="32" t="s">
        <v>191</v>
      </c>
      <c r="O2229" s="28" t="s">
        <v>204</v>
      </c>
      <c r="P2229" s="28" t="s">
        <v>5236</v>
      </c>
      <c r="Q2229" s="28" t="s">
        <v>5237</v>
      </c>
      <c r="R2229" s="28" t="s">
        <v>5238</v>
      </c>
    </row>
    <row r="2230" spans="1:18" hidden="1">
      <c r="A2230" s="28">
        <v>5</v>
      </c>
      <c r="B2230" s="29" t="s">
        <v>349</v>
      </c>
      <c r="C2230" s="29" t="s">
        <v>355</v>
      </c>
      <c r="D2230" s="29" t="s">
        <v>360</v>
      </c>
      <c r="E2230" s="29" t="s">
        <v>172</v>
      </c>
      <c r="F2230" s="28" t="s">
        <v>3776</v>
      </c>
      <c r="G2230" s="28" t="s">
        <v>5127</v>
      </c>
      <c r="H2230" s="28" t="s">
        <v>384</v>
      </c>
      <c r="I2230" s="28">
        <v>4</v>
      </c>
      <c r="J2230" s="30">
        <v>6.9000000000000006E-2</v>
      </c>
      <c r="K2230" s="28" t="s">
        <v>257</v>
      </c>
      <c r="L2230" s="31">
        <v>42552</v>
      </c>
      <c r="M2230" s="28">
        <v>7</v>
      </c>
      <c r="N2230" s="32" t="s">
        <v>184</v>
      </c>
      <c r="O2230" s="28" t="s">
        <v>204</v>
      </c>
      <c r="P2230" s="28" t="s">
        <v>5239</v>
      </c>
      <c r="Q2230" s="28" t="s">
        <v>5240</v>
      </c>
      <c r="R2230" s="28" t="s">
        <v>5241</v>
      </c>
    </row>
    <row r="2231" spans="1:18" hidden="1">
      <c r="A2231" s="28">
        <v>5</v>
      </c>
      <c r="B2231" s="29" t="s">
        <v>349</v>
      </c>
      <c r="C2231" s="29" t="s">
        <v>355</v>
      </c>
      <c r="D2231" s="29" t="s">
        <v>360</v>
      </c>
      <c r="E2231" s="29" t="s">
        <v>172</v>
      </c>
      <c r="F2231" s="28" t="s">
        <v>3776</v>
      </c>
      <c r="G2231" s="28" t="s">
        <v>5127</v>
      </c>
      <c r="H2231" s="28" t="s">
        <v>384</v>
      </c>
      <c r="I2231" s="28">
        <v>4</v>
      </c>
      <c r="J2231" s="30">
        <v>6.9000000000000006E-2</v>
      </c>
      <c r="K2231" s="28" t="s">
        <v>289</v>
      </c>
      <c r="L2231" s="31">
        <v>42795</v>
      </c>
      <c r="M2231" s="28">
        <v>3</v>
      </c>
      <c r="N2231" s="32" t="s">
        <v>191</v>
      </c>
      <c r="O2231" s="28" t="s">
        <v>204</v>
      </c>
      <c r="P2231" s="28" t="s">
        <v>5242</v>
      </c>
      <c r="Q2231" s="28" t="s">
        <v>5243</v>
      </c>
      <c r="R2231" s="28" t="s">
        <v>5244</v>
      </c>
    </row>
    <row r="2232" spans="1:18" hidden="1">
      <c r="A2232" s="28">
        <v>5</v>
      </c>
      <c r="B2232" s="29" t="s">
        <v>349</v>
      </c>
      <c r="C2232" s="29" t="s">
        <v>355</v>
      </c>
      <c r="D2232" s="29" t="s">
        <v>360</v>
      </c>
      <c r="E2232" s="29" t="s">
        <v>172</v>
      </c>
      <c r="F2232" s="28" t="s">
        <v>3776</v>
      </c>
      <c r="G2232" s="28" t="s">
        <v>5127</v>
      </c>
      <c r="H2232" s="28" t="s">
        <v>384</v>
      </c>
      <c r="I2232" s="28">
        <v>4</v>
      </c>
      <c r="J2232" s="30">
        <v>6.9000000000000006E-2</v>
      </c>
      <c r="K2232" s="28" t="s">
        <v>769</v>
      </c>
      <c r="L2232" s="31">
        <v>42826</v>
      </c>
      <c r="M2232" s="28">
        <v>4</v>
      </c>
      <c r="N2232" s="32" t="s">
        <v>191</v>
      </c>
      <c r="O2232" s="28" t="s">
        <v>204</v>
      </c>
      <c r="P2232" s="28" t="s">
        <v>5245</v>
      </c>
      <c r="Q2232" s="28" t="s">
        <v>3014</v>
      </c>
      <c r="R2232" s="28" t="s">
        <v>3015</v>
      </c>
    </row>
    <row r="2233" spans="1:18" hidden="1">
      <c r="A2233" s="28">
        <v>5</v>
      </c>
      <c r="B2233" s="29" t="s">
        <v>349</v>
      </c>
      <c r="C2233" s="29" t="s">
        <v>355</v>
      </c>
      <c r="D2233" s="29" t="s">
        <v>360</v>
      </c>
      <c r="E2233" s="29" t="s">
        <v>172</v>
      </c>
      <c r="F2233" s="28" t="s">
        <v>3776</v>
      </c>
      <c r="G2233" s="28" t="s">
        <v>5127</v>
      </c>
      <c r="H2233" s="28" t="s">
        <v>384</v>
      </c>
      <c r="I2233" s="28">
        <v>4</v>
      </c>
      <c r="J2233" s="30">
        <v>6.9000000000000006E-2</v>
      </c>
      <c r="K2233" s="28" t="s">
        <v>464</v>
      </c>
      <c r="L2233" s="31">
        <v>42887</v>
      </c>
      <c r="M2233" s="28">
        <v>6</v>
      </c>
      <c r="N2233" s="32" t="s">
        <v>184</v>
      </c>
      <c r="O2233" s="28" t="s">
        <v>204</v>
      </c>
      <c r="P2233" s="28" t="s">
        <v>5246</v>
      </c>
      <c r="Q2233" s="28" t="s">
        <v>5237</v>
      </c>
      <c r="R2233" s="28" t="s">
        <v>5238</v>
      </c>
    </row>
    <row r="2234" spans="1:18" hidden="1">
      <c r="A2234" s="28">
        <v>5</v>
      </c>
      <c r="B2234" s="29" t="s">
        <v>349</v>
      </c>
      <c r="C2234" s="29" t="s">
        <v>355</v>
      </c>
      <c r="D2234" s="29" t="s">
        <v>360</v>
      </c>
      <c r="E2234" s="29" t="s">
        <v>172</v>
      </c>
      <c r="F2234" s="28" t="s">
        <v>3776</v>
      </c>
      <c r="G2234" s="28" t="s">
        <v>5127</v>
      </c>
      <c r="H2234" s="28" t="s">
        <v>384</v>
      </c>
      <c r="I2234" s="28">
        <v>4</v>
      </c>
      <c r="J2234" s="30">
        <v>6.9000000000000006E-2</v>
      </c>
      <c r="K2234" s="28" t="s">
        <v>496</v>
      </c>
      <c r="L2234" s="31">
        <v>42917</v>
      </c>
      <c r="M2234" s="28">
        <v>7</v>
      </c>
      <c r="N2234" s="32" t="s">
        <v>184</v>
      </c>
      <c r="O2234" s="28" t="s">
        <v>204</v>
      </c>
      <c r="P2234" s="28" t="s">
        <v>5247</v>
      </c>
      <c r="Q2234" s="28" t="s">
        <v>5243</v>
      </c>
      <c r="R2234" s="28" t="s">
        <v>5244</v>
      </c>
    </row>
    <row r="2235" spans="1:18" hidden="1">
      <c r="A2235" s="28">
        <v>5</v>
      </c>
      <c r="B2235" s="29" t="s">
        <v>349</v>
      </c>
      <c r="C2235" s="29" t="s">
        <v>355</v>
      </c>
      <c r="D2235" s="29" t="s">
        <v>360</v>
      </c>
      <c r="E2235" s="29" t="s">
        <v>172</v>
      </c>
      <c r="F2235" s="28" t="s">
        <v>3776</v>
      </c>
      <c r="G2235" s="28" t="s">
        <v>5127</v>
      </c>
      <c r="H2235" s="28" t="s">
        <v>384</v>
      </c>
      <c r="I2235" s="28">
        <v>4</v>
      </c>
      <c r="J2235" s="30">
        <v>6.9000000000000006E-2</v>
      </c>
      <c r="K2235" s="28" t="s">
        <v>212</v>
      </c>
      <c r="L2235" s="31">
        <v>43313</v>
      </c>
      <c r="M2235" s="28">
        <v>8</v>
      </c>
      <c r="N2235" s="32" t="s">
        <v>184</v>
      </c>
      <c r="O2235" s="28" t="s">
        <v>204</v>
      </c>
      <c r="P2235" s="28" t="s">
        <v>5248</v>
      </c>
      <c r="Q2235" s="28" t="s">
        <v>5240</v>
      </c>
      <c r="R2235" s="28" t="s">
        <v>5241</v>
      </c>
    </row>
    <row r="2236" spans="1:18" hidden="1">
      <c r="A2236" s="28">
        <v>5</v>
      </c>
      <c r="B2236" s="29" t="s">
        <v>349</v>
      </c>
      <c r="C2236" s="29" t="s">
        <v>355</v>
      </c>
      <c r="D2236" s="29" t="s">
        <v>360</v>
      </c>
      <c r="E2236" s="29" t="s">
        <v>172</v>
      </c>
      <c r="F2236" s="28" t="s">
        <v>3776</v>
      </c>
      <c r="G2236" s="28" t="s">
        <v>5127</v>
      </c>
      <c r="H2236" s="28" t="s">
        <v>384</v>
      </c>
      <c r="I2236" s="28">
        <v>4</v>
      </c>
      <c r="J2236" s="30">
        <v>6.9000000000000006E-2</v>
      </c>
      <c r="K2236" s="28" t="s">
        <v>678</v>
      </c>
      <c r="L2236" s="31">
        <v>43344</v>
      </c>
      <c r="M2236" s="28">
        <v>9</v>
      </c>
      <c r="N2236" s="32" t="s">
        <v>191</v>
      </c>
      <c r="O2236" s="28" t="s">
        <v>204</v>
      </c>
      <c r="P2236" s="28" t="s">
        <v>5249</v>
      </c>
      <c r="Q2236" s="28" t="s">
        <v>5237</v>
      </c>
      <c r="R2236" s="28" t="s">
        <v>5238</v>
      </c>
    </row>
    <row r="2237" spans="1:18" hidden="1">
      <c r="A2237" s="28">
        <v>5</v>
      </c>
      <c r="B2237" s="29" t="s">
        <v>349</v>
      </c>
      <c r="C2237" s="29" t="s">
        <v>355</v>
      </c>
      <c r="D2237" s="29" t="s">
        <v>360</v>
      </c>
      <c r="E2237" s="29" t="s">
        <v>172</v>
      </c>
      <c r="F2237" s="28" t="s">
        <v>3776</v>
      </c>
      <c r="G2237" s="28" t="s">
        <v>5127</v>
      </c>
      <c r="H2237" s="28" t="s">
        <v>384</v>
      </c>
      <c r="I2237" s="28">
        <v>4</v>
      </c>
      <c r="J2237" s="30">
        <v>6.9000000000000006E-2</v>
      </c>
      <c r="K2237" s="28" t="s">
        <v>236</v>
      </c>
      <c r="L2237" s="31">
        <v>43617</v>
      </c>
      <c r="M2237" s="28">
        <v>6</v>
      </c>
      <c r="N2237" s="32" t="s">
        <v>184</v>
      </c>
      <c r="O2237" s="28" t="s">
        <v>204</v>
      </c>
      <c r="P2237" s="28" t="s">
        <v>5250</v>
      </c>
      <c r="Q2237" s="28" t="s">
        <v>5237</v>
      </c>
      <c r="R2237" s="28" t="s">
        <v>5238</v>
      </c>
    </row>
    <row r="2238" spans="1:18" hidden="1">
      <c r="A2238" s="28">
        <v>5</v>
      </c>
      <c r="B2238" s="29" t="s">
        <v>349</v>
      </c>
      <c r="C2238" s="29" t="s">
        <v>355</v>
      </c>
      <c r="D2238" s="29" t="s">
        <v>360</v>
      </c>
      <c r="E2238" s="29" t="s">
        <v>172</v>
      </c>
      <c r="F2238" s="28" t="s">
        <v>3776</v>
      </c>
      <c r="G2238" s="28" t="s">
        <v>5127</v>
      </c>
      <c r="H2238" s="28" t="s">
        <v>384</v>
      </c>
      <c r="I2238" s="28">
        <v>4</v>
      </c>
      <c r="J2238" s="30">
        <v>6.9000000000000006E-2</v>
      </c>
      <c r="K2238" s="28" t="s">
        <v>424</v>
      </c>
      <c r="L2238" s="31">
        <v>43678</v>
      </c>
      <c r="M2238" s="28">
        <v>8</v>
      </c>
      <c r="N2238" s="32" t="s">
        <v>184</v>
      </c>
      <c r="O2238" s="28" t="s">
        <v>204</v>
      </c>
      <c r="P2238" s="28" t="s">
        <v>5251</v>
      </c>
      <c r="Q2238" s="28" t="s">
        <v>5237</v>
      </c>
      <c r="R2238" s="28" t="s">
        <v>5238</v>
      </c>
    </row>
    <row r="2239" spans="1:18" hidden="1">
      <c r="A2239" s="28">
        <v>5</v>
      </c>
      <c r="B2239" s="29" t="s">
        <v>349</v>
      </c>
      <c r="C2239" s="29" t="s">
        <v>355</v>
      </c>
      <c r="D2239" s="29" t="s">
        <v>360</v>
      </c>
      <c r="E2239" s="29" t="s">
        <v>172</v>
      </c>
      <c r="F2239" s="28" t="s">
        <v>3776</v>
      </c>
      <c r="G2239" s="28" t="s">
        <v>5127</v>
      </c>
      <c r="H2239" s="28" t="s">
        <v>384</v>
      </c>
      <c r="I2239" s="28">
        <v>4</v>
      </c>
      <c r="J2239" s="30">
        <v>6.9000000000000006E-2</v>
      </c>
      <c r="K2239" s="28" t="s">
        <v>518</v>
      </c>
      <c r="L2239" s="31">
        <v>43709</v>
      </c>
      <c r="M2239" s="28">
        <v>9</v>
      </c>
      <c r="N2239" s="32" t="s">
        <v>191</v>
      </c>
      <c r="O2239" s="28" t="s">
        <v>204</v>
      </c>
      <c r="P2239" s="28" t="s">
        <v>5252</v>
      </c>
      <c r="Q2239" s="28" t="s">
        <v>5237</v>
      </c>
      <c r="R2239" s="28" t="s">
        <v>5238</v>
      </c>
    </row>
    <row r="2240" spans="1:18" hidden="1">
      <c r="A2240" s="28">
        <v>5</v>
      </c>
      <c r="B2240" s="29" t="s">
        <v>349</v>
      </c>
      <c r="C2240" s="29" t="s">
        <v>355</v>
      </c>
      <c r="D2240" s="29" t="s">
        <v>360</v>
      </c>
      <c r="E2240" s="29" t="s">
        <v>172</v>
      </c>
      <c r="F2240" s="28" t="s">
        <v>3776</v>
      </c>
      <c r="G2240" s="28" t="s">
        <v>5127</v>
      </c>
      <c r="H2240" s="28" t="s">
        <v>384</v>
      </c>
      <c r="I2240" s="28">
        <v>4</v>
      </c>
      <c r="J2240" s="30">
        <v>6.9000000000000006E-2</v>
      </c>
      <c r="K2240" s="28" t="s">
        <v>479</v>
      </c>
      <c r="L2240" s="31">
        <v>43770</v>
      </c>
      <c r="M2240" s="28">
        <v>11</v>
      </c>
      <c r="N2240" s="32" t="s">
        <v>191</v>
      </c>
      <c r="O2240" s="28" t="s">
        <v>204</v>
      </c>
      <c r="P2240" s="28" t="s">
        <v>5253</v>
      </c>
      <c r="Q2240" s="28" t="s">
        <v>5237</v>
      </c>
      <c r="R2240" s="28" t="s">
        <v>5238</v>
      </c>
    </row>
    <row r="2241" spans="1:18" hidden="1">
      <c r="A2241" s="28">
        <v>5</v>
      </c>
      <c r="B2241" s="29" t="s">
        <v>349</v>
      </c>
      <c r="C2241" s="29" t="s">
        <v>355</v>
      </c>
      <c r="D2241" s="29" t="s">
        <v>360</v>
      </c>
      <c r="E2241" s="29" t="s">
        <v>172</v>
      </c>
      <c r="F2241" s="28" t="s">
        <v>3776</v>
      </c>
      <c r="G2241" s="28" t="s">
        <v>5127</v>
      </c>
      <c r="H2241" s="28" t="s">
        <v>384</v>
      </c>
      <c r="I2241" s="28">
        <v>4</v>
      </c>
      <c r="J2241" s="30">
        <v>6.9000000000000006E-2</v>
      </c>
      <c r="K2241" s="28" t="s">
        <v>218</v>
      </c>
      <c r="L2241" s="31">
        <v>44044</v>
      </c>
      <c r="M2241" s="28">
        <v>8</v>
      </c>
      <c r="N2241" s="32" t="s">
        <v>184</v>
      </c>
      <c r="O2241" s="28" t="s">
        <v>204</v>
      </c>
      <c r="P2241" s="28" t="s">
        <v>5254</v>
      </c>
      <c r="Q2241" s="28" t="s">
        <v>5237</v>
      </c>
      <c r="R2241" s="28" t="s">
        <v>5238</v>
      </c>
    </row>
    <row r="2242" spans="1:18" hidden="1">
      <c r="A2242" s="28">
        <v>5</v>
      </c>
      <c r="B2242" s="29" t="s">
        <v>349</v>
      </c>
      <c r="C2242" s="29" t="s">
        <v>355</v>
      </c>
      <c r="D2242" s="29" t="s">
        <v>360</v>
      </c>
      <c r="E2242" s="29" t="s">
        <v>172</v>
      </c>
      <c r="F2242" s="28" t="s">
        <v>3776</v>
      </c>
      <c r="G2242" s="28" t="s">
        <v>5127</v>
      </c>
      <c r="H2242" s="28" t="s">
        <v>384</v>
      </c>
      <c r="I2242" s="28">
        <v>4</v>
      </c>
      <c r="J2242" s="30">
        <v>6.9000000000000006E-2</v>
      </c>
      <c r="K2242" s="28" t="s">
        <v>522</v>
      </c>
      <c r="L2242" s="31">
        <v>44256</v>
      </c>
      <c r="M2242" s="28">
        <v>3</v>
      </c>
      <c r="N2242" s="32" t="s">
        <v>191</v>
      </c>
      <c r="O2242" s="28" t="s">
        <v>204</v>
      </c>
      <c r="P2242" s="28" t="s">
        <v>5255</v>
      </c>
      <c r="Q2242" s="28" t="s">
        <v>5237</v>
      </c>
      <c r="R2242" s="28" t="s">
        <v>5238</v>
      </c>
    </row>
    <row r="2243" spans="1:18" hidden="1">
      <c r="A2243" s="28">
        <v>5</v>
      </c>
      <c r="B2243" s="29" t="s">
        <v>349</v>
      </c>
      <c r="C2243" s="29" t="s">
        <v>355</v>
      </c>
      <c r="D2243" s="29" t="s">
        <v>360</v>
      </c>
      <c r="E2243" s="29" t="s">
        <v>172</v>
      </c>
      <c r="F2243" s="28" t="s">
        <v>3776</v>
      </c>
      <c r="G2243" s="28" t="s">
        <v>5127</v>
      </c>
      <c r="H2243" s="28" t="s">
        <v>384</v>
      </c>
      <c r="I2243" s="28">
        <v>4</v>
      </c>
      <c r="J2243" s="30">
        <v>6.9000000000000006E-2</v>
      </c>
      <c r="K2243" s="28" t="s">
        <v>554</v>
      </c>
      <c r="L2243" s="31">
        <v>44317</v>
      </c>
      <c r="M2243" s="28">
        <v>5</v>
      </c>
      <c r="N2243" s="32" t="s">
        <v>191</v>
      </c>
      <c r="O2243" s="28" t="s">
        <v>204</v>
      </c>
      <c r="P2243" s="28" t="s">
        <v>5256</v>
      </c>
      <c r="Q2243" s="28" t="s">
        <v>5237</v>
      </c>
      <c r="R2243" s="28" t="s">
        <v>5238</v>
      </c>
    </row>
    <row r="2244" spans="1:18" hidden="1">
      <c r="A2244" s="28">
        <v>9</v>
      </c>
      <c r="B2244" s="29" t="s">
        <v>1992</v>
      </c>
      <c r="C2244" s="29" t="s">
        <v>2607</v>
      </c>
      <c r="D2244" s="29" t="s">
        <v>2608</v>
      </c>
      <c r="E2244" s="29" t="s">
        <v>374</v>
      </c>
      <c r="F2244" s="28" t="s">
        <v>3776</v>
      </c>
      <c r="G2244" s="28" t="s">
        <v>5127</v>
      </c>
      <c r="H2244" s="28" t="s">
        <v>384</v>
      </c>
      <c r="I2244" s="28">
        <v>4</v>
      </c>
      <c r="J2244" s="30">
        <v>6.9000000000000006E-2</v>
      </c>
      <c r="K2244" s="28" t="s">
        <v>302</v>
      </c>
      <c r="L2244" s="31">
        <v>43282</v>
      </c>
      <c r="M2244" s="28">
        <v>7</v>
      </c>
      <c r="N2244" s="32" t="s">
        <v>184</v>
      </c>
      <c r="O2244" s="28" t="s">
        <v>204</v>
      </c>
      <c r="P2244" s="28" t="s">
        <v>5257</v>
      </c>
      <c r="Q2244" s="28" t="s">
        <v>5258</v>
      </c>
      <c r="R2244" s="28" t="s">
        <v>5259</v>
      </c>
    </row>
    <row r="2245" spans="1:18" hidden="1">
      <c r="A2245" s="28">
        <v>1</v>
      </c>
      <c r="B2245" s="29" t="s">
        <v>379</v>
      </c>
      <c r="C2245" s="29" t="s">
        <v>1048</v>
      </c>
      <c r="D2245" s="29" t="s">
        <v>1057</v>
      </c>
      <c r="E2245" s="29" t="s">
        <v>172</v>
      </c>
      <c r="F2245" s="28" t="s">
        <v>5260</v>
      </c>
      <c r="G2245" s="28" t="s">
        <v>5260</v>
      </c>
      <c r="H2245" s="28" t="s">
        <v>384</v>
      </c>
      <c r="I2245" s="28">
        <v>4</v>
      </c>
      <c r="J2245" s="30">
        <v>6.9000000000000006E-2</v>
      </c>
      <c r="K2245" s="28" t="s">
        <v>769</v>
      </c>
      <c r="L2245" s="31">
        <v>42826</v>
      </c>
      <c r="M2245" s="28">
        <v>4</v>
      </c>
      <c r="N2245" s="32" t="s">
        <v>191</v>
      </c>
      <c r="O2245" s="28" t="s">
        <v>204</v>
      </c>
      <c r="P2245" s="28" t="s">
        <v>5261</v>
      </c>
      <c r="Q2245" s="28" t="s">
        <v>5262</v>
      </c>
      <c r="R2245" s="28" t="s">
        <v>5263</v>
      </c>
    </row>
    <row r="2246" spans="1:18" hidden="1">
      <c r="A2246" s="28">
        <v>11</v>
      </c>
      <c r="B2246" s="29" t="s">
        <v>169</v>
      </c>
      <c r="C2246" s="29" t="s">
        <v>170</v>
      </c>
      <c r="D2246" s="29" t="s">
        <v>171</v>
      </c>
      <c r="E2246" s="29" t="s">
        <v>172</v>
      </c>
      <c r="F2246" s="28" t="s">
        <v>5260</v>
      </c>
      <c r="G2246" s="28" t="s">
        <v>5260</v>
      </c>
      <c r="H2246" s="28" t="s">
        <v>384</v>
      </c>
      <c r="I2246" s="28">
        <v>4</v>
      </c>
      <c r="J2246" s="30">
        <v>6.9000000000000006E-2</v>
      </c>
      <c r="K2246" s="28" t="s">
        <v>243</v>
      </c>
      <c r="L2246" s="31">
        <v>42461</v>
      </c>
      <c r="M2246" s="28">
        <v>4</v>
      </c>
      <c r="N2246" s="32" t="s">
        <v>191</v>
      </c>
      <c r="O2246" s="28" t="s">
        <v>204</v>
      </c>
      <c r="P2246" s="28" t="s">
        <v>5264</v>
      </c>
      <c r="Q2246" s="28" t="s">
        <v>4155</v>
      </c>
      <c r="R2246" s="28" t="s">
        <v>5265</v>
      </c>
    </row>
    <row r="2247" spans="1:18" hidden="1">
      <c r="A2247" s="28">
        <v>12</v>
      </c>
      <c r="B2247" s="29" t="s">
        <v>195</v>
      </c>
      <c r="C2247" s="29" t="s">
        <v>196</v>
      </c>
      <c r="D2247" s="29" t="s">
        <v>197</v>
      </c>
      <c r="E2247" s="29" t="s">
        <v>172</v>
      </c>
      <c r="F2247" s="28" t="s">
        <v>5260</v>
      </c>
      <c r="G2247" s="28" t="s">
        <v>5260</v>
      </c>
      <c r="H2247" s="28" t="s">
        <v>384</v>
      </c>
      <c r="I2247" s="28">
        <v>4</v>
      </c>
      <c r="J2247" s="30">
        <v>6.9000000000000006E-2</v>
      </c>
      <c r="K2247" s="28" t="s">
        <v>683</v>
      </c>
      <c r="L2247" s="31">
        <v>43831</v>
      </c>
      <c r="M2247" s="28">
        <v>1</v>
      </c>
      <c r="N2247" s="32" t="s">
        <v>176</v>
      </c>
      <c r="O2247" s="28" t="s">
        <v>204</v>
      </c>
      <c r="P2247" s="28" t="s">
        <v>5266</v>
      </c>
      <c r="Q2247" s="28" t="s">
        <v>5267</v>
      </c>
      <c r="R2247" s="28" t="s">
        <v>5268</v>
      </c>
    </row>
    <row r="2248" spans="1:18" hidden="1">
      <c r="A2248" s="28">
        <v>12</v>
      </c>
      <c r="B2248" s="29" t="s">
        <v>195</v>
      </c>
      <c r="C2248" s="29" t="s">
        <v>202</v>
      </c>
      <c r="D2248" s="29" t="s">
        <v>434</v>
      </c>
      <c r="E2248" s="29" t="s">
        <v>172</v>
      </c>
      <c r="F2248" s="28" t="s">
        <v>5260</v>
      </c>
      <c r="G2248" s="28" t="s">
        <v>5260</v>
      </c>
      <c r="H2248" s="28" t="s">
        <v>384</v>
      </c>
      <c r="I2248" s="28">
        <v>4</v>
      </c>
      <c r="J2248" s="30">
        <v>6.9000000000000006E-2</v>
      </c>
      <c r="K2248" s="28" t="s">
        <v>263</v>
      </c>
      <c r="L2248" s="31">
        <v>42430</v>
      </c>
      <c r="M2248" s="28">
        <v>3</v>
      </c>
      <c r="N2248" s="32" t="s">
        <v>191</v>
      </c>
      <c r="O2248" s="28" t="s">
        <v>204</v>
      </c>
      <c r="P2248" s="28" t="s">
        <v>5269</v>
      </c>
      <c r="Q2248" s="28" t="s">
        <v>5270</v>
      </c>
      <c r="R2248" s="28" t="s">
        <v>5271</v>
      </c>
    </row>
    <row r="2249" spans="1:18" hidden="1">
      <c r="A2249" s="28">
        <v>12</v>
      </c>
      <c r="B2249" s="29" t="s">
        <v>195</v>
      </c>
      <c r="C2249" s="29" t="s">
        <v>202</v>
      </c>
      <c r="D2249" s="29" t="s">
        <v>434</v>
      </c>
      <c r="E2249" s="29" t="s">
        <v>172</v>
      </c>
      <c r="F2249" s="28" t="s">
        <v>5260</v>
      </c>
      <c r="G2249" s="28" t="s">
        <v>5260</v>
      </c>
      <c r="H2249" s="28" t="s">
        <v>384</v>
      </c>
      <c r="I2249" s="28">
        <v>4</v>
      </c>
      <c r="J2249" s="30">
        <v>6.9000000000000006E-2</v>
      </c>
      <c r="K2249" s="28" t="s">
        <v>243</v>
      </c>
      <c r="L2249" s="31">
        <v>42461</v>
      </c>
      <c r="M2249" s="28">
        <v>4</v>
      </c>
      <c r="N2249" s="32" t="s">
        <v>191</v>
      </c>
      <c r="O2249" s="28" t="s">
        <v>204</v>
      </c>
      <c r="P2249" s="28" t="s">
        <v>5272</v>
      </c>
      <c r="Q2249" s="28" t="s">
        <v>5273</v>
      </c>
      <c r="R2249" s="28" t="s">
        <v>4153</v>
      </c>
    </row>
    <row r="2250" spans="1:18" hidden="1">
      <c r="A2250" s="28">
        <v>12</v>
      </c>
      <c r="B2250" s="29" t="s">
        <v>195</v>
      </c>
      <c r="C2250" s="29" t="s">
        <v>202</v>
      </c>
      <c r="D2250" s="29" t="s">
        <v>434</v>
      </c>
      <c r="E2250" s="29" t="s">
        <v>172</v>
      </c>
      <c r="F2250" s="28" t="s">
        <v>5260</v>
      </c>
      <c r="G2250" s="28" t="s">
        <v>5260</v>
      </c>
      <c r="H2250" s="28" t="s">
        <v>384</v>
      </c>
      <c r="I2250" s="28">
        <v>4</v>
      </c>
      <c r="J2250" s="30">
        <v>6.9000000000000006E-2</v>
      </c>
      <c r="K2250" s="28" t="s">
        <v>460</v>
      </c>
      <c r="L2250" s="31">
        <v>42675</v>
      </c>
      <c r="M2250" s="28">
        <v>11</v>
      </c>
      <c r="N2250" s="32" t="s">
        <v>191</v>
      </c>
      <c r="O2250" s="28" t="s">
        <v>204</v>
      </c>
      <c r="P2250" s="28" t="s">
        <v>5274</v>
      </c>
      <c r="Q2250" s="28" t="s">
        <v>5275</v>
      </c>
      <c r="R2250" s="28" t="s">
        <v>5276</v>
      </c>
    </row>
    <row r="2251" spans="1:18" hidden="1">
      <c r="A2251" s="28">
        <v>12</v>
      </c>
      <c r="B2251" s="29" t="s">
        <v>195</v>
      </c>
      <c r="C2251" s="29" t="s">
        <v>202</v>
      </c>
      <c r="D2251" s="29" t="s">
        <v>434</v>
      </c>
      <c r="E2251" s="29" t="s">
        <v>172</v>
      </c>
      <c r="F2251" s="28" t="s">
        <v>5260</v>
      </c>
      <c r="G2251" s="28" t="s">
        <v>5260</v>
      </c>
      <c r="H2251" s="28" t="s">
        <v>384</v>
      </c>
      <c r="I2251" s="28">
        <v>4</v>
      </c>
      <c r="J2251" s="30">
        <v>6.9000000000000006E-2</v>
      </c>
      <c r="K2251" s="28" t="s">
        <v>460</v>
      </c>
      <c r="L2251" s="31">
        <v>42675</v>
      </c>
      <c r="M2251" s="28">
        <v>11</v>
      </c>
      <c r="N2251" s="32" t="s">
        <v>191</v>
      </c>
      <c r="O2251" s="28" t="s">
        <v>204</v>
      </c>
      <c r="P2251" s="28" t="s">
        <v>5277</v>
      </c>
      <c r="Q2251" s="28" t="s">
        <v>5273</v>
      </c>
      <c r="R2251" s="28" t="s">
        <v>4153</v>
      </c>
    </row>
    <row r="2252" spans="1:18" hidden="1">
      <c r="A2252" s="28">
        <v>12</v>
      </c>
      <c r="B2252" s="29" t="s">
        <v>195</v>
      </c>
      <c r="C2252" s="29" t="s">
        <v>202</v>
      </c>
      <c r="D2252" s="29" t="s">
        <v>434</v>
      </c>
      <c r="E2252" s="29" t="s">
        <v>172</v>
      </c>
      <c r="F2252" s="28" t="s">
        <v>5260</v>
      </c>
      <c r="G2252" s="28" t="s">
        <v>5260</v>
      </c>
      <c r="H2252" s="28" t="s">
        <v>384</v>
      </c>
      <c r="I2252" s="28">
        <v>4</v>
      </c>
      <c r="J2252" s="30">
        <v>6.9000000000000006E-2</v>
      </c>
      <c r="K2252" s="28" t="s">
        <v>289</v>
      </c>
      <c r="L2252" s="31">
        <v>42795</v>
      </c>
      <c r="M2252" s="28">
        <v>3</v>
      </c>
      <c r="N2252" s="32" t="s">
        <v>191</v>
      </c>
      <c r="O2252" s="28" t="s">
        <v>204</v>
      </c>
      <c r="P2252" s="28" t="s">
        <v>5278</v>
      </c>
      <c r="Q2252" s="28" t="s">
        <v>5279</v>
      </c>
      <c r="R2252" s="28" t="s">
        <v>4153</v>
      </c>
    </row>
    <row r="2253" spans="1:18" hidden="1">
      <c r="A2253" s="28">
        <v>12</v>
      </c>
      <c r="B2253" s="29" t="s">
        <v>195</v>
      </c>
      <c r="C2253" s="29" t="s">
        <v>202</v>
      </c>
      <c r="D2253" s="29" t="s">
        <v>434</v>
      </c>
      <c r="E2253" s="29" t="s">
        <v>172</v>
      </c>
      <c r="F2253" s="28" t="s">
        <v>5260</v>
      </c>
      <c r="G2253" s="28" t="s">
        <v>5260</v>
      </c>
      <c r="H2253" s="28" t="s">
        <v>384</v>
      </c>
      <c r="I2253" s="28">
        <v>4</v>
      </c>
      <c r="J2253" s="30">
        <v>6.9000000000000006E-2</v>
      </c>
      <c r="K2253" s="28" t="s">
        <v>769</v>
      </c>
      <c r="L2253" s="31">
        <v>42826</v>
      </c>
      <c r="M2253" s="28">
        <v>4</v>
      </c>
      <c r="N2253" s="32" t="s">
        <v>191</v>
      </c>
      <c r="O2253" s="28" t="s">
        <v>204</v>
      </c>
      <c r="P2253" s="28" t="s">
        <v>5280</v>
      </c>
      <c r="Q2253" s="28" t="s">
        <v>5273</v>
      </c>
      <c r="R2253" s="28" t="s">
        <v>4153</v>
      </c>
    </row>
    <row r="2254" spans="1:18" hidden="1">
      <c r="A2254" s="28">
        <v>12</v>
      </c>
      <c r="B2254" s="29" t="s">
        <v>195</v>
      </c>
      <c r="C2254" s="29" t="s">
        <v>202</v>
      </c>
      <c r="D2254" s="29" t="s">
        <v>434</v>
      </c>
      <c r="E2254" s="29" t="s">
        <v>172</v>
      </c>
      <c r="F2254" s="28" t="s">
        <v>5260</v>
      </c>
      <c r="G2254" s="28" t="s">
        <v>5260</v>
      </c>
      <c r="H2254" s="28" t="s">
        <v>384</v>
      </c>
      <c r="I2254" s="28">
        <v>4</v>
      </c>
      <c r="J2254" s="30">
        <v>6.9000000000000006E-2</v>
      </c>
      <c r="K2254" s="28" t="s">
        <v>769</v>
      </c>
      <c r="L2254" s="31">
        <v>42826</v>
      </c>
      <c r="M2254" s="28">
        <v>4</v>
      </c>
      <c r="N2254" s="32" t="s">
        <v>191</v>
      </c>
      <c r="O2254" s="28" t="s">
        <v>204</v>
      </c>
      <c r="P2254" s="28" t="s">
        <v>5281</v>
      </c>
      <c r="Q2254" s="28" t="s">
        <v>5279</v>
      </c>
      <c r="R2254" s="28" t="s">
        <v>4153</v>
      </c>
    </row>
    <row r="2255" spans="1:18" hidden="1">
      <c r="A2255" s="28">
        <v>12</v>
      </c>
      <c r="B2255" s="29" t="s">
        <v>195</v>
      </c>
      <c r="C2255" s="29" t="s">
        <v>202</v>
      </c>
      <c r="D2255" s="29" t="s">
        <v>434</v>
      </c>
      <c r="E2255" s="29" t="s">
        <v>172</v>
      </c>
      <c r="F2255" s="28" t="s">
        <v>5260</v>
      </c>
      <c r="G2255" s="28" t="s">
        <v>5260</v>
      </c>
      <c r="H2255" s="28" t="s">
        <v>384</v>
      </c>
      <c r="I2255" s="28">
        <v>4</v>
      </c>
      <c r="J2255" s="30">
        <v>6.9000000000000006E-2</v>
      </c>
      <c r="K2255" s="28" t="s">
        <v>823</v>
      </c>
      <c r="L2255" s="31">
        <v>44136</v>
      </c>
      <c r="M2255" s="28">
        <v>11</v>
      </c>
      <c r="N2255" s="32" t="s">
        <v>191</v>
      </c>
      <c r="O2255" s="28" t="s">
        <v>177</v>
      </c>
      <c r="P2255" s="28" t="s">
        <v>5282</v>
      </c>
      <c r="Q2255" s="28" t="s">
        <v>5283</v>
      </c>
      <c r="R2255" s="28" t="s">
        <v>5284</v>
      </c>
    </row>
    <row r="2256" spans="1:18" hidden="1">
      <c r="A2256" s="28">
        <v>12</v>
      </c>
      <c r="B2256" s="29" t="s">
        <v>195</v>
      </c>
      <c r="C2256" s="29" t="s">
        <v>202</v>
      </c>
      <c r="D2256" s="29" t="s">
        <v>203</v>
      </c>
      <c r="E2256" s="29" t="s">
        <v>172</v>
      </c>
      <c r="F2256" s="28" t="s">
        <v>5260</v>
      </c>
      <c r="G2256" s="28" t="s">
        <v>5260</v>
      </c>
      <c r="H2256" s="28" t="s">
        <v>384</v>
      </c>
      <c r="I2256" s="28">
        <v>4</v>
      </c>
      <c r="J2256" s="30">
        <v>6.9000000000000006E-2</v>
      </c>
      <c r="K2256" s="28" t="s">
        <v>232</v>
      </c>
      <c r="L2256" s="31">
        <v>42522</v>
      </c>
      <c r="M2256" s="28">
        <v>6</v>
      </c>
      <c r="N2256" s="32" t="s">
        <v>184</v>
      </c>
      <c r="O2256" s="28" t="s">
        <v>204</v>
      </c>
      <c r="P2256" s="28" t="s">
        <v>5285</v>
      </c>
      <c r="Q2256" s="28" t="s">
        <v>5286</v>
      </c>
      <c r="R2256" s="28" t="s">
        <v>5287</v>
      </c>
    </row>
    <row r="2257" spans="1:18" hidden="1">
      <c r="A2257" s="28">
        <v>12</v>
      </c>
      <c r="B2257" s="29" t="s">
        <v>195</v>
      </c>
      <c r="C2257" s="29" t="s">
        <v>202</v>
      </c>
      <c r="D2257" s="29" t="s">
        <v>203</v>
      </c>
      <c r="E2257" s="29" t="s">
        <v>172</v>
      </c>
      <c r="F2257" s="28" t="s">
        <v>5260</v>
      </c>
      <c r="G2257" s="28" t="s">
        <v>5260</v>
      </c>
      <c r="H2257" s="28" t="s">
        <v>384</v>
      </c>
      <c r="I2257" s="28">
        <v>4</v>
      </c>
      <c r="J2257" s="30">
        <v>6.9000000000000006E-2</v>
      </c>
      <c r="K2257" s="28" t="s">
        <v>464</v>
      </c>
      <c r="L2257" s="31">
        <v>42887</v>
      </c>
      <c r="M2257" s="28">
        <v>6</v>
      </c>
      <c r="N2257" s="32" t="s">
        <v>184</v>
      </c>
      <c r="O2257" s="28" t="s">
        <v>204</v>
      </c>
      <c r="P2257" s="28" t="s">
        <v>5288</v>
      </c>
      <c r="Q2257" s="28" t="s">
        <v>4152</v>
      </c>
      <c r="R2257" s="28" t="s">
        <v>4153</v>
      </c>
    </row>
    <row r="2258" spans="1:18" hidden="1">
      <c r="A2258" s="28">
        <v>12</v>
      </c>
      <c r="B2258" s="29" t="s">
        <v>195</v>
      </c>
      <c r="C2258" s="29" t="s">
        <v>202</v>
      </c>
      <c r="D2258" s="29" t="s">
        <v>203</v>
      </c>
      <c r="E2258" s="29" t="s">
        <v>172</v>
      </c>
      <c r="F2258" s="28" t="s">
        <v>5260</v>
      </c>
      <c r="G2258" s="28" t="s">
        <v>5260</v>
      </c>
      <c r="H2258" s="28" t="s">
        <v>384</v>
      </c>
      <c r="I2258" s="28">
        <v>4</v>
      </c>
      <c r="J2258" s="30">
        <v>6.9000000000000006E-2</v>
      </c>
      <c r="K2258" s="28" t="s">
        <v>496</v>
      </c>
      <c r="L2258" s="31">
        <v>42917</v>
      </c>
      <c r="M2258" s="28">
        <v>7</v>
      </c>
      <c r="N2258" s="32" t="s">
        <v>184</v>
      </c>
      <c r="O2258" s="28" t="s">
        <v>204</v>
      </c>
      <c r="P2258" s="28" t="s">
        <v>5289</v>
      </c>
      <c r="Q2258" s="28" t="s">
        <v>4152</v>
      </c>
      <c r="R2258" s="28" t="s">
        <v>4153</v>
      </c>
    </row>
    <row r="2259" spans="1:18" hidden="1">
      <c r="A2259" s="28">
        <v>12</v>
      </c>
      <c r="B2259" s="29" t="s">
        <v>195</v>
      </c>
      <c r="C2259" s="29" t="s">
        <v>202</v>
      </c>
      <c r="D2259" s="29" t="s">
        <v>203</v>
      </c>
      <c r="E2259" s="29" t="s">
        <v>172</v>
      </c>
      <c r="F2259" s="28" t="s">
        <v>5260</v>
      </c>
      <c r="G2259" s="28" t="s">
        <v>5260</v>
      </c>
      <c r="H2259" s="28" t="s">
        <v>384</v>
      </c>
      <c r="I2259" s="28">
        <v>4</v>
      </c>
      <c r="J2259" s="30">
        <v>6.9000000000000006E-2</v>
      </c>
      <c r="K2259" s="28" t="s">
        <v>302</v>
      </c>
      <c r="L2259" s="31">
        <v>43282</v>
      </c>
      <c r="M2259" s="28">
        <v>7</v>
      </c>
      <c r="N2259" s="32" t="s">
        <v>184</v>
      </c>
      <c r="O2259" s="28" t="s">
        <v>204</v>
      </c>
      <c r="P2259" s="28" t="s">
        <v>5290</v>
      </c>
      <c r="Q2259" s="28" t="s">
        <v>5291</v>
      </c>
      <c r="R2259" s="28" t="s">
        <v>5292</v>
      </c>
    </row>
    <row r="2260" spans="1:18" hidden="1">
      <c r="A2260" s="28">
        <v>12</v>
      </c>
      <c r="B2260" s="29" t="s">
        <v>195</v>
      </c>
      <c r="C2260" s="29" t="s">
        <v>202</v>
      </c>
      <c r="D2260" s="29" t="s">
        <v>203</v>
      </c>
      <c r="E2260" s="29" t="s">
        <v>172</v>
      </c>
      <c r="F2260" s="28" t="s">
        <v>5260</v>
      </c>
      <c r="G2260" s="28" t="s">
        <v>5260</v>
      </c>
      <c r="H2260" s="28" t="s">
        <v>384</v>
      </c>
      <c r="I2260" s="28">
        <v>4</v>
      </c>
      <c r="J2260" s="30">
        <v>6.9000000000000006E-2</v>
      </c>
      <c r="K2260" s="28" t="s">
        <v>520</v>
      </c>
      <c r="L2260" s="31">
        <v>43800</v>
      </c>
      <c r="M2260" s="28">
        <v>12</v>
      </c>
      <c r="N2260" s="32" t="s">
        <v>176</v>
      </c>
      <c r="O2260" s="28" t="s">
        <v>1060</v>
      </c>
      <c r="P2260" s="28" t="s">
        <v>5293</v>
      </c>
      <c r="Q2260" s="28" t="s">
        <v>1464</v>
      </c>
      <c r="R2260" s="28" t="s">
        <v>1465</v>
      </c>
    </row>
    <row r="2261" spans="1:18" hidden="1">
      <c r="A2261" s="28">
        <v>12</v>
      </c>
      <c r="B2261" s="29" t="s">
        <v>195</v>
      </c>
      <c r="C2261" s="29" t="s">
        <v>202</v>
      </c>
      <c r="D2261" s="29" t="s">
        <v>4543</v>
      </c>
      <c r="E2261" s="29" t="s">
        <v>172</v>
      </c>
      <c r="F2261" s="28" t="s">
        <v>5260</v>
      </c>
      <c r="G2261" s="28" t="s">
        <v>5260</v>
      </c>
      <c r="H2261" s="28" t="s">
        <v>384</v>
      </c>
      <c r="I2261" s="28">
        <v>4</v>
      </c>
      <c r="J2261" s="30">
        <v>6.9000000000000006E-2</v>
      </c>
      <c r="K2261" s="28" t="s">
        <v>651</v>
      </c>
      <c r="L2261" s="31">
        <v>42644</v>
      </c>
      <c r="M2261" s="28">
        <v>10</v>
      </c>
      <c r="N2261" s="32" t="s">
        <v>191</v>
      </c>
      <c r="O2261" s="28" t="s">
        <v>204</v>
      </c>
      <c r="P2261" s="28" t="s">
        <v>5294</v>
      </c>
      <c r="Q2261" s="28" t="s">
        <v>5295</v>
      </c>
      <c r="R2261" s="28" t="s">
        <v>5296</v>
      </c>
    </row>
    <row r="2262" spans="1:18" hidden="1">
      <c r="A2262" s="28">
        <v>12</v>
      </c>
      <c r="B2262" s="29" t="s">
        <v>195</v>
      </c>
      <c r="C2262" s="29" t="s">
        <v>202</v>
      </c>
      <c r="D2262" s="29" t="s">
        <v>4543</v>
      </c>
      <c r="E2262" s="29" t="s">
        <v>172</v>
      </c>
      <c r="F2262" s="28" t="s">
        <v>5260</v>
      </c>
      <c r="G2262" s="28" t="s">
        <v>5260</v>
      </c>
      <c r="H2262" s="28" t="s">
        <v>384</v>
      </c>
      <c r="I2262" s="28">
        <v>4</v>
      </c>
      <c r="J2262" s="30">
        <v>6.9000000000000006E-2</v>
      </c>
      <c r="K2262" s="28" t="s">
        <v>293</v>
      </c>
      <c r="L2262" s="31">
        <v>43374</v>
      </c>
      <c r="M2262" s="28">
        <v>10</v>
      </c>
      <c r="N2262" s="32" t="s">
        <v>191</v>
      </c>
      <c r="O2262" s="28" t="s">
        <v>204</v>
      </c>
      <c r="P2262" s="28" t="s">
        <v>5297</v>
      </c>
      <c r="Q2262" s="28" t="s">
        <v>5295</v>
      </c>
      <c r="R2262" s="28" t="s">
        <v>5296</v>
      </c>
    </row>
    <row r="2263" spans="1:18" hidden="1">
      <c r="A2263" s="28">
        <v>12</v>
      </c>
      <c r="B2263" s="29" t="s">
        <v>195</v>
      </c>
      <c r="C2263" s="29" t="s">
        <v>202</v>
      </c>
      <c r="D2263" s="29" t="s">
        <v>4543</v>
      </c>
      <c r="E2263" s="29" t="s">
        <v>172</v>
      </c>
      <c r="F2263" s="28" t="s">
        <v>5260</v>
      </c>
      <c r="G2263" s="28" t="s">
        <v>5260</v>
      </c>
      <c r="H2263" s="28" t="s">
        <v>384</v>
      </c>
      <c r="I2263" s="28">
        <v>4</v>
      </c>
      <c r="J2263" s="30">
        <v>6.9000000000000006E-2</v>
      </c>
      <c r="K2263" s="28" t="s">
        <v>411</v>
      </c>
      <c r="L2263" s="31">
        <v>43556</v>
      </c>
      <c r="M2263" s="28">
        <v>4</v>
      </c>
      <c r="N2263" s="32" t="s">
        <v>191</v>
      </c>
      <c r="O2263" s="28" t="s">
        <v>204</v>
      </c>
      <c r="P2263" s="28" t="s">
        <v>5298</v>
      </c>
      <c r="Q2263" s="28" t="s">
        <v>5295</v>
      </c>
      <c r="R2263" s="28" t="s">
        <v>5296</v>
      </c>
    </row>
    <row r="2264" spans="1:18" hidden="1">
      <c r="A2264" s="28">
        <v>12</v>
      </c>
      <c r="B2264" s="29" t="s">
        <v>195</v>
      </c>
      <c r="C2264" s="29" t="s">
        <v>1391</v>
      </c>
      <c r="D2264" s="29" t="s">
        <v>3432</v>
      </c>
      <c r="E2264" s="29" t="s">
        <v>172</v>
      </c>
      <c r="F2264" s="28" t="s">
        <v>5260</v>
      </c>
      <c r="G2264" s="28" t="s">
        <v>5260</v>
      </c>
      <c r="H2264" s="28" t="s">
        <v>384</v>
      </c>
      <c r="I2264" s="28">
        <v>4</v>
      </c>
      <c r="J2264" s="30">
        <v>6.9000000000000006E-2</v>
      </c>
      <c r="K2264" s="28" t="s">
        <v>483</v>
      </c>
      <c r="L2264" s="31">
        <v>44197</v>
      </c>
      <c r="M2264" s="28">
        <v>1</v>
      </c>
      <c r="N2264" s="32" t="s">
        <v>176</v>
      </c>
      <c r="O2264" s="28" t="s">
        <v>204</v>
      </c>
      <c r="P2264" s="28" t="s">
        <v>5299</v>
      </c>
      <c r="Q2264" s="28" t="s">
        <v>5300</v>
      </c>
      <c r="R2264" s="28" t="s">
        <v>2060</v>
      </c>
    </row>
    <row r="2265" spans="1:18" hidden="1">
      <c r="A2265" s="28">
        <v>12</v>
      </c>
      <c r="B2265" s="29" t="s">
        <v>195</v>
      </c>
      <c r="C2265" s="29" t="s">
        <v>230</v>
      </c>
      <c r="D2265" s="29" t="s">
        <v>231</v>
      </c>
      <c r="E2265" s="29" t="s">
        <v>172</v>
      </c>
      <c r="F2265" s="28" t="s">
        <v>5260</v>
      </c>
      <c r="G2265" s="28" t="s">
        <v>5260</v>
      </c>
      <c r="H2265" s="28" t="s">
        <v>384</v>
      </c>
      <c r="I2265" s="28">
        <v>4</v>
      </c>
      <c r="J2265" s="30">
        <v>6.9000000000000006E-2</v>
      </c>
      <c r="K2265" s="28" t="s">
        <v>520</v>
      </c>
      <c r="L2265" s="31">
        <v>43800</v>
      </c>
      <c r="M2265" s="28">
        <v>12</v>
      </c>
      <c r="N2265" s="32" t="s">
        <v>176</v>
      </c>
      <c r="O2265" s="28" t="s">
        <v>204</v>
      </c>
      <c r="P2265" s="28" t="s">
        <v>5301</v>
      </c>
      <c r="Q2265" s="28" t="s">
        <v>5302</v>
      </c>
      <c r="R2265" s="28" t="s">
        <v>239</v>
      </c>
    </row>
    <row r="2266" spans="1:18" hidden="1">
      <c r="A2266" s="28">
        <v>2</v>
      </c>
      <c r="B2266" s="29" t="s">
        <v>240</v>
      </c>
      <c r="C2266" s="29" t="s">
        <v>241</v>
      </c>
      <c r="D2266" s="29" t="s">
        <v>242</v>
      </c>
      <c r="E2266" s="29" t="s">
        <v>172</v>
      </c>
      <c r="F2266" s="28" t="s">
        <v>5260</v>
      </c>
      <c r="G2266" s="28" t="s">
        <v>5260</v>
      </c>
      <c r="H2266" s="28" t="s">
        <v>384</v>
      </c>
      <c r="I2266" s="28">
        <v>4</v>
      </c>
      <c r="J2266" s="30">
        <v>6.9000000000000006E-2</v>
      </c>
      <c r="K2266" s="28" t="s">
        <v>559</v>
      </c>
      <c r="L2266" s="31">
        <v>43252</v>
      </c>
      <c r="M2266" s="28">
        <v>6</v>
      </c>
      <c r="N2266" s="32" t="s">
        <v>184</v>
      </c>
      <c r="O2266" s="28" t="s">
        <v>204</v>
      </c>
      <c r="P2266" s="28" t="s">
        <v>5303</v>
      </c>
      <c r="Q2266" s="28" t="s">
        <v>5304</v>
      </c>
      <c r="R2266" s="28" t="s">
        <v>5305</v>
      </c>
    </row>
    <row r="2267" spans="1:18" hidden="1">
      <c r="A2267" s="28">
        <v>2</v>
      </c>
      <c r="B2267" s="29" t="s">
        <v>240</v>
      </c>
      <c r="C2267" s="29" t="s">
        <v>241</v>
      </c>
      <c r="D2267" s="29" t="s">
        <v>242</v>
      </c>
      <c r="E2267" s="29" t="s">
        <v>172</v>
      </c>
      <c r="F2267" s="28" t="s">
        <v>5260</v>
      </c>
      <c r="G2267" s="28" t="s">
        <v>5260</v>
      </c>
      <c r="H2267" s="28" t="s">
        <v>384</v>
      </c>
      <c r="I2267" s="28">
        <v>4</v>
      </c>
      <c r="J2267" s="30">
        <v>6.9000000000000006E-2</v>
      </c>
      <c r="K2267" s="28" t="s">
        <v>1136</v>
      </c>
      <c r="L2267" s="31">
        <v>43497</v>
      </c>
      <c r="M2267" s="28">
        <v>2</v>
      </c>
      <c r="N2267" s="32" t="s">
        <v>176</v>
      </c>
      <c r="O2267" s="28" t="s">
        <v>204</v>
      </c>
      <c r="P2267" s="28" t="s">
        <v>5306</v>
      </c>
      <c r="Q2267" s="28" t="s">
        <v>5304</v>
      </c>
      <c r="R2267" s="28" t="s">
        <v>5305</v>
      </c>
    </row>
    <row r="2268" spans="1:18" hidden="1">
      <c r="A2268" s="28">
        <v>2</v>
      </c>
      <c r="B2268" s="29" t="s">
        <v>240</v>
      </c>
      <c r="C2268" s="29" t="s">
        <v>241</v>
      </c>
      <c r="D2268" s="29" t="s">
        <v>242</v>
      </c>
      <c r="E2268" s="29" t="s">
        <v>172</v>
      </c>
      <c r="F2268" s="28" t="s">
        <v>5260</v>
      </c>
      <c r="G2268" s="28" t="s">
        <v>5260</v>
      </c>
      <c r="H2268" s="28" t="s">
        <v>384</v>
      </c>
      <c r="I2268" s="28">
        <v>4</v>
      </c>
      <c r="J2268" s="30">
        <v>6.9000000000000006E-2</v>
      </c>
      <c r="K2268" s="28" t="s">
        <v>5307</v>
      </c>
      <c r="L2268" s="31" t="s">
        <v>221</v>
      </c>
      <c r="M2268" s="28" t="e">
        <v>#VALUE!</v>
      </c>
      <c r="N2268" s="32" t="e">
        <v>#VALUE!</v>
      </c>
      <c r="O2268" s="28" t="s">
        <v>204</v>
      </c>
      <c r="P2268" s="28" t="s">
        <v>5308</v>
      </c>
      <c r="Q2268" s="28" t="s">
        <v>5304</v>
      </c>
      <c r="R2268" s="28" t="s">
        <v>5305</v>
      </c>
    </row>
    <row r="2269" spans="1:18" hidden="1">
      <c r="A2269" s="28">
        <v>2</v>
      </c>
      <c r="B2269" s="29" t="s">
        <v>240</v>
      </c>
      <c r="C2269" s="29" t="s">
        <v>241</v>
      </c>
      <c r="D2269" s="29" t="s">
        <v>509</v>
      </c>
      <c r="E2269" s="29" t="s">
        <v>172</v>
      </c>
      <c r="F2269" s="28" t="s">
        <v>5260</v>
      </c>
      <c r="G2269" s="28" t="s">
        <v>5260</v>
      </c>
      <c r="H2269" s="28" t="s">
        <v>384</v>
      </c>
      <c r="I2269" s="28">
        <v>4</v>
      </c>
      <c r="J2269" s="30">
        <v>6.9000000000000006E-2</v>
      </c>
      <c r="K2269" s="28" t="s">
        <v>401</v>
      </c>
      <c r="L2269" s="31">
        <v>42705</v>
      </c>
      <c r="M2269" s="28">
        <v>12</v>
      </c>
      <c r="N2269" s="32" t="s">
        <v>176</v>
      </c>
      <c r="O2269" s="28" t="s">
        <v>204</v>
      </c>
      <c r="P2269" s="28" t="s">
        <v>5309</v>
      </c>
      <c r="Q2269" s="28" t="s">
        <v>5310</v>
      </c>
      <c r="R2269" s="28" t="s">
        <v>5311</v>
      </c>
    </row>
    <row r="2270" spans="1:18" hidden="1">
      <c r="A2270" s="28">
        <v>2</v>
      </c>
      <c r="B2270" s="29" t="s">
        <v>240</v>
      </c>
      <c r="C2270" s="29" t="s">
        <v>241</v>
      </c>
      <c r="D2270" s="29" t="s">
        <v>509</v>
      </c>
      <c r="E2270" s="29" t="s">
        <v>172</v>
      </c>
      <c r="F2270" s="28" t="s">
        <v>5260</v>
      </c>
      <c r="G2270" s="28" t="s">
        <v>5260</v>
      </c>
      <c r="H2270" s="28" t="s">
        <v>384</v>
      </c>
      <c r="I2270" s="28">
        <v>4</v>
      </c>
      <c r="J2270" s="30">
        <v>6.9000000000000006E-2</v>
      </c>
      <c r="K2270" s="28" t="s">
        <v>769</v>
      </c>
      <c r="L2270" s="31">
        <v>42826</v>
      </c>
      <c r="M2270" s="28">
        <v>4</v>
      </c>
      <c r="N2270" s="32" t="s">
        <v>191</v>
      </c>
      <c r="O2270" s="28" t="s">
        <v>204</v>
      </c>
      <c r="P2270" s="28" t="s">
        <v>5312</v>
      </c>
      <c r="Q2270" s="28" t="s">
        <v>5313</v>
      </c>
      <c r="R2270" s="28" t="s">
        <v>5314</v>
      </c>
    </row>
    <row r="2271" spans="1:18" hidden="1">
      <c r="A2271" s="28">
        <v>2</v>
      </c>
      <c r="B2271" s="29" t="s">
        <v>240</v>
      </c>
      <c r="C2271" s="29" t="s">
        <v>241</v>
      </c>
      <c r="D2271" s="29" t="s">
        <v>509</v>
      </c>
      <c r="E2271" s="29" t="s">
        <v>172</v>
      </c>
      <c r="F2271" s="28" t="s">
        <v>5260</v>
      </c>
      <c r="G2271" s="28" t="s">
        <v>5260</v>
      </c>
      <c r="H2271" s="28" t="s">
        <v>384</v>
      </c>
      <c r="I2271" s="28">
        <v>4</v>
      </c>
      <c r="J2271" s="30">
        <v>6.9000000000000006E-2</v>
      </c>
      <c r="K2271" s="28" t="s">
        <v>405</v>
      </c>
      <c r="L2271" s="31">
        <v>43221</v>
      </c>
      <c r="M2271" s="28">
        <v>5</v>
      </c>
      <c r="N2271" s="32" t="s">
        <v>191</v>
      </c>
      <c r="O2271" s="28" t="s">
        <v>204</v>
      </c>
      <c r="P2271" s="28" t="s">
        <v>5315</v>
      </c>
      <c r="Q2271" s="28" t="s">
        <v>5316</v>
      </c>
      <c r="R2271" s="28" t="s">
        <v>5317</v>
      </c>
    </row>
    <row r="2272" spans="1:18" hidden="1">
      <c r="A2272" s="28">
        <v>2</v>
      </c>
      <c r="B2272" s="29" t="s">
        <v>240</v>
      </c>
      <c r="C2272" s="29" t="s">
        <v>241</v>
      </c>
      <c r="D2272" s="29" t="s">
        <v>509</v>
      </c>
      <c r="E2272" s="29" t="s">
        <v>172</v>
      </c>
      <c r="F2272" s="28" t="s">
        <v>5260</v>
      </c>
      <c r="G2272" s="28" t="s">
        <v>5260</v>
      </c>
      <c r="H2272" s="28" t="s">
        <v>384</v>
      </c>
      <c r="I2272" s="28">
        <v>4</v>
      </c>
      <c r="J2272" s="30">
        <v>6.9000000000000006E-2</v>
      </c>
      <c r="K2272" s="28" t="s">
        <v>479</v>
      </c>
      <c r="L2272" s="31">
        <v>43770</v>
      </c>
      <c r="M2272" s="28">
        <v>11</v>
      </c>
      <c r="N2272" s="32" t="s">
        <v>191</v>
      </c>
      <c r="O2272" s="28" t="s">
        <v>204</v>
      </c>
      <c r="P2272" s="28" t="s">
        <v>5318</v>
      </c>
      <c r="Q2272" s="28" t="s">
        <v>4261</v>
      </c>
      <c r="R2272" s="28" t="s">
        <v>4262</v>
      </c>
    </row>
    <row r="2273" spans="1:18" hidden="1">
      <c r="A2273" s="28">
        <v>2</v>
      </c>
      <c r="B2273" s="29" t="s">
        <v>240</v>
      </c>
      <c r="C2273" s="29" t="s">
        <v>241</v>
      </c>
      <c r="D2273" s="29" t="s">
        <v>509</v>
      </c>
      <c r="E2273" s="29" t="s">
        <v>172</v>
      </c>
      <c r="F2273" s="28" t="s">
        <v>5260</v>
      </c>
      <c r="G2273" s="28" t="s">
        <v>5260</v>
      </c>
      <c r="H2273" s="28" t="s">
        <v>384</v>
      </c>
      <c r="I2273" s="28">
        <v>4</v>
      </c>
      <c r="J2273" s="30">
        <v>6.9000000000000006E-2</v>
      </c>
      <c r="K2273" s="28" t="s">
        <v>504</v>
      </c>
      <c r="L2273" s="31">
        <v>43922</v>
      </c>
      <c r="M2273" s="28">
        <v>4</v>
      </c>
      <c r="N2273" s="32" t="s">
        <v>191</v>
      </c>
      <c r="O2273" s="28" t="s">
        <v>204</v>
      </c>
      <c r="P2273" s="28" t="s">
        <v>5319</v>
      </c>
      <c r="Q2273" s="28" t="s">
        <v>5320</v>
      </c>
      <c r="R2273" s="28" t="s">
        <v>5317</v>
      </c>
    </row>
    <row r="2274" spans="1:18" hidden="1">
      <c r="A2274" s="28">
        <v>2</v>
      </c>
      <c r="B2274" s="29" t="s">
        <v>240</v>
      </c>
      <c r="C2274" s="29" t="s">
        <v>241</v>
      </c>
      <c r="D2274" s="29" t="s">
        <v>509</v>
      </c>
      <c r="E2274" s="29" t="s">
        <v>172</v>
      </c>
      <c r="F2274" s="28" t="s">
        <v>5260</v>
      </c>
      <c r="G2274" s="28" t="s">
        <v>5260</v>
      </c>
      <c r="H2274" s="28" t="s">
        <v>384</v>
      </c>
      <c r="I2274" s="28">
        <v>4</v>
      </c>
      <c r="J2274" s="30">
        <v>6.9000000000000006E-2</v>
      </c>
      <c r="K2274" s="28" t="s">
        <v>823</v>
      </c>
      <c r="L2274" s="31">
        <v>44136</v>
      </c>
      <c r="M2274" s="28">
        <v>11</v>
      </c>
      <c r="N2274" s="32" t="s">
        <v>191</v>
      </c>
      <c r="O2274" s="28" t="s">
        <v>204</v>
      </c>
      <c r="P2274" s="28" t="s">
        <v>5321</v>
      </c>
      <c r="Q2274" s="28" t="s">
        <v>5322</v>
      </c>
      <c r="R2274" s="28" t="s">
        <v>2146</v>
      </c>
    </row>
    <row r="2275" spans="1:18" hidden="1">
      <c r="A2275" s="28">
        <v>2</v>
      </c>
      <c r="B2275" s="29" t="s">
        <v>240</v>
      </c>
      <c r="C2275" s="29" t="s">
        <v>241</v>
      </c>
      <c r="D2275" s="29" t="s">
        <v>252</v>
      </c>
      <c r="E2275" s="29" t="s">
        <v>172</v>
      </c>
      <c r="F2275" s="28" t="s">
        <v>5260</v>
      </c>
      <c r="G2275" s="28" t="s">
        <v>5260</v>
      </c>
      <c r="H2275" s="28" t="s">
        <v>384</v>
      </c>
      <c r="I2275" s="28">
        <v>4</v>
      </c>
      <c r="J2275" s="30">
        <v>6.9000000000000006E-2</v>
      </c>
      <c r="K2275" s="28" t="s">
        <v>335</v>
      </c>
      <c r="L2275" s="31">
        <v>42614</v>
      </c>
      <c r="M2275" s="28">
        <v>9</v>
      </c>
      <c r="N2275" s="32" t="s">
        <v>191</v>
      </c>
      <c r="O2275" s="28" t="s">
        <v>204</v>
      </c>
      <c r="P2275" s="28" t="s">
        <v>5323</v>
      </c>
      <c r="Q2275" s="28" t="s">
        <v>5324</v>
      </c>
      <c r="R2275" s="28" t="s">
        <v>885</v>
      </c>
    </row>
    <row r="2276" spans="1:18" hidden="1">
      <c r="A2276" s="28">
        <v>2</v>
      </c>
      <c r="B2276" s="29" t="s">
        <v>240</v>
      </c>
      <c r="C2276" s="29" t="s">
        <v>241</v>
      </c>
      <c r="D2276" s="29" t="s">
        <v>252</v>
      </c>
      <c r="E2276" s="29" t="s">
        <v>172</v>
      </c>
      <c r="F2276" s="28" t="s">
        <v>5260</v>
      </c>
      <c r="G2276" s="28" t="s">
        <v>5260</v>
      </c>
      <c r="H2276" s="28" t="s">
        <v>384</v>
      </c>
      <c r="I2276" s="28">
        <v>4</v>
      </c>
      <c r="J2276" s="30">
        <v>6.9000000000000006E-2</v>
      </c>
      <c r="K2276" s="28" t="s">
        <v>587</v>
      </c>
      <c r="L2276" s="31">
        <v>42736</v>
      </c>
      <c r="M2276" s="28">
        <v>1</v>
      </c>
      <c r="N2276" s="32" t="s">
        <v>176</v>
      </c>
      <c r="O2276" s="28" t="s">
        <v>204</v>
      </c>
      <c r="P2276" s="28" t="s">
        <v>5325</v>
      </c>
      <c r="Q2276" s="28" t="s">
        <v>5326</v>
      </c>
      <c r="R2276" s="28" t="s">
        <v>5327</v>
      </c>
    </row>
    <row r="2277" spans="1:18" hidden="1">
      <c r="A2277" s="28">
        <v>2</v>
      </c>
      <c r="B2277" s="29" t="s">
        <v>240</v>
      </c>
      <c r="C2277" s="29" t="s">
        <v>241</v>
      </c>
      <c r="D2277" s="29" t="s">
        <v>252</v>
      </c>
      <c r="E2277" s="29" t="s">
        <v>172</v>
      </c>
      <c r="F2277" s="28" t="s">
        <v>5260</v>
      </c>
      <c r="G2277" s="28" t="s">
        <v>5260</v>
      </c>
      <c r="H2277" s="28" t="s">
        <v>384</v>
      </c>
      <c r="I2277" s="28">
        <v>4</v>
      </c>
      <c r="J2277" s="30">
        <v>6.9000000000000006E-2</v>
      </c>
      <c r="K2277" s="28" t="s">
        <v>769</v>
      </c>
      <c r="L2277" s="31">
        <v>42826</v>
      </c>
      <c r="M2277" s="28">
        <v>4</v>
      </c>
      <c r="N2277" s="32" t="s">
        <v>191</v>
      </c>
      <c r="O2277" s="28" t="s">
        <v>204</v>
      </c>
      <c r="P2277" s="28" t="s">
        <v>5328</v>
      </c>
      <c r="Q2277" s="28" t="s">
        <v>5329</v>
      </c>
      <c r="R2277" s="28" t="s">
        <v>5330</v>
      </c>
    </row>
    <row r="2278" spans="1:18" hidden="1">
      <c r="A2278" s="28">
        <v>2</v>
      </c>
      <c r="B2278" s="29" t="s">
        <v>240</v>
      </c>
      <c r="C2278" s="29" t="s">
        <v>241</v>
      </c>
      <c r="D2278" s="29" t="s">
        <v>252</v>
      </c>
      <c r="E2278" s="29" t="s">
        <v>172</v>
      </c>
      <c r="F2278" s="28" t="s">
        <v>5260</v>
      </c>
      <c r="G2278" s="28" t="s">
        <v>5260</v>
      </c>
      <c r="H2278" s="28" t="s">
        <v>384</v>
      </c>
      <c r="I2278" s="28">
        <v>4</v>
      </c>
      <c r="J2278" s="30">
        <v>6.9000000000000006E-2</v>
      </c>
      <c r="K2278" s="28" t="s">
        <v>559</v>
      </c>
      <c r="L2278" s="31">
        <v>43252</v>
      </c>
      <c r="M2278" s="28">
        <v>6</v>
      </c>
      <c r="N2278" s="32" t="s">
        <v>184</v>
      </c>
      <c r="O2278" s="28" t="s">
        <v>204</v>
      </c>
      <c r="P2278" s="28" t="s">
        <v>5331</v>
      </c>
      <c r="Q2278" s="28" t="s">
        <v>5332</v>
      </c>
      <c r="R2278" s="28" t="s">
        <v>5333</v>
      </c>
    </row>
    <row r="2279" spans="1:18" hidden="1">
      <c r="A2279" s="28">
        <v>2</v>
      </c>
      <c r="B2279" s="29" t="s">
        <v>240</v>
      </c>
      <c r="C2279" s="29" t="s">
        <v>241</v>
      </c>
      <c r="D2279" s="29" t="s">
        <v>252</v>
      </c>
      <c r="E2279" s="29" t="s">
        <v>172</v>
      </c>
      <c r="F2279" s="28" t="s">
        <v>5260</v>
      </c>
      <c r="G2279" s="28" t="s">
        <v>5260</v>
      </c>
      <c r="H2279" s="28" t="s">
        <v>384</v>
      </c>
      <c r="I2279" s="28">
        <v>4</v>
      </c>
      <c r="J2279" s="30">
        <v>6.9000000000000006E-2</v>
      </c>
      <c r="K2279" s="28" t="s">
        <v>415</v>
      </c>
      <c r="L2279" s="31">
        <v>43952</v>
      </c>
      <c r="M2279" s="28">
        <v>5</v>
      </c>
      <c r="N2279" s="32" t="s">
        <v>191</v>
      </c>
      <c r="O2279" s="28" t="s">
        <v>204</v>
      </c>
      <c r="P2279" s="28" t="s">
        <v>5334</v>
      </c>
      <c r="Q2279" s="28" t="s">
        <v>5335</v>
      </c>
      <c r="R2279" s="28" t="s">
        <v>5336</v>
      </c>
    </row>
    <row r="2280" spans="1:18" hidden="1">
      <c r="A2280" s="28">
        <v>2</v>
      </c>
      <c r="B2280" s="29" t="s">
        <v>240</v>
      </c>
      <c r="C2280" s="29" t="s">
        <v>241</v>
      </c>
      <c r="D2280" s="29" t="s">
        <v>256</v>
      </c>
      <c r="E2280" s="29" t="s">
        <v>172</v>
      </c>
      <c r="F2280" s="28" t="s">
        <v>5260</v>
      </c>
      <c r="G2280" s="28" t="s">
        <v>5260</v>
      </c>
      <c r="H2280" s="28" t="s">
        <v>384</v>
      </c>
      <c r="I2280" s="28">
        <v>4</v>
      </c>
      <c r="J2280" s="30">
        <v>6.9000000000000006E-2</v>
      </c>
      <c r="K2280" s="28" t="s">
        <v>475</v>
      </c>
      <c r="L2280" s="31">
        <v>43191</v>
      </c>
      <c r="M2280" s="28">
        <v>4</v>
      </c>
      <c r="N2280" s="32" t="s">
        <v>191</v>
      </c>
      <c r="O2280" s="28" t="s">
        <v>204</v>
      </c>
      <c r="P2280" s="28" t="s">
        <v>5337</v>
      </c>
      <c r="Q2280" s="28" t="s">
        <v>5338</v>
      </c>
      <c r="R2280" s="28" t="s">
        <v>5317</v>
      </c>
    </row>
    <row r="2281" spans="1:18" hidden="1">
      <c r="A2281" s="28">
        <v>2</v>
      </c>
      <c r="B2281" s="29" t="s">
        <v>240</v>
      </c>
      <c r="C2281" s="29" t="s">
        <v>915</v>
      </c>
      <c r="D2281" s="29" t="s">
        <v>4279</v>
      </c>
      <c r="E2281" s="29" t="s">
        <v>172</v>
      </c>
      <c r="F2281" s="28" t="s">
        <v>5260</v>
      </c>
      <c r="G2281" s="28" t="s">
        <v>5260</v>
      </c>
      <c r="H2281" s="28" t="s">
        <v>384</v>
      </c>
      <c r="I2281" s="28">
        <v>4</v>
      </c>
      <c r="J2281" s="30">
        <v>6.9000000000000006E-2</v>
      </c>
      <c r="K2281" s="28" t="s">
        <v>212</v>
      </c>
      <c r="L2281" s="31">
        <v>43313</v>
      </c>
      <c r="M2281" s="28">
        <v>8</v>
      </c>
      <c r="N2281" s="32" t="s">
        <v>184</v>
      </c>
      <c r="O2281" s="28" t="s">
        <v>204</v>
      </c>
      <c r="P2281" s="28" t="s">
        <v>5339</v>
      </c>
      <c r="Q2281" s="28" t="s">
        <v>5340</v>
      </c>
      <c r="R2281" s="28" t="s">
        <v>5341</v>
      </c>
    </row>
    <row r="2282" spans="1:18" hidden="1">
      <c r="A2282" s="28">
        <v>2</v>
      </c>
      <c r="B2282" s="29" t="s">
        <v>240</v>
      </c>
      <c r="C2282" s="29" t="s">
        <v>915</v>
      </c>
      <c r="D2282" s="29" t="s">
        <v>916</v>
      </c>
      <c r="E2282" s="29" t="s">
        <v>172</v>
      </c>
      <c r="F2282" s="28" t="s">
        <v>5260</v>
      </c>
      <c r="G2282" s="28" t="s">
        <v>5260</v>
      </c>
      <c r="H2282" s="28" t="s">
        <v>384</v>
      </c>
      <c r="I2282" s="28">
        <v>4</v>
      </c>
      <c r="J2282" s="30">
        <v>6.9000000000000006E-2</v>
      </c>
      <c r="K2282" s="28" t="s">
        <v>473</v>
      </c>
      <c r="L2282" s="31">
        <v>43160</v>
      </c>
      <c r="M2282" s="28">
        <v>3</v>
      </c>
      <c r="N2282" s="32" t="s">
        <v>191</v>
      </c>
      <c r="O2282" s="28" t="s">
        <v>177</v>
      </c>
      <c r="P2282" s="28" t="s">
        <v>5342</v>
      </c>
      <c r="Q2282" s="28" t="s">
        <v>5343</v>
      </c>
      <c r="R2282" s="28" t="s">
        <v>5344</v>
      </c>
    </row>
    <row r="2283" spans="1:18" hidden="1">
      <c r="A2283" s="28">
        <v>2</v>
      </c>
      <c r="B2283" s="29" t="s">
        <v>240</v>
      </c>
      <c r="C2283" s="29" t="s">
        <v>261</v>
      </c>
      <c r="D2283" s="29" t="s">
        <v>532</v>
      </c>
      <c r="E2283" s="29" t="s">
        <v>172</v>
      </c>
      <c r="F2283" s="28" t="s">
        <v>5260</v>
      </c>
      <c r="G2283" s="28" t="s">
        <v>5260</v>
      </c>
      <c r="H2283" s="28" t="s">
        <v>384</v>
      </c>
      <c r="I2283" s="28">
        <v>4</v>
      </c>
      <c r="J2283" s="30">
        <v>6.9000000000000006E-2</v>
      </c>
      <c r="K2283" s="28" t="s">
        <v>198</v>
      </c>
      <c r="L2283" s="31">
        <v>42767</v>
      </c>
      <c r="M2283" s="28">
        <v>2</v>
      </c>
      <c r="N2283" s="32" t="s">
        <v>176</v>
      </c>
      <c r="O2283" s="28" t="s">
        <v>204</v>
      </c>
      <c r="P2283" s="28" t="s">
        <v>5345</v>
      </c>
      <c r="Q2283" s="28" t="s">
        <v>5346</v>
      </c>
      <c r="R2283" s="28" t="s">
        <v>5347</v>
      </c>
    </row>
    <row r="2284" spans="1:18" hidden="1">
      <c r="A2284" s="28">
        <v>2</v>
      </c>
      <c r="B2284" s="29" t="s">
        <v>240</v>
      </c>
      <c r="C2284" s="29" t="s">
        <v>276</v>
      </c>
      <c r="D2284" s="29" t="s">
        <v>277</v>
      </c>
      <c r="E2284" s="29" t="s">
        <v>172</v>
      </c>
      <c r="F2284" s="28" t="s">
        <v>5260</v>
      </c>
      <c r="G2284" s="28" t="s">
        <v>5260</v>
      </c>
      <c r="H2284" s="28" t="s">
        <v>384</v>
      </c>
      <c r="I2284" s="28">
        <v>4</v>
      </c>
      <c r="J2284" s="30">
        <v>6.9000000000000006E-2</v>
      </c>
      <c r="K2284" s="28" t="s">
        <v>435</v>
      </c>
      <c r="L2284" s="31">
        <v>43040</v>
      </c>
      <c r="M2284" s="28">
        <v>11</v>
      </c>
      <c r="N2284" s="32" t="s">
        <v>191</v>
      </c>
      <c r="O2284" s="28" t="s">
        <v>204</v>
      </c>
      <c r="P2284" s="28" t="s">
        <v>5348</v>
      </c>
      <c r="Q2284" s="28" t="s">
        <v>5349</v>
      </c>
      <c r="R2284" s="28" t="s">
        <v>5350</v>
      </c>
    </row>
    <row r="2285" spans="1:18">
      <c r="A2285" s="28">
        <v>3</v>
      </c>
      <c r="B2285" s="29" t="s">
        <v>286</v>
      </c>
      <c r="C2285" s="29" t="s">
        <v>287</v>
      </c>
      <c r="D2285" s="29" t="s">
        <v>288</v>
      </c>
      <c r="E2285" s="29" t="s">
        <v>172</v>
      </c>
      <c r="F2285" s="28" t="s">
        <v>5260</v>
      </c>
      <c r="G2285" s="28" t="s">
        <v>5260</v>
      </c>
      <c r="H2285" s="28" t="s">
        <v>384</v>
      </c>
      <c r="I2285" s="28">
        <v>4</v>
      </c>
      <c r="J2285" s="30">
        <v>6.9000000000000006E-2</v>
      </c>
      <c r="K2285" s="28" t="s">
        <v>496</v>
      </c>
      <c r="L2285" s="31">
        <v>42917</v>
      </c>
      <c r="M2285" s="28">
        <v>7</v>
      </c>
      <c r="N2285" s="32" t="s">
        <v>184</v>
      </c>
      <c r="O2285" s="28" t="s">
        <v>204</v>
      </c>
      <c r="P2285" s="28" t="s">
        <v>5351</v>
      </c>
      <c r="Q2285" s="28" t="s">
        <v>2263</v>
      </c>
      <c r="R2285" s="28" t="s">
        <v>2264</v>
      </c>
    </row>
    <row r="2286" spans="1:18" hidden="1">
      <c r="A2286" s="28">
        <v>4</v>
      </c>
      <c r="B2286" s="29" t="s">
        <v>306</v>
      </c>
      <c r="C2286" s="29" t="s">
        <v>307</v>
      </c>
      <c r="D2286" s="29" t="s">
        <v>604</v>
      </c>
      <c r="E2286" s="29" t="s">
        <v>172</v>
      </c>
      <c r="F2286" s="28" t="s">
        <v>5260</v>
      </c>
      <c r="G2286" s="28" t="s">
        <v>5260</v>
      </c>
      <c r="H2286" s="28" t="s">
        <v>384</v>
      </c>
      <c r="I2286" s="28">
        <v>4</v>
      </c>
      <c r="J2286" s="30">
        <v>6.9000000000000006E-2</v>
      </c>
      <c r="K2286" s="28" t="s">
        <v>769</v>
      </c>
      <c r="L2286" s="31">
        <v>42826</v>
      </c>
      <c r="M2286" s="28">
        <v>4</v>
      </c>
      <c r="N2286" s="32" t="s">
        <v>191</v>
      </c>
      <c r="O2286" s="28" t="s">
        <v>204</v>
      </c>
      <c r="P2286" s="28" t="s">
        <v>5352</v>
      </c>
      <c r="Q2286" s="28" t="s">
        <v>5353</v>
      </c>
      <c r="R2286" s="28" t="s">
        <v>5354</v>
      </c>
    </row>
    <row r="2287" spans="1:18" hidden="1">
      <c r="A2287" s="28">
        <v>4</v>
      </c>
      <c r="B2287" s="29" t="s">
        <v>306</v>
      </c>
      <c r="C2287" s="29" t="s">
        <v>307</v>
      </c>
      <c r="D2287" s="29" t="s">
        <v>604</v>
      </c>
      <c r="E2287" s="29" t="s">
        <v>172</v>
      </c>
      <c r="F2287" s="28" t="s">
        <v>5260</v>
      </c>
      <c r="G2287" s="28" t="s">
        <v>5260</v>
      </c>
      <c r="H2287" s="28" t="s">
        <v>384</v>
      </c>
      <c r="I2287" s="28">
        <v>4</v>
      </c>
      <c r="J2287" s="30">
        <v>6.9000000000000006E-2</v>
      </c>
      <c r="K2287" s="28" t="s">
        <v>971</v>
      </c>
      <c r="L2287" s="31">
        <v>42979</v>
      </c>
      <c r="M2287" s="28">
        <v>9</v>
      </c>
      <c r="N2287" s="32" t="s">
        <v>191</v>
      </c>
      <c r="O2287" s="28" t="s">
        <v>204</v>
      </c>
      <c r="P2287" s="28" t="s">
        <v>5355</v>
      </c>
      <c r="Q2287" s="28" t="s">
        <v>5356</v>
      </c>
      <c r="R2287" s="28" t="s">
        <v>5357</v>
      </c>
    </row>
    <row r="2288" spans="1:18" hidden="1">
      <c r="A2288" s="28">
        <v>4</v>
      </c>
      <c r="B2288" s="29" t="s">
        <v>306</v>
      </c>
      <c r="C2288" s="29" t="s">
        <v>307</v>
      </c>
      <c r="D2288" s="29" t="s">
        <v>604</v>
      </c>
      <c r="E2288" s="29" t="s">
        <v>172</v>
      </c>
      <c r="F2288" s="28" t="s">
        <v>5260</v>
      </c>
      <c r="G2288" s="28" t="s">
        <v>5260</v>
      </c>
      <c r="H2288" s="28" t="s">
        <v>384</v>
      </c>
      <c r="I2288" s="28">
        <v>4</v>
      </c>
      <c r="J2288" s="30">
        <v>6.9000000000000006E-2</v>
      </c>
      <c r="K2288" s="28" t="s">
        <v>813</v>
      </c>
      <c r="L2288" s="31">
        <v>43009</v>
      </c>
      <c r="M2288" s="28">
        <v>10</v>
      </c>
      <c r="N2288" s="32" t="s">
        <v>191</v>
      </c>
      <c r="O2288" s="28" t="s">
        <v>204</v>
      </c>
      <c r="P2288" s="28" t="s">
        <v>5358</v>
      </c>
      <c r="Q2288" s="28" t="s">
        <v>5356</v>
      </c>
      <c r="R2288" s="28" t="s">
        <v>5357</v>
      </c>
    </row>
    <row r="2289" spans="1:18" hidden="1">
      <c r="A2289" s="28">
        <v>4</v>
      </c>
      <c r="B2289" s="29" t="s">
        <v>306</v>
      </c>
      <c r="C2289" s="29" t="s">
        <v>307</v>
      </c>
      <c r="D2289" s="29" t="s">
        <v>604</v>
      </c>
      <c r="E2289" s="29" t="s">
        <v>172</v>
      </c>
      <c r="F2289" s="28" t="s">
        <v>5260</v>
      </c>
      <c r="G2289" s="28" t="s">
        <v>5260</v>
      </c>
      <c r="H2289" s="28" t="s">
        <v>384</v>
      </c>
      <c r="I2289" s="28">
        <v>4</v>
      </c>
      <c r="J2289" s="30">
        <v>6.9000000000000006E-2</v>
      </c>
      <c r="K2289" s="28" t="s">
        <v>248</v>
      </c>
      <c r="L2289" s="31">
        <v>43070</v>
      </c>
      <c r="M2289" s="28">
        <v>12</v>
      </c>
      <c r="N2289" s="32" t="s">
        <v>176</v>
      </c>
      <c r="O2289" s="28" t="s">
        <v>204</v>
      </c>
      <c r="P2289" s="28" t="s">
        <v>5359</v>
      </c>
      <c r="Q2289" s="28" t="s">
        <v>5360</v>
      </c>
      <c r="R2289" s="28" t="s">
        <v>4348</v>
      </c>
    </row>
    <row r="2290" spans="1:18" hidden="1">
      <c r="A2290" s="28">
        <v>4</v>
      </c>
      <c r="B2290" s="29" t="s">
        <v>306</v>
      </c>
      <c r="C2290" s="29" t="s">
        <v>307</v>
      </c>
      <c r="D2290" s="29" t="s">
        <v>604</v>
      </c>
      <c r="E2290" s="29" t="s">
        <v>172</v>
      </c>
      <c r="F2290" s="28" t="s">
        <v>5260</v>
      </c>
      <c r="G2290" s="28" t="s">
        <v>5260</v>
      </c>
      <c r="H2290" s="28" t="s">
        <v>384</v>
      </c>
      <c r="I2290" s="28">
        <v>4</v>
      </c>
      <c r="J2290" s="30">
        <v>6.9000000000000006E-2</v>
      </c>
      <c r="K2290" s="28" t="s">
        <v>430</v>
      </c>
      <c r="L2290" s="31">
        <v>44105</v>
      </c>
      <c r="M2290" s="28">
        <v>10</v>
      </c>
      <c r="N2290" s="32" t="s">
        <v>191</v>
      </c>
      <c r="O2290" s="28" t="s">
        <v>204</v>
      </c>
      <c r="P2290" s="28" t="s">
        <v>5361</v>
      </c>
      <c r="Q2290" s="28" t="s">
        <v>5362</v>
      </c>
      <c r="R2290" s="28" t="s">
        <v>5354</v>
      </c>
    </row>
    <row r="2291" spans="1:18" hidden="1">
      <c r="A2291" s="28">
        <v>4</v>
      </c>
      <c r="B2291" s="29" t="s">
        <v>306</v>
      </c>
      <c r="C2291" s="29" t="s">
        <v>307</v>
      </c>
      <c r="D2291" s="29" t="s">
        <v>604</v>
      </c>
      <c r="E2291" s="29" t="s">
        <v>172</v>
      </c>
      <c r="F2291" s="28" t="s">
        <v>5260</v>
      </c>
      <c r="G2291" s="28" t="s">
        <v>5260</v>
      </c>
      <c r="H2291" s="28" t="s">
        <v>384</v>
      </c>
      <c r="I2291" s="28">
        <v>4</v>
      </c>
      <c r="J2291" s="30">
        <v>6.9000000000000006E-2</v>
      </c>
      <c r="K2291" s="28" t="s">
        <v>554</v>
      </c>
      <c r="L2291" s="31">
        <v>44317</v>
      </c>
      <c r="M2291" s="28">
        <v>5</v>
      </c>
      <c r="N2291" s="32" t="s">
        <v>191</v>
      </c>
      <c r="O2291" s="28" t="s">
        <v>204</v>
      </c>
      <c r="P2291" s="28" t="s">
        <v>5363</v>
      </c>
      <c r="Q2291" s="28" t="s">
        <v>5364</v>
      </c>
      <c r="R2291" s="28" t="s">
        <v>4348</v>
      </c>
    </row>
    <row r="2292" spans="1:18" hidden="1">
      <c r="A2292" s="28">
        <v>4</v>
      </c>
      <c r="B2292" s="29" t="s">
        <v>306</v>
      </c>
      <c r="C2292" s="29" t="s">
        <v>307</v>
      </c>
      <c r="D2292" s="29" t="s">
        <v>308</v>
      </c>
      <c r="E2292" s="29" t="s">
        <v>172</v>
      </c>
      <c r="F2292" s="28" t="s">
        <v>5260</v>
      </c>
      <c r="G2292" s="28" t="s">
        <v>5260</v>
      </c>
      <c r="H2292" s="28" t="s">
        <v>384</v>
      </c>
      <c r="I2292" s="28">
        <v>4</v>
      </c>
      <c r="J2292" s="30">
        <v>6.9000000000000006E-2</v>
      </c>
      <c r="K2292" s="28" t="s">
        <v>401</v>
      </c>
      <c r="L2292" s="31">
        <v>42705</v>
      </c>
      <c r="M2292" s="28">
        <v>12</v>
      </c>
      <c r="N2292" s="32" t="s">
        <v>176</v>
      </c>
      <c r="O2292" s="28" t="s">
        <v>204</v>
      </c>
      <c r="P2292" s="28" t="s">
        <v>5365</v>
      </c>
      <c r="Q2292" s="28" t="s">
        <v>5366</v>
      </c>
      <c r="R2292" s="28" t="s">
        <v>5354</v>
      </c>
    </row>
    <row r="2293" spans="1:18" hidden="1">
      <c r="A2293" s="28">
        <v>4</v>
      </c>
      <c r="B2293" s="29" t="s">
        <v>306</v>
      </c>
      <c r="C2293" s="29" t="s">
        <v>307</v>
      </c>
      <c r="D2293" s="29" t="s">
        <v>308</v>
      </c>
      <c r="E2293" s="29" t="s">
        <v>172</v>
      </c>
      <c r="F2293" s="28" t="s">
        <v>5260</v>
      </c>
      <c r="G2293" s="28" t="s">
        <v>5260</v>
      </c>
      <c r="H2293" s="28" t="s">
        <v>384</v>
      </c>
      <c r="I2293" s="28">
        <v>4</v>
      </c>
      <c r="J2293" s="30">
        <v>6.9000000000000006E-2</v>
      </c>
      <c r="K2293" s="28" t="s">
        <v>587</v>
      </c>
      <c r="L2293" s="31">
        <v>42736</v>
      </c>
      <c r="M2293" s="28">
        <v>1</v>
      </c>
      <c r="N2293" s="32" t="s">
        <v>176</v>
      </c>
      <c r="O2293" s="28" t="s">
        <v>204</v>
      </c>
      <c r="P2293" s="28" t="s">
        <v>5367</v>
      </c>
      <c r="Q2293" s="28" t="s">
        <v>5366</v>
      </c>
      <c r="R2293" s="28" t="s">
        <v>5354</v>
      </c>
    </row>
    <row r="2294" spans="1:18" hidden="1">
      <c r="A2294" s="28">
        <v>4</v>
      </c>
      <c r="B2294" s="29" t="s">
        <v>306</v>
      </c>
      <c r="C2294" s="29" t="s">
        <v>307</v>
      </c>
      <c r="D2294" s="29" t="s">
        <v>308</v>
      </c>
      <c r="E2294" s="29" t="s">
        <v>172</v>
      </c>
      <c r="F2294" s="28" t="s">
        <v>5260</v>
      </c>
      <c r="G2294" s="28" t="s">
        <v>5260</v>
      </c>
      <c r="H2294" s="28" t="s">
        <v>384</v>
      </c>
      <c r="I2294" s="28">
        <v>4</v>
      </c>
      <c r="J2294" s="30">
        <v>6.9000000000000006E-2</v>
      </c>
      <c r="K2294" s="28" t="s">
        <v>971</v>
      </c>
      <c r="L2294" s="31">
        <v>42979</v>
      </c>
      <c r="M2294" s="28">
        <v>9</v>
      </c>
      <c r="N2294" s="32" t="s">
        <v>191</v>
      </c>
      <c r="O2294" s="28" t="s">
        <v>204</v>
      </c>
      <c r="P2294" s="28" t="s">
        <v>5368</v>
      </c>
      <c r="Q2294" s="28" t="s">
        <v>5366</v>
      </c>
      <c r="R2294" s="28" t="s">
        <v>5354</v>
      </c>
    </row>
    <row r="2295" spans="1:18" hidden="1">
      <c r="A2295" s="28">
        <v>4</v>
      </c>
      <c r="B2295" s="29" t="s">
        <v>306</v>
      </c>
      <c r="C2295" s="29" t="s">
        <v>307</v>
      </c>
      <c r="D2295" s="29" t="s">
        <v>308</v>
      </c>
      <c r="E2295" s="29" t="s">
        <v>172</v>
      </c>
      <c r="F2295" s="28" t="s">
        <v>5260</v>
      </c>
      <c r="G2295" s="28" t="s">
        <v>5260</v>
      </c>
      <c r="H2295" s="28" t="s">
        <v>384</v>
      </c>
      <c r="I2295" s="28">
        <v>4</v>
      </c>
      <c r="J2295" s="30">
        <v>6.9000000000000006E-2</v>
      </c>
      <c r="K2295" s="28" t="s">
        <v>248</v>
      </c>
      <c r="L2295" s="31">
        <v>43070</v>
      </c>
      <c r="M2295" s="28">
        <v>12</v>
      </c>
      <c r="N2295" s="32" t="s">
        <v>176</v>
      </c>
      <c r="O2295" s="28" t="s">
        <v>204</v>
      </c>
      <c r="P2295" s="28" t="s">
        <v>5369</v>
      </c>
      <c r="Q2295" s="28" t="s">
        <v>4356</v>
      </c>
      <c r="R2295" s="28" t="s">
        <v>4339</v>
      </c>
    </row>
    <row r="2296" spans="1:18" hidden="1">
      <c r="A2296" s="28">
        <v>4</v>
      </c>
      <c r="B2296" s="29" t="s">
        <v>306</v>
      </c>
      <c r="C2296" s="29" t="s">
        <v>307</v>
      </c>
      <c r="D2296" s="29" t="s">
        <v>308</v>
      </c>
      <c r="E2296" s="29" t="s">
        <v>172</v>
      </c>
      <c r="F2296" s="28" t="s">
        <v>5260</v>
      </c>
      <c r="G2296" s="28" t="s">
        <v>5260</v>
      </c>
      <c r="H2296" s="28" t="s">
        <v>384</v>
      </c>
      <c r="I2296" s="28">
        <v>4</v>
      </c>
      <c r="J2296" s="30">
        <v>6.9000000000000006E-2</v>
      </c>
      <c r="K2296" s="28" t="s">
        <v>475</v>
      </c>
      <c r="L2296" s="31">
        <v>43191</v>
      </c>
      <c r="M2296" s="28">
        <v>4</v>
      </c>
      <c r="N2296" s="32" t="s">
        <v>191</v>
      </c>
      <c r="O2296" s="28" t="s">
        <v>204</v>
      </c>
      <c r="P2296" s="28" t="s">
        <v>5370</v>
      </c>
      <c r="Q2296" s="28" t="s">
        <v>5366</v>
      </c>
      <c r="R2296" s="28" t="s">
        <v>5354</v>
      </c>
    </row>
    <row r="2297" spans="1:18" hidden="1">
      <c r="A2297" s="28">
        <v>4</v>
      </c>
      <c r="B2297" s="29" t="s">
        <v>306</v>
      </c>
      <c r="C2297" s="29" t="s">
        <v>307</v>
      </c>
      <c r="D2297" s="29" t="s">
        <v>308</v>
      </c>
      <c r="E2297" s="29" t="s">
        <v>172</v>
      </c>
      <c r="F2297" s="28" t="s">
        <v>5260</v>
      </c>
      <c r="G2297" s="28" t="s">
        <v>5260</v>
      </c>
      <c r="H2297" s="28" t="s">
        <v>384</v>
      </c>
      <c r="I2297" s="28">
        <v>4</v>
      </c>
      <c r="J2297" s="30">
        <v>6.9000000000000006E-2</v>
      </c>
      <c r="K2297" s="28" t="s">
        <v>475</v>
      </c>
      <c r="L2297" s="31">
        <v>43191</v>
      </c>
      <c r="M2297" s="28">
        <v>4</v>
      </c>
      <c r="N2297" s="32" t="s">
        <v>191</v>
      </c>
      <c r="O2297" s="28" t="s">
        <v>204</v>
      </c>
      <c r="P2297" s="28" t="s">
        <v>5371</v>
      </c>
      <c r="Q2297" s="28" t="s">
        <v>5372</v>
      </c>
      <c r="R2297" s="28" t="s">
        <v>5373</v>
      </c>
    </row>
    <row r="2298" spans="1:18" hidden="1">
      <c r="A2298" s="28">
        <v>4</v>
      </c>
      <c r="B2298" s="29" t="s">
        <v>306</v>
      </c>
      <c r="C2298" s="29" t="s">
        <v>307</v>
      </c>
      <c r="D2298" s="29" t="s">
        <v>308</v>
      </c>
      <c r="E2298" s="29" t="s">
        <v>172</v>
      </c>
      <c r="F2298" s="28" t="s">
        <v>5260</v>
      </c>
      <c r="G2298" s="28" t="s">
        <v>5260</v>
      </c>
      <c r="H2298" s="28" t="s">
        <v>384</v>
      </c>
      <c r="I2298" s="28">
        <v>4</v>
      </c>
      <c r="J2298" s="30">
        <v>6.9000000000000006E-2</v>
      </c>
      <c r="K2298" s="28" t="s">
        <v>430</v>
      </c>
      <c r="L2298" s="31">
        <v>44105</v>
      </c>
      <c r="M2298" s="28">
        <v>10</v>
      </c>
      <c r="N2298" s="32" t="s">
        <v>191</v>
      </c>
      <c r="O2298" s="28" t="s">
        <v>204</v>
      </c>
      <c r="P2298" s="28" t="s">
        <v>5374</v>
      </c>
      <c r="Q2298" s="28" t="s">
        <v>4347</v>
      </c>
      <c r="R2298" s="28" t="s">
        <v>4348</v>
      </c>
    </row>
    <row r="2299" spans="1:18" hidden="1">
      <c r="A2299" s="28">
        <v>4</v>
      </c>
      <c r="B2299" s="29" t="s">
        <v>306</v>
      </c>
      <c r="C2299" s="29" t="s">
        <v>1776</v>
      </c>
      <c r="D2299" s="29" t="s">
        <v>3494</v>
      </c>
      <c r="E2299" s="29" t="s">
        <v>172</v>
      </c>
      <c r="F2299" s="28" t="s">
        <v>5260</v>
      </c>
      <c r="G2299" s="28" t="s">
        <v>5260</v>
      </c>
      <c r="H2299" s="28" t="s">
        <v>384</v>
      </c>
      <c r="I2299" s="28">
        <v>4</v>
      </c>
      <c r="J2299" s="30">
        <v>6.9000000000000006E-2</v>
      </c>
      <c r="K2299" s="28" t="s">
        <v>212</v>
      </c>
      <c r="L2299" s="31">
        <v>43313</v>
      </c>
      <c r="M2299" s="28">
        <v>8</v>
      </c>
      <c r="N2299" s="32" t="s">
        <v>184</v>
      </c>
      <c r="O2299" s="28" t="s">
        <v>204</v>
      </c>
      <c r="P2299" s="28" t="s">
        <v>5375</v>
      </c>
      <c r="Q2299" s="28" t="s">
        <v>5376</v>
      </c>
      <c r="R2299" s="28" t="s">
        <v>5377</v>
      </c>
    </row>
    <row r="2300" spans="1:18" hidden="1">
      <c r="A2300" s="28">
        <v>4</v>
      </c>
      <c r="B2300" s="29" t="s">
        <v>306</v>
      </c>
      <c r="C2300" s="29" t="s">
        <v>624</v>
      </c>
      <c r="D2300" s="29" t="s">
        <v>625</v>
      </c>
      <c r="E2300" s="29" t="s">
        <v>172</v>
      </c>
      <c r="F2300" s="28" t="s">
        <v>5260</v>
      </c>
      <c r="G2300" s="28" t="s">
        <v>5260</v>
      </c>
      <c r="H2300" s="28" t="s">
        <v>384</v>
      </c>
      <c r="I2300" s="28">
        <v>4</v>
      </c>
      <c r="J2300" s="30">
        <v>6.9000000000000006E-2</v>
      </c>
      <c r="K2300" s="28" t="s">
        <v>646</v>
      </c>
      <c r="L2300" s="31">
        <v>44075</v>
      </c>
      <c r="M2300" s="28">
        <v>9</v>
      </c>
      <c r="N2300" s="32" t="s">
        <v>191</v>
      </c>
      <c r="O2300" s="28" t="s">
        <v>204</v>
      </c>
      <c r="P2300" s="28" t="s">
        <v>5378</v>
      </c>
      <c r="Q2300" s="28" t="s">
        <v>5379</v>
      </c>
      <c r="R2300" s="28" t="s">
        <v>5380</v>
      </c>
    </row>
    <row r="2301" spans="1:18" hidden="1">
      <c r="A2301" s="28">
        <v>4</v>
      </c>
      <c r="B2301" s="29" t="s">
        <v>306</v>
      </c>
      <c r="C2301" s="29" t="s">
        <v>624</v>
      </c>
      <c r="D2301" s="29" t="s">
        <v>630</v>
      </c>
      <c r="E2301" s="29" t="s">
        <v>172</v>
      </c>
      <c r="F2301" s="28" t="s">
        <v>5260</v>
      </c>
      <c r="G2301" s="28" t="s">
        <v>5260</v>
      </c>
      <c r="H2301" s="28" t="s">
        <v>384</v>
      </c>
      <c r="I2301" s="28">
        <v>4</v>
      </c>
      <c r="J2301" s="30">
        <v>6.9000000000000006E-2</v>
      </c>
      <c r="K2301" s="28" t="s">
        <v>643</v>
      </c>
      <c r="L2301" s="31">
        <v>44013</v>
      </c>
      <c r="M2301" s="28">
        <v>7</v>
      </c>
      <c r="N2301" s="32" t="s">
        <v>184</v>
      </c>
      <c r="O2301" s="28" t="s">
        <v>204</v>
      </c>
      <c r="P2301" s="28" t="s">
        <v>5381</v>
      </c>
      <c r="Q2301" s="28" t="s">
        <v>5382</v>
      </c>
      <c r="R2301" s="28" t="s">
        <v>4114</v>
      </c>
    </row>
    <row r="2302" spans="1:18" hidden="1">
      <c r="A2302" s="28">
        <v>4</v>
      </c>
      <c r="B2302" s="29" t="s">
        <v>306</v>
      </c>
      <c r="C2302" s="29" t="s">
        <v>624</v>
      </c>
      <c r="D2302" s="29" t="s">
        <v>630</v>
      </c>
      <c r="E2302" s="29" t="s">
        <v>172</v>
      </c>
      <c r="F2302" s="28" t="s">
        <v>5260</v>
      </c>
      <c r="G2302" s="28" t="s">
        <v>5260</v>
      </c>
      <c r="H2302" s="28" t="s">
        <v>384</v>
      </c>
      <c r="I2302" s="28">
        <v>4</v>
      </c>
      <c r="J2302" s="30">
        <v>6.9000000000000006E-2</v>
      </c>
      <c r="K2302" s="28" t="s">
        <v>190</v>
      </c>
      <c r="L2302" s="31">
        <v>44287</v>
      </c>
      <c r="M2302" s="28">
        <v>4</v>
      </c>
      <c r="N2302" s="32" t="s">
        <v>191</v>
      </c>
      <c r="O2302" s="28" t="s">
        <v>204</v>
      </c>
      <c r="P2302" s="28" t="s">
        <v>5383</v>
      </c>
      <c r="Q2302" s="28" t="s">
        <v>5379</v>
      </c>
      <c r="R2302" s="28" t="s">
        <v>5380</v>
      </c>
    </row>
    <row r="2303" spans="1:18" hidden="1">
      <c r="A2303" s="28">
        <v>4</v>
      </c>
      <c r="B2303" s="29" t="s">
        <v>306</v>
      </c>
      <c r="C2303" s="29" t="s">
        <v>318</v>
      </c>
      <c r="D2303" s="29" t="s">
        <v>323</v>
      </c>
      <c r="E2303" s="29" t="s">
        <v>172</v>
      </c>
      <c r="F2303" s="28" t="s">
        <v>5260</v>
      </c>
      <c r="G2303" s="28" t="s">
        <v>5260</v>
      </c>
      <c r="H2303" s="28" t="s">
        <v>384</v>
      </c>
      <c r="I2303" s="28">
        <v>4</v>
      </c>
      <c r="J2303" s="30">
        <v>6.9000000000000006E-2</v>
      </c>
      <c r="K2303" s="28" t="s">
        <v>5384</v>
      </c>
      <c r="L2303" s="31" t="s">
        <v>221</v>
      </c>
      <c r="M2303" s="28" t="e">
        <v>#VALUE!</v>
      </c>
      <c r="N2303" s="32" t="e">
        <v>#VALUE!</v>
      </c>
      <c r="O2303" s="28" t="s">
        <v>204</v>
      </c>
      <c r="P2303" s="28" t="s">
        <v>5385</v>
      </c>
      <c r="Q2303" s="28" t="s">
        <v>5386</v>
      </c>
      <c r="R2303" s="28" t="s">
        <v>5387</v>
      </c>
    </row>
    <row r="2304" spans="1:18" hidden="1">
      <c r="A2304" s="28">
        <v>4</v>
      </c>
      <c r="B2304" s="29" t="s">
        <v>306</v>
      </c>
      <c r="C2304" s="29" t="s">
        <v>649</v>
      </c>
      <c r="D2304" s="29" t="s">
        <v>650</v>
      </c>
      <c r="E2304" s="29" t="s">
        <v>172</v>
      </c>
      <c r="F2304" s="28" t="s">
        <v>5260</v>
      </c>
      <c r="G2304" s="28" t="s">
        <v>5260</v>
      </c>
      <c r="H2304" s="28" t="s">
        <v>384</v>
      </c>
      <c r="I2304" s="28">
        <v>4</v>
      </c>
      <c r="J2304" s="30">
        <v>6.9000000000000006E-2</v>
      </c>
      <c r="K2304" s="28" t="s">
        <v>813</v>
      </c>
      <c r="L2304" s="31">
        <v>43009</v>
      </c>
      <c r="M2304" s="28">
        <v>10</v>
      </c>
      <c r="N2304" s="32" t="s">
        <v>191</v>
      </c>
      <c r="O2304" s="28" t="s">
        <v>204</v>
      </c>
      <c r="P2304" s="28" t="s">
        <v>5388</v>
      </c>
      <c r="Q2304" s="28" t="s">
        <v>5389</v>
      </c>
      <c r="R2304" s="28" t="s">
        <v>5390</v>
      </c>
    </row>
    <row r="2305" spans="1:18" hidden="1">
      <c r="A2305" s="28">
        <v>4</v>
      </c>
      <c r="B2305" s="29" t="s">
        <v>306</v>
      </c>
      <c r="C2305" s="29" t="s">
        <v>649</v>
      </c>
      <c r="D2305" s="29" t="s">
        <v>650</v>
      </c>
      <c r="E2305" s="29" t="s">
        <v>172</v>
      </c>
      <c r="F2305" s="28" t="s">
        <v>5260</v>
      </c>
      <c r="G2305" s="28" t="s">
        <v>5260</v>
      </c>
      <c r="H2305" s="28" t="s">
        <v>384</v>
      </c>
      <c r="I2305" s="28">
        <v>4</v>
      </c>
      <c r="J2305" s="30">
        <v>6.9000000000000006E-2</v>
      </c>
      <c r="K2305" s="28" t="s">
        <v>844</v>
      </c>
      <c r="L2305" s="31">
        <v>43586</v>
      </c>
      <c r="M2305" s="28">
        <v>5</v>
      </c>
      <c r="N2305" s="32" t="s">
        <v>191</v>
      </c>
      <c r="O2305" s="28" t="s">
        <v>204</v>
      </c>
      <c r="P2305" s="28" t="s">
        <v>5391</v>
      </c>
      <c r="Q2305" s="28" t="s">
        <v>5392</v>
      </c>
      <c r="R2305" s="28" t="s">
        <v>3515</v>
      </c>
    </row>
    <row r="2306" spans="1:18" hidden="1">
      <c r="A2306" s="28">
        <v>4</v>
      </c>
      <c r="B2306" s="29" t="s">
        <v>306</v>
      </c>
      <c r="C2306" s="29" t="s">
        <v>649</v>
      </c>
      <c r="D2306" s="29" t="s">
        <v>650</v>
      </c>
      <c r="E2306" s="29" t="s">
        <v>172</v>
      </c>
      <c r="F2306" s="28" t="s">
        <v>5260</v>
      </c>
      <c r="G2306" s="28" t="s">
        <v>5260</v>
      </c>
      <c r="H2306" s="28" t="s">
        <v>384</v>
      </c>
      <c r="I2306" s="28">
        <v>4</v>
      </c>
      <c r="J2306" s="30">
        <v>6.9000000000000006E-2</v>
      </c>
      <c r="K2306" s="28" t="s">
        <v>183</v>
      </c>
      <c r="L2306" s="31">
        <v>43983</v>
      </c>
      <c r="M2306" s="28">
        <v>6</v>
      </c>
      <c r="N2306" s="32" t="s">
        <v>184</v>
      </c>
      <c r="O2306" s="28" t="s">
        <v>204</v>
      </c>
      <c r="P2306" s="28" t="s">
        <v>5393</v>
      </c>
      <c r="Q2306" s="28" t="s">
        <v>5394</v>
      </c>
      <c r="R2306" s="28" t="s">
        <v>2826</v>
      </c>
    </row>
    <row r="2307" spans="1:18" hidden="1">
      <c r="A2307" s="28">
        <v>4</v>
      </c>
      <c r="B2307" s="29" t="s">
        <v>306</v>
      </c>
      <c r="C2307" s="29" t="s">
        <v>333</v>
      </c>
      <c r="D2307" s="29" t="s">
        <v>673</v>
      </c>
      <c r="E2307" s="29" t="s">
        <v>172</v>
      </c>
      <c r="F2307" s="28" t="s">
        <v>5260</v>
      </c>
      <c r="G2307" s="28" t="s">
        <v>5260</v>
      </c>
      <c r="H2307" s="28" t="s">
        <v>384</v>
      </c>
      <c r="I2307" s="28">
        <v>4</v>
      </c>
      <c r="J2307" s="30">
        <v>6.9000000000000006E-2</v>
      </c>
      <c r="K2307" s="28" t="s">
        <v>391</v>
      </c>
      <c r="L2307" s="31">
        <v>42370</v>
      </c>
      <c r="M2307" s="28">
        <v>1</v>
      </c>
      <c r="N2307" s="32" t="s">
        <v>176</v>
      </c>
      <c r="O2307" s="28" t="s">
        <v>204</v>
      </c>
      <c r="P2307" s="28" t="s">
        <v>5395</v>
      </c>
      <c r="Q2307" s="28" t="s">
        <v>4520</v>
      </c>
      <c r="R2307" s="28" t="s">
        <v>4507</v>
      </c>
    </row>
    <row r="2308" spans="1:18" hidden="1">
      <c r="A2308" s="28">
        <v>4</v>
      </c>
      <c r="B2308" s="29" t="s">
        <v>306</v>
      </c>
      <c r="C2308" s="29" t="s">
        <v>333</v>
      </c>
      <c r="D2308" s="29" t="s">
        <v>673</v>
      </c>
      <c r="E2308" s="29" t="s">
        <v>172</v>
      </c>
      <c r="F2308" s="28" t="s">
        <v>5260</v>
      </c>
      <c r="G2308" s="28" t="s">
        <v>5260</v>
      </c>
      <c r="H2308" s="28" t="s">
        <v>384</v>
      </c>
      <c r="I2308" s="28">
        <v>4</v>
      </c>
      <c r="J2308" s="30">
        <v>6.9000000000000006E-2</v>
      </c>
      <c r="K2308" s="28" t="s">
        <v>328</v>
      </c>
      <c r="L2308" s="31">
        <v>43891</v>
      </c>
      <c r="M2308" s="28">
        <v>3</v>
      </c>
      <c r="N2308" s="32" t="s">
        <v>191</v>
      </c>
      <c r="O2308" s="28" t="s">
        <v>204</v>
      </c>
      <c r="P2308" s="28" t="s">
        <v>5396</v>
      </c>
      <c r="Q2308" s="28" t="s">
        <v>5397</v>
      </c>
      <c r="R2308" s="28" t="s">
        <v>4507</v>
      </c>
    </row>
    <row r="2309" spans="1:18" hidden="1">
      <c r="A2309" s="28">
        <v>4</v>
      </c>
      <c r="B2309" s="29" t="s">
        <v>306</v>
      </c>
      <c r="C2309" s="29" t="s">
        <v>333</v>
      </c>
      <c r="D2309" s="29" t="s">
        <v>673</v>
      </c>
      <c r="E2309" s="29" t="s">
        <v>172</v>
      </c>
      <c r="F2309" s="28" t="s">
        <v>5260</v>
      </c>
      <c r="G2309" s="28" t="s">
        <v>5260</v>
      </c>
      <c r="H2309" s="28" t="s">
        <v>384</v>
      </c>
      <c r="I2309" s="28">
        <v>4</v>
      </c>
      <c r="J2309" s="30">
        <v>6.9000000000000006E-2</v>
      </c>
      <c r="K2309" s="28" t="s">
        <v>646</v>
      </c>
      <c r="L2309" s="31">
        <v>44075</v>
      </c>
      <c r="M2309" s="28">
        <v>9</v>
      </c>
      <c r="N2309" s="32" t="s">
        <v>191</v>
      </c>
      <c r="O2309" s="28" t="s">
        <v>204</v>
      </c>
      <c r="P2309" s="28" t="s">
        <v>5398</v>
      </c>
      <c r="Q2309" s="28" t="s">
        <v>4520</v>
      </c>
      <c r="R2309" s="28" t="s">
        <v>4507</v>
      </c>
    </row>
    <row r="2310" spans="1:18" hidden="1">
      <c r="A2310" s="28">
        <v>4</v>
      </c>
      <c r="B2310" s="29" t="s">
        <v>306</v>
      </c>
      <c r="C2310" s="29" t="s">
        <v>333</v>
      </c>
      <c r="D2310" s="29" t="s">
        <v>673</v>
      </c>
      <c r="E2310" s="29" t="s">
        <v>172</v>
      </c>
      <c r="F2310" s="28" t="s">
        <v>5260</v>
      </c>
      <c r="G2310" s="28" t="s">
        <v>5260</v>
      </c>
      <c r="H2310" s="28" t="s">
        <v>384</v>
      </c>
      <c r="I2310" s="28">
        <v>4</v>
      </c>
      <c r="J2310" s="30">
        <v>6.9000000000000006E-2</v>
      </c>
      <c r="K2310" s="28" t="s">
        <v>646</v>
      </c>
      <c r="L2310" s="31">
        <v>44075</v>
      </c>
      <c r="M2310" s="28">
        <v>9</v>
      </c>
      <c r="N2310" s="32" t="s">
        <v>191</v>
      </c>
      <c r="O2310" s="28" t="s">
        <v>1060</v>
      </c>
      <c r="P2310" s="28" t="s">
        <v>5399</v>
      </c>
      <c r="Q2310" s="28" t="s">
        <v>5400</v>
      </c>
      <c r="R2310" s="28" t="s">
        <v>5401</v>
      </c>
    </row>
    <row r="2311" spans="1:18" hidden="1">
      <c r="A2311" s="28">
        <v>4</v>
      </c>
      <c r="B2311" s="29" t="s">
        <v>306</v>
      </c>
      <c r="C2311" s="29" t="s">
        <v>339</v>
      </c>
      <c r="D2311" s="29" t="s">
        <v>340</v>
      </c>
      <c r="E2311" s="29" t="s">
        <v>172</v>
      </c>
      <c r="F2311" s="28" t="s">
        <v>5260</v>
      </c>
      <c r="G2311" s="28" t="s">
        <v>5260</v>
      </c>
      <c r="H2311" s="28" t="s">
        <v>384</v>
      </c>
      <c r="I2311" s="28">
        <v>4</v>
      </c>
      <c r="J2311" s="30">
        <v>6.9000000000000006E-2</v>
      </c>
      <c r="K2311" s="28" t="s">
        <v>361</v>
      </c>
      <c r="L2311" s="31">
        <v>43435</v>
      </c>
      <c r="M2311" s="28">
        <v>12</v>
      </c>
      <c r="N2311" s="32" t="s">
        <v>176</v>
      </c>
      <c r="O2311" s="28" t="s">
        <v>204</v>
      </c>
      <c r="P2311" s="28" t="s">
        <v>5402</v>
      </c>
      <c r="Q2311" s="28" t="s">
        <v>5403</v>
      </c>
      <c r="R2311" s="28" t="s">
        <v>5404</v>
      </c>
    </row>
    <row r="2312" spans="1:18" hidden="1">
      <c r="A2312" s="28">
        <v>4</v>
      </c>
      <c r="B2312" s="29" t="s">
        <v>306</v>
      </c>
      <c r="C2312" s="29" t="s">
        <v>339</v>
      </c>
      <c r="D2312" s="29" t="s">
        <v>340</v>
      </c>
      <c r="E2312" s="29" t="s">
        <v>172</v>
      </c>
      <c r="F2312" s="28" t="s">
        <v>5260</v>
      </c>
      <c r="G2312" s="28" t="s">
        <v>5260</v>
      </c>
      <c r="H2312" s="28" t="s">
        <v>384</v>
      </c>
      <c r="I2312" s="28">
        <v>4</v>
      </c>
      <c r="J2312" s="30">
        <v>6.9000000000000006E-2</v>
      </c>
      <c r="K2312" s="28" t="s">
        <v>424</v>
      </c>
      <c r="L2312" s="31">
        <v>43678</v>
      </c>
      <c r="M2312" s="28">
        <v>8</v>
      </c>
      <c r="N2312" s="32" t="s">
        <v>184</v>
      </c>
      <c r="O2312" s="28" t="s">
        <v>204</v>
      </c>
      <c r="P2312" s="28" t="s">
        <v>5405</v>
      </c>
      <c r="Q2312" s="28" t="s">
        <v>5406</v>
      </c>
      <c r="R2312" s="28" t="s">
        <v>5407</v>
      </c>
    </row>
    <row r="2313" spans="1:18" hidden="1">
      <c r="A2313" s="28">
        <v>4</v>
      </c>
      <c r="B2313" s="29" t="s">
        <v>306</v>
      </c>
      <c r="C2313" s="29" t="s">
        <v>339</v>
      </c>
      <c r="D2313" s="29" t="s">
        <v>340</v>
      </c>
      <c r="E2313" s="29" t="s">
        <v>172</v>
      </c>
      <c r="F2313" s="28" t="s">
        <v>5260</v>
      </c>
      <c r="G2313" s="28" t="s">
        <v>5260</v>
      </c>
      <c r="H2313" s="28" t="s">
        <v>384</v>
      </c>
      <c r="I2313" s="28">
        <v>4</v>
      </c>
      <c r="J2313" s="30">
        <v>6.9000000000000006E-2</v>
      </c>
      <c r="K2313" s="28" t="s">
        <v>345</v>
      </c>
      <c r="L2313" s="31">
        <v>44440</v>
      </c>
      <c r="M2313" s="28">
        <v>9</v>
      </c>
      <c r="N2313" s="32" t="s">
        <v>191</v>
      </c>
      <c r="O2313" s="28" t="s">
        <v>204</v>
      </c>
      <c r="P2313" s="28" t="s">
        <v>5408</v>
      </c>
      <c r="Q2313" s="28" t="s">
        <v>4520</v>
      </c>
      <c r="R2313" s="28" t="s">
        <v>4507</v>
      </c>
    </row>
    <row r="2314" spans="1:18" hidden="1">
      <c r="A2314" s="28">
        <v>4</v>
      </c>
      <c r="B2314" s="29" t="s">
        <v>306</v>
      </c>
      <c r="C2314" s="29" t="s">
        <v>339</v>
      </c>
      <c r="D2314" s="29" t="s">
        <v>340</v>
      </c>
      <c r="E2314" s="29" t="s">
        <v>172</v>
      </c>
      <c r="F2314" s="28" t="s">
        <v>5260</v>
      </c>
      <c r="G2314" s="28" t="s">
        <v>5260</v>
      </c>
      <c r="H2314" s="28" t="s">
        <v>384</v>
      </c>
      <c r="I2314" s="28">
        <v>4</v>
      </c>
      <c r="J2314" s="30">
        <v>6.9000000000000006E-2</v>
      </c>
      <c r="K2314" s="28" t="s">
        <v>712</v>
      </c>
      <c r="L2314" s="31">
        <v>44470</v>
      </c>
      <c r="M2314" s="28">
        <v>10</v>
      </c>
      <c r="N2314" s="32" t="s">
        <v>191</v>
      </c>
      <c r="O2314" s="28" t="s">
        <v>204</v>
      </c>
      <c r="P2314" s="28" t="s">
        <v>5409</v>
      </c>
      <c r="Q2314" s="28" t="s">
        <v>4520</v>
      </c>
      <c r="R2314" s="28" t="s">
        <v>4507</v>
      </c>
    </row>
    <row r="2315" spans="1:18" hidden="1">
      <c r="A2315" s="28">
        <v>5</v>
      </c>
      <c r="B2315" s="29" t="s">
        <v>349</v>
      </c>
      <c r="C2315" s="29" t="s">
        <v>350</v>
      </c>
      <c r="D2315" s="29" t="s">
        <v>725</v>
      </c>
      <c r="E2315" s="29" t="s">
        <v>172</v>
      </c>
      <c r="F2315" s="28" t="s">
        <v>5260</v>
      </c>
      <c r="G2315" s="28" t="s">
        <v>5260</v>
      </c>
      <c r="H2315" s="28" t="s">
        <v>384</v>
      </c>
      <c r="I2315" s="28">
        <v>4</v>
      </c>
      <c r="J2315" s="30">
        <v>6.9000000000000006E-2</v>
      </c>
      <c r="K2315" s="28" t="s">
        <v>501</v>
      </c>
      <c r="L2315" s="31">
        <v>43405</v>
      </c>
      <c r="M2315" s="28">
        <v>11</v>
      </c>
      <c r="N2315" s="32" t="s">
        <v>191</v>
      </c>
      <c r="O2315" s="28" t="s">
        <v>204</v>
      </c>
      <c r="P2315" s="28" t="s">
        <v>5410</v>
      </c>
      <c r="Q2315" s="28" t="s">
        <v>3014</v>
      </c>
      <c r="R2315" s="28" t="s">
        <v>3015</v>
      </c>
    </row>
    <row r="2316" spans="1:18" hidden="1">
      <c r="A2316" s="28">
        <v>5</v>
      </c>
      <c r="B2316" s="29" t="s">
        <v>349</v>
      </c>
      <c r="C2316" s="29" t="s">
        <v>350</v>
      </c>
      <c r="D2316" s="29" t="s">
        <v>351</v>
      </c>
      <c r="E2316" s="29" t="s">
        <v>172</v>
      </c>
      <c r="F2316" s="28" t="s">
        <v>5260</v>
      </c>
      <c r="G2316" s="28" t="s">
        <v>5260</v>
      </c>
      <c r="H2316" s="28" t="s">
        <v>384</v>
      </c>
      <c r="I2316" s="28">
        <v>4</v>
      </c>
      <c r="J2316" s="30">
        <v>6.9000000000000006E-2</v>
      </c>
      <c r="K2316" s="28" t="s">
        <v>257</v>
      </c>
      <c r="L2316" s="31">
        <v>42552</v>
      </c>
      <c r="M2316" s="28">
        <v>7</v>
      </c>
      <c r="N2316" s="32" t="s">
        <v>184</v>
      </c>
      <c r="O2316" s="28" t="s">
        <v>204</v>
      </c>
      <c r="P2316" s="28" t="s">
        <v>5411</v>
      </c>
      <c r="Q2316" s="28" t="s">
        <v>3014</v>
      </c>
      <c r="R2316" s="28" t="s">
        <v>3015</v>
      </c>
    </row>
    <row r="2317" spans="1:18" hidden="1">
      <c r="A2317" s="28">
        <v>5</v>
      </c>
      <c r="B2317" s="29" t="s">
        <v>349</v>
      </c>
      <c r="C2317" s="29" t="s">
        <v>355</v>
      </c>
      <c r="D2317" s="29" t="s">
        <v>356</v>
      </c>
      <c r="E2317" s="29" t="s">
        <v>172</v>
      </c>
      <c r="F2317" s="28" t="s">
        <v>5260</v>
      </c>
      <c r="G2317" s="28" t="s">
        <v>5260</v>
      </c>
      <c r="H2317" s="28" t="s">
        <v>384</v>
      </c>
      <c r="I2317" s="28">
        <v>4</v>
      </c>
      <c r="J2317" s="30">
        <v>6.9000000000000006E-2</v>
      </c>
      <c r="K2317" s="28" t="s">
        <v>405</v>
      </c>
      <c r="L2317" s="31">
        <v>43221</v>
      </c>
      <c r="M2317" s="28">
        <v>5</v>
      </c>
      <c r="N2317" s="32" t="s">
        <v>191</v>
      </c>
      <c r="O2317" s="28" t="s">
        <v>204</v>
      </c>
      <c r="P2317" s="28" t="s">
        <v>5412</v>
      </c>
      <c r="Q2317" s="28" t="s">
        <v>5413</v>
      </c>
      <c r="R2317" s="28" t="s">
        <v>5414</v>
      </c>
    </row>
    <row r="2318" spans="1:18" hidden="1">
      <c r="A2318" s="28">
        <v>5</v>
      </c>
      <c r="B2318" s="29" t="s">
        <v>349</v>
      </c>
      <c r="C2318" s="29" t="s">
        <v>355</v>
      </c>
      <c r="D2318" s="29" t="s">
        <v>360</v>
      </c>
      <c r="E2318" s="29" t="s">
        <v>172</v>
      </c>
      <c r="F2318" s="28" t="s">
        <v>5260</v>
      </c>
      <c r="G2318" s="28" t="s">
        <v>5260</v>
      </c>
      <c r="H2318" s="28" t="s">
        <v>384</v>
      </c>
      <c r="I2318" s="28">
        <v>4</v>
      </c>
      <c r="J2318" s="30">
        <v>6.9000000000000006E-2</v>
      </c>
      <c r="K2318" s="28" t="s">
        <v>289</v>
      </c>
      <c r="L2318" s="31">
        <v>42795</v>
      </c>
      <c r="M2318" s="28">
        <v>3</v>
      </c>
      <c r="N2318" s="32" t="s">
        <v>191</v>
      </c>
      <c r="O2318" s="28" t="s">
        <v>204</v>
      </c>
      <c r="P2318" s="28" t="s">
        <v>5415</v>
      </c>
      <c r="Q2318" s="28" t="s">
        <v>5416</v>
      </c>
      <c r="R2318" s="28" t="s">
        <v>5417</v>
      </c>
    </row>
    <row r="2319" spans="1:18" hidden="1">
      <c r="A2319" s="28">
        <v>5</v>
      </c>
      <c r="B2319" s="29" t="s">
        <v>349</v>
      </c>
      <c r="C2319" s="29" t="s">
        <v>355</v>
      </c>
      <c r="D2319" s="29" t="s">
        <v>360</v>
      </c>
      <c r="E2319" s="29" t="s">
        <v>172</v>
      </c>
      <c r="F2319" s="28" t="s">
        <v>5260</v>
      </c>
      <c r="G2319" s="28" t="s">
        <v>5260</v>
      </c>
      <c r="H2319" s="28" t="s">
        <v>384</v>
      </c>
      <c r="I2319" s="28">
        <v>4</v>
      </c>
      <c r="J2319" s="30">
        <v>6.9000000000000006E-2</v>
      </c>
      <c r="K2319" s="28" t="s">
        <v>271</v>
      </c>
      <c r="L2319" s="31">
        <v>42856</v>
      </c>
      <c r="M2319" s="28">
        <v>5</v>
      </c>
      <c r="N2319" s="32" t="s">
        <v>191</v>
      </c>
      <c r="O2319" s="28" t="s">
        <v>204</v>
      </c>
      <c r="P2319" s="28" t="s">
        <v>5418</v>
      </c>
      <c r="Q2319" s="28" t="s">
        <v>5419</v>
      </c>
      <c r="R2319" s="28" t="s">
        <v>5417</v>
      </c>
    </row>
    <row r="2320" spans="1:18" hidden="1">
      <c r="A2320" s="28">
        <v>5</v>
      </c>
      <c r="B2320" s="29" t="s">
        <v>349</v>
      </c>
      <c r="C2320" s="29" t="s">
        <v>355</v>
      </c>
      <c r="D2320" s="29" t="s">
        <v>360</v>
      </c>
      <c r="E2320" s="29" t="s">
        <v>172</v>
      </c>
      <c r="F2320" s="28" t="s">
        <v>5260</v>
      </c>
      <c r="G2320" s="28" t="s">
        <v>5260</v>
      </c>
      <c r="H2320" s="28" t="s">
        <v>384</v>
      </c>
      <c r="I2320" s="28">
        <v>4</v>
      </c>
      <c r="J2320" s="30">
        <v>6.9000000000000006E-2</v>
      </c>
      <c r="K2320" s="28" t="s">
        <v>496</v>
      </c>
      <c r="L2320" s="31">
        <v>42917</v>
      </c>
      <c r="M2320" s="28">
        <v>7</v>
      </c>
      <c r="N2320" s="32" t="s">
        <v>184</v>
      </c>
      <c r="O2320" s="28" t="s">
        <v>204</v>
      </c>
      <c r="P2320" s="28" t="s">
        <v>5420</v>
      </c>
      <c r="Q2320" s="28" t="s">
        <v>5421</v>
      </c>
      <c r="R2320" s="28" t="s">
        <v>5417</v>
      </c>
    </row>
    <row r="2321" spans="1:18" hidden="1">
      <c r="A2321" s="28">
        <v>5</v>
      </c>
      <c r="B2321" s="29" t="s">
        <v>349</v>
      </c>
      <c r="C2321" s="29" t="s">
        <v>355</v>
      </c>
      <c r="D2321" s="29" t="s">
        <v>360</v>
      </c>
      <c r="E2321" s="29" t="s">
        <v>172</v>
      </c>
      <c r="F2321" s="28" t="s">
        <v>5260</v>
      </c>
      <c r="G2321" s="28" t="s">
        <v>5260</v>
      </c>
      <c r="H2321" s="28" t="s">
        <v>384</v>
      </c>
      <c r="I2321" s="28">
        <v>4</v>
      </c>
      <c r="J2321" s="30">
        <v>6.9000000000000006E-2</v>
      </c>
      <c r="K2321" s="28" t="s">
        <v>248</v>
      </c>
      <c r="L2321" s="31">
        <v>43070</v>
      </c>
      <c r="M2321" s="28">
        <v>12</v>
      </c>
      <c r="N2321" s="32" t="s">
        <v>176</v>
      </c>
      <c r="O2321" s="28" t="s">
        <v>204</v>
      </c>
      <c r="P2321" s="28" t="s">
        <v>5422</v>
      </c>
      <c r="Q2321" s="28" t="s">
        <v>5423</v>
      </c>
      <c r="R2321" s="28" t="s">
        <v>5417</v>
      </c>
    </row>
    <row r="2322" spans="1:18" hidden="1">
      <c r="A2322" s="28">
        <v>5</v>
      </c>
      <c r="B2322" s="29" t="s">
        <v>349</v>
      </c>
      <c r="C2322" s="29" t="s">
        <v>355</v>
      </c>
      <c r="D2322" s="29" t="s">
        <v>360</v>
      </c>
      <c r="E2322" s="29" t="s">
        <v>172</v>
      </c>
      <c r="F2322" s="28" t="s">
        <v>5260</v>
      </c>
      <c r="G2322" s="28" t="s">
        <v>5260</v>
      </c>
      <c r="H2322" s="28" t="s">
        <v>384</v>
      </c>
      <c r="I2322" s="28">
        <v>4</v>
      </c>
      <c r="J2322" s="30">
        <v>6.9000000000000006E-2</v>
      </c>
      <c r="K2322" s="28" t="s">
        <v>212</v>
      </c>
      <c r="L2322" s="31">
        <v>43313</v>
      </c>
      <c r="M2322" s="28">
        <v>8</v>
      </c>
      <c r="N2322" s="32" t="s">
        <v>184</v>
      </c>
      <c r="O2322" s="28" t="s">
        <v>204</v>
      </c>
      <c r="P2322" s="28" t="s">
        <v>5424</v>
      </c>
      <c r="Q2322" s="28" t="s">
        <v>5425</v>
      </c>
      <c r="R2322" s="28" t="s">
        <v>5417</v>
      </c>
    </row>
    <row r="2323" spans="1:18" hidden="1">
      <c r="A2323" s="28">
        <v>5</v>
      </c>
      <c r="B2323" s="29" t="s">
        <v>349</v>
      </c>
      <c r="C2323" s="29" t="s">
        <v>355</v>
      </c>
      <c r="D2323" s="29" t="s">
        <v>360</v>
      </c>
      <c r="E2323" s="29" t="s">
        <v>172</v>
      </c>
      <c r="F2323" s="28" t="s">
        <v>5260</v>
      </c>
      <c r="G2323" s="28" t="s">
        <v>5260</v>
      </c>
      <c r="H2323" s="28" t="s">
        <v>384</v>
      </c>
      <c r="I2323" s="28">
        <v>4</v>
      </c>
      <c r="J2323" s="30">
        <v>6.9000000000000006E-2</v>
      </c>
      <c r="K2323" s="28" t="s">
        <v>397</v>
      </c>
      <c r="L2323" s="31">
        <v>43739</v>
      </c>
      <c r="M2323" s="28">
        <v>10</v>
      </c>
      <c r="N2323" s="32" t="s">
        <v>191</v>
      </c>
      <c r="O2323" s="28" t="s">
        <v>204</v>
      </c>
      <c r="P2323" s="28" t="s">
        <v>5426</v>
      </c>
      <c r="Q2323" s="28" t="s">
        <v>5427</v>
      </c>
      <c r="R2323" s="28" t="s">
        <v>5428</v>
      </c>
    </row>
    <row r="2324" spans="1:18" hidden="1">
      <c r="A2324" s="28">
        <v>5</v>
      </c>
      <c r="B2324" s="29" t="s">
        <v>349</v>
      </c>
      <c r="C2324" s="29" t="s">
        <v>355</v>
      </c>
      <c r="D2324" s="29" t="s">
        <v>360</v>
      </c>
      <c r="E2324" s="29" t="s">
        <v>172</v>
      </c>
      <c r="F2324" s="28" t="s">
        <v>5260</v>
      </c>
      <c r="G2324" s="28" t="s">
        <v>5260</v>
      </c>
      <c r="H2324" s="28" t="s">
        <v>384</v>
      </c>
      <c r="I2324" s="28">
        <v>4</v>
      </c>
      <c r="J2324" s="30">
        <v>6.9000000000000006E-2</v>
      </c>
      <c r="K2324" s="28" t="s">
        <v>183</v>
      </c>
      <c r="L2324" s="31">
        <v>43983</v>
      </c>
      <c r="M2324" s="28">
        <v>6</v>
      </c>
      <c r="N2324" s="32" t="s">
        <v>184</v>
      </c>
      <c r="O2324" s="28" t="s">
        <v>204</v>
      </c>
      <c r="P2324" s="28" t="s">
        <v>5429</v>
      </c>
      <c r="Q2324" s="28" t="s">
        <v>5430</v>
      </c>
      <c r="R2324" s="28" t="s">
        <v>5417</v>
      </c>
    </row>
    <row r="2325" spans="1:18" hidden="1">
      <c r="A2325" s="28">
        <v>5</v>
      </c>
      <c r="B2325" s="29" t="s">
        <v>349</v>
      </c>
      <c r="C2325" s="29" t="s">
        <v>355</v>
      </c>
      <c r="D2325" s="29" t="s">
        <v>360</v>
      </c>
      <c r="E2325" s="29" t="s">
        <v>172</v>
      </c>
      <c r="F2325" s="28" t="s">
        <v>5260</v>
      </c>
      <c r="G2325" s="28" t="s">
        <v>5260</v>
      </c>
      <c r="H2325" s="28" t="s">
        <v>384</v>
      </c>
      <c r="I2325" s="28">
        <v>4</v>
      </c>
      <c r="J2325" s="30">
        <v>6.9000000000000006E-2</v>
      </c>
      <c r="K2325" s="28" t="s">
        <v>5431</v>
      </c>
      <c r="L2325" s="31" t="s">
        <v>221</v>
      </c>
      <c r="M2325" s="28" t="e">
        <v>#VALUE!</v>
      </c>
      <c r="N2325" s="32" t="e">
        <v>#VALUE!</v>
      </c>
      <c r="O2325" s="28" t="s">
        <v>204</v>
      </c>
      <c r="P2325" s="28" t="s">
        <v>5432</v>
      </c>
      <c r="Q2325" s="28" t="s">
        <v>721</v>
      </c>
      <c r="R2325" s="28" t="s">
        <v>2687</v>
      </c>
    </row>
    <row r="2326" spans="1:18" hidden="1">
      <c r="A2326" s="28">
        <v>5</v>
      </c>
      <c r="B2326" s="29" t="s">
        <v>349</v>
      </c>
      <c r="C2326" s="29" t="s">
        <v>761</v>
      </c>
      <c r="D2326" s="29" t="s">
        <v>762</v>
      </c>
      <c r="E2326" s="29" t="s">
        <v>172</v>
      </c>
      <c r="F2326" s="28" t="s">
        <v>5260</v>
      </c>
      <c r="G2326" s="28" t="s">
        <v>5260</v>
      </c>
      <c r="H2326" s="28" t="s">
        <v>384</v>
      </c>
      <c r="I2326" s="28">
        <v>4</v>
      </c>
      <c r="J2326" s="30">
        <v>6.9000000000000006E-2</v>
      </c>
      <c r="K2326" s="28" t="s">
        <v>678</v>
      </c>
      <c r="L2326" s="31">
        <v>43344</v>
      </c>
      <c r="M2326" s="28">
        <v>9</v>
      </c>
      <c r="N2326" s="32" t="s">
        <v>191</v>
      </c>
      <c r="O2326" s="28" t="s">
        <v>204</v>
      </c>
      <c r="P2326" s="28" t="s">
        <v>5433</v>
      </c>
      <c r="Q2326" s="28" t="s">
        <v>4155</v>
      </c>
      <c r="R2326" s="28" t="s">
        <v>5434</v>
      </c>
    </row>
    <row r="2327" spans="1:18" hidden="1">
      <c r="A2327" s="28">
        <v>5</v>
      </c>
      <c r="B2327" s="29" t="s">
        <v>349</v>
      </c>
      <c r="C2327" s="29" t="s">
        <v>761</v>
      </c>
      <c r="D2327" s="29" t="s">
        <v>768</v>
      </c>
      <c r="E2327" s="29" t="s">
        <v>172</v>
      </c>
      <c r="F2327" s="28" t="s">
        <v>5260</v>
      </c>
      <c r="G2327" s="28" t="s">
        <v>5260</v>
      </c>
      <c r="H2327" s="28" t="s">
        <v>384</v>
      </c>
      <c r="I2327" s="28">
        <v>4</v>
      </c>
      <c r="J2327" s="30">
        <v>6.9000000000000006E-2</v>
      </c>
      <c r="K2327" s="28" t="s">
        <v>335</v>
      </c>
      <c r="L2327" s="31">
        <v>42614</v>
      </c>
      <c r="M2327" s="28">
        <v>9</v>
      </c>
      <c r="N2327" s="32" t="s">
        <v>191</v>
      </c>
      <c r="O2327" s="28" t="s">
        <v>204</v>
      </c>
      <c r="P2327" s="28" t="s">
        <v>5435</v>
      </c>
      <c r="Q2327" s="28" t="s">
        <v>5436</v>
      </c>
      <c r="R2327" s="28" t="s">
        <v>5437</v>
      </c>
    </row>
    <row r="2328" spans="1:18" hidden="1">
      <c r="A2328" s="28">
        <v>8</v>
      </c>
      <c r="B2328" s="29" t="s">
        <v>371</v>
      </c>
      <c r="C2328" s="29" t="s">
        <v>787</v>
      </c>
      <c r="D2328" s="29" t="s">
        <v>788</v>
      </c>
      <c r="E2328" s="29" t="s">
        <v>374</v>
      </c>
      <c r="F2328" s="28" t="s">
        <v>5260</v>
      </c>
      <c r="G2328" s="28" t="s">
        <v>5260</v>
      </c>
      <c r="H2328" s="28" t="s">
        <v>384</v>
      </c>
      <c r="I2328" s="28">
        <v>4</v>
      </c>
      <c r="J2328" s="30">
        <v>6.9000000000000006E-2</v>
      </c>
      <c r="K2328" s="28" t="s">
        <v>5438</v>
      </c>
      <c r="L2328" s="31">
        <v>43221</v>
      </c>
      <c r="M2328" s="28">
        <v>5</v>
      </c>
      <c r="N2328" s="32" t="s">
        <v>191</v>
      </c>
      <c r="O2328" s="28" t="s">
        <v>204</v>
      </c>
      <c r="P2328" s="28" t="s">
        <v>5439</v>
      </c>
      <c r="Q2328" s="28" t="s">
        <v>5440</v>
      </c>
      <c r="R2328" s="28" t="s">
        <v>5441</v>
      </c>
    </row>
    <row r="2329" spans="1:18" hidden="1">
      <c r="A2329" s="28">
        <v>9</v>
      </c>
      <c r="B2329" s="29" t="s">
        <v>1992</v>
      </c>
      <c r="C2329" s="29" t="s">
        <v>1998</v>
      </c>
      <c r="D2329" s="29" t="s">
        <v>5022</v>
      </c>
      <c r="E2329" s="29" t="s">
        <v>374</v>
      </c>
      <c r="F2329" s="28" t="s">
        <v>5260</v>
      </c>
      <c r="G2329" s="28" t="s">
        <v>5260</v>
      </c>
      <c r="H2329" s="28" t="s">
        <v>384</v>
      </c>
      <c r="I2329" s="28">
        <v>4</v>
      </c>
      <c r="J2329" s="30">
        <v>6.9000000000000006E-2</v>
      </c>
      <c r="K2329" s="28" t="s">
        <v>271</v>
      </c>
      <c r="L2329" s="31">
        <v>42856</v>
      </c>
      <c r="M2329" s="28">
        <v>5</v>
      </c>
      <c r="N2329" s="32" t="s">
        <v>191</v>
      </c>
      <c r="O2329" s="28" t="s">
        <v>794</v>
      </c>
      <c r="P2329" s="28" t="s">
        <v>5442</v>
      </c>
      <c r="Q2329" s="28" t="s">
        <v>5443</v>
      </c>
      <c r="R2329" s="28" t="s">
        <v>5444</v>
      </c>
    </row>
    <row r="2330" spans="1:18" hidden="1">
      <c r="A2330" s="28">
        <v>1</v>
      </c>
      <c r="B2330" s="29" t="s">
        <v>379</v>
      </c>
      <c r="C2330" s="29" t="s">
        <v>388</v>
      </c>
      <c r="D2330" s="29" t="s">
        <v>999</v>
      </c>
      <c r="E2330" s="29" t="s">
        <v>172</v>
      </c>
      <c r="F2330" s="28" t="s">
        <v>5445</v>
      </c>
      <c r="G2330" s="28" t="s">
        <v>5446</v>
      </c>
      <c r="H2330" s="28" t="s">
        <v>174</v>
      </c>
      <c r="I2330" s="28" t="s">
        <v>174</v>
      </c>
      <c r="J2330" s="30" t="s">
        <v>174</v>
      </c>
      <c r="K2330" s="28" t="s">
        <v>236</v>
      </c>
      <c r="L2330" s="31">
        <v>43617</v>
      </c>
      <c r="M2330" s="28">
        <v>6</v>
      </c>
      <c r="N2330" s="32" t="s">
        <v>184</v>
      </c>
      <c r="O2330" s="28" t="s">
        <v>177</v>
      </c>
      <c r="P2330" s="28" t="s">
        <v>5447</v>
      </c>
      <c r="Q2330" s="28" t="s">
        <v>5448</v>
      </c>
      <c r="R2330" s="28" t="s">
        <v>5449</v>
      </c>
    </row>
    <row r="2331" spans="1:18" hidden="1">
      <c r="A2331" s="28">
        <v>1</v>
      </c>
      <c r="B2331" s="29" t="s">
        <v>379</v>
      </c>
      <c r="C2331" s="29" t="s">
        <v>1048</v>
      </c>
      <c r="D2331" s="29" t="s">
        <v>1057</v>
      </c>
      <c r="E2331" s="29" t="s">
        <v>172</v>
      </c>
      <c r="F2331" s="28" t="s">
        <v>5445</v>
      </c>
      <c r="G2331" s="28" t="s">
        <v>5450</v>
      </c>
      <c r="H2331" s="28" t="s">
        <v>174</v>
      </c>
      <c r="I2331" s="28" t="s">
        <v>174</v>
      </c>
      <c r="J2331" s="30" t="s">
        <v>174</v>
      </c>
      <c r="K2331" s="28" t="s">
        <v>214</v>
      </c>
      <c r="L2331" s="31">
        <v>43466</v>
      </c>
      <c r="M2331" s="28">
        <v>1</v>
      </c>
      <c r="N2331" s="32" t="s">
        <v>176</v>
      </c>
      <c r="O2331" s="28" t="s">
        <v>2537</v>
      </c>
      <c r="P2331" s="28" t="s">
        <v>5451</v>
      </c>
      <c r="Q2331" s="28" t="s">
        <v>5452</v>
      </c>
      <c r="R2331" s="28" t="s">
        <v>5453</v>
      </c>
    </row>
    <row r="2332" spans="1:18" hidden="1">
      <c r="A2332" s="28">
        <v>11</v>
      </c>
      <c r="B2332" s="29" t="s">
        <v>169</v>
      </c>
      <c r="C2332" s="29" t="s">
        <v>1280</v>
      </c>
      <c r="D2332" s="29" t="s">
        <v>1286</v>
      </c>
      <c r="E2332" s="29" t="s">
        <v>172</v>
      </c>
      <c r="F2332" s="28" t="s">
        <v>5445</v>
      </c>
      <c r="G2332" s="28" t="s">
        <v>5446</v>
      </c>
      <c r="H2332" s="28" t="s">
        <v>174</v>
      </c>
      <c r="I2332" s="28" t="s">
        <v>174</v>
      </c>
      <c r="J2332" s="30" t="s">
        <v>174</v>
      </c>
      <c r="K2332" s="28" t="s">
        <v>289</v>
      </c>
      <c r="L2332" s="31">
        <v>42795</v>
      </c>
      <c r="M2332" s="28">
        <v>3</v>
      </c>
      <c r="N2332" s="32" t="s">
        <v>191</v>
      </c>
      <c r="O2332" s="28" t="s">
        <v>204</v>
      </c>
      <c r="P2332" s="28" t="s">
        <v>5454</v>
      </c>
      <c r="Q2332" s="28" t="s">
        <v>5455</v>
      </c>
      <c r="R2332" s="28" t="s">
        <v>5456</v>
      </c>
    </row>
    <row r="2333" spans="1:18" hidden="1">
      <c r="A2333" s="28">
        <v>11</v>
      </c>
      <c r="B2333" s="29" t="s">
        <v>169</v>
      </c>
      <c r="C2333" s="29" t="s">
        <v>1280</v>
      </c>
      <c r="D2333" s="29" t="s">
        <v>1286</v>
      </c>
      <c r="E2333" s="29" t="s">
        <v>172</v>
      </c>
      <c r="F2333" s="28" t="s">
        <v>5445</v>
      </c>
      <c r="G2333" s="28" t="s">
        <v>5450</v>
      </c>
      <c r="H2333" s="28" t="s">
        <v>174</v>
      </c>
      <c r="I2333" s="28" t="s">
        <v>174</v>
      </c>
      <c r="J2333" s="30" t="s">
        <v>174</v>
      </c>
      <c r="K2333" s="28" t="s">
        <v>475</v>
      </c>
      <c r="L2333" s="31">
        <v>43191</v>
      </c>
      <c r="M2333" s="28">
        <v>4</v>
      </c>
      <c r="N2333" s="32" t="s">
        <v>191</v>
      </c>
      <c r="O2333" s="28" t="s">
        <v>2537</v>
      </c>
      <c r="P2333" s="28" t="s">
        <v>5457</v>
      </c>
      <c r="Q2333" s="28" t="s">
        <v>5458</v>
      </c>
      <c r="R2333" s="28" t="s">
        <v>5459</v>
      </c>
    </row>
    <row r="2334" spans="1:18" hidden="1">
      <c r="A2334" s="28">
        <v>11</v>
      </c>
      <c r="B2334" s="29" t="s">
        <v>169</v>
      </c>
      <c r="C2334" s="29" t="s">
        <v>1280</v>
      </c>
      <c r="D2334" s="29" t="s">
        <v>1286</v>
      </c>
      <c r="E2334" s="29" t="s">
        <v>172</v>
      </c>
      <c r="F2334" s="28" t="s">
        <v>5445</v>
      </c>
      <c r="G2334" s="28" t="s">
        <v>5446</v>
      </c>
      <c r="H2334" s="28" t="s">
        <v>174</v>
      </c>
      <c r="I2334" s="28" t="s">
        <v>174</v>
      </c>
      <c r="J2334" s="30" t="s">
        <v>174</v>
      </c>
      <c r="K2334" s="28" t="s">
        <v>678</v>
      </c>
      <c r="L2334" s="31">
        <v>43344</v>
      </c>
      <c r="M2334" s="28">
        <v>9</v>
      </c>
      <c r="N2334" s="32" t="s">
        <v>191</v>
      </c>
      <c r="O2334" s="28" t="s">
        <v>204</v>
      </c>
      <c r="P2334" s="28" t="s">
        <v>5460</v>
      </c>
      <c r="Q2334" s="28" t="s">
        <v>5455</v>
      </c>
      <c r="R2334" s="28" t="s">
        <v>5456</v>
      </c>
    </row>
    <row r="2335" spans="1:18" hidden="1">
      <c r="A2335" s="28">
        <v>11</v>
      </c>
      <c r="B2335" s="29" t="s">
        <v>169</v>
      </c>
      <c r="C2335" s="29" t="s">
        <v>181</v>
      </c>
      <c r="D2335" s="29" t="s">
        <v>182</v>
      </c>
      <c r="E2335" s="29" t="s">
        <v>172</v>
      </c>
      <c r="F2335" s="28" t="s">
        <v>5445</v>
      </c>
      <c r="G2335" s="28" t="s">
        <v>5450</v>
      </c>
      <c r="H2335" s="28" t="s">
        <v>174</v>
      </c>
      <c r="I2335" s="28" t="s">
        <v>174</v>
      </c>
      <c r="J2335" s="30" t="s">
        <v>174</v>
      </c>
      <c r="K2335" s="28" t="s">
        <v>243</v>
      </c>
      <c r="L2335" s="31">
        <v>42461</v>
      </c>
      <c r="M2335" s="28">
        <v>4</v>
      </c>
      <c r="N2335" s="32" t="s">
        <v>191</v>
      </c>
      <c r="O2335" s="28" t="s">
        <v>2537</v>
      </c>
      <c r="P2335" s="28" t="s">
        <v>5461</v>
      </c>
      <c r="Q2335" s="28" t="s">
        <v>5462</v>
      </c>
      <c r="R2335" s="28" t="s">
        <v>5463</v>
      </c>
    </row>
    <row r="2336" spans="1:18" hidden="1">
      <c r="A2336" s="28">
        <v>12</v>
      </c>
      <c r="B2336" s="29" t="s">
        <v>195</v>
      </c>
      <c r="C2336" s="29" t="s">
        <v>196</v>
      </c>
      <c r="D2336" s="29" t="s">
        <v>197</v>
      </c>
      <c r="E2336" s="29" t="s">
        <v>172</v>
      </c>
      <c r="F2336" s="28" t="s">
        <v>5445</v>
      </c>
      <c r="G2336" s="28" t="s">
        <v>5446</v>
      </c>
      <c r="H2336" s="28" t="s">
        <v>174</v>
      </c>
      <c r="I2336" s="28" t="s">
        <v>174</v>
      </c>
      <c r="J2336" s="30" t="s">
        <v>174</v>
      </c>
      <c r="K2336" s="28" t="s">
        <v>485</v>
      </c>
      <c r="L2336" s="31">
        <v>42401</v>
      </c>
      <c r="M2336" s="28">
        <v>2</v>
      </c>
      <c r="N2336" s="32" t="s">
        <v>176</v>
      </c>
      <c r="O2336" s="28" t="s">
        <v>204</v>
      </c>
      <c r="P2336" s="28" t="s">
        <v>5464</v>
      </c>
      <c r="Q2336" s="28" t="s">
        <v>5465</v>
      </c>
      <c r="R2336" s="28" t="s">
        <v>5466</v>
      </c>
    </row>
    <row r="2337" spans="1:18" hidden="1">
      <c r="A2337" s="28">
        <v>12</v>
      </c>
      <c r="B2337" s="29" t="s">
        <v>195</v>
      </c>
      <c r="C2337" s="29" t="s">
        <v>196</v>
      </c>
      <c r="D2337" s="29" t="s">
        <v>197</v>
      </c>
      <c r="E2337" s="29" t="s">
        <v>172</v>
      </c>
      <c r="F2337" s="28" t="s">
        <v>5445</v>
      </c>
      <c r="G2337" s="28" t="s">
        <v>5450</v>
      </c>
      <c r="H2337" s="28" t="s">
        <v>174</v>
      </c>
      <c r="I2337" s="28" t="s">
        <v>174</v>
      </c>
      <c r="J2337" s="30" t="s">
        <v>174</v>
      </c>
      <c r="K2337" s="28" t="s">
        <v>208</v>
      </c>
      <c r="L2337" s="31">
        <v>43101</v>
      </c>
      <c r="M2337" s="28">
        <v>1</v>
      </c>
      <c r="N2337" s="32" t="s">
        <v>176</v>
      </c>
      <c r="O2337" s="28" t="s">
        <v>204</v>
      </c>
      <c r="P2337" s="28" t="s">
        <v>5467</v>
      </c>
      <c r="Q2337" s="28" t="s">
        <v>5468</v>
      </c>
      <c r="R2337" s="28" t="s">
        <v>5469</v>
      </c>
    </row>
    <row r="2338" spans="1:18" hidden="1">
      <c r="A2338" s="28">
        <v>12</v>
      </c>
      <c r="B2338" s="29" t="s">
        <v>195</v>
      </c>
      <c r="C2338" s="29" t="s">
        <v>196</v>
      </c>
      <c r="D2338" s="29" t="s">
        <v>197</v>
      </c>
      <c r="E2338" s="29" t="s">
        <v>172</v>
      </c>
      <c r="F2338" s="28" t="s">
        <v>5445</v>
      </c>
      <c r="G2338" s="28" t="s">
        <v>5450</v>
      </c>
      <c r="H2338" s="28" t="s">
        <v>174</v>
      </c>
      <c r="I2338" s="28" t="s">
        <v>174</v>
      </c>
      <c r="J2338" s="30" t="s">
        <v>174</v>
      </c>
      <c r="K2338" s="28" t="s">
        <v>212</v>
      </c>
      <c r="L2338" s="31">
        <v>43313</v>
      </c>
      <c r="M2338" s="28">
        <v>8</v>
      </c>
      <c r="N2338" s="32" t="s">
        <v>184</v>
      </c>
      <c r="O2338" s="28" t="s">
        <v>2537</v>
      </c>
      <c r="P2338" s="28" t="s">
        <v>5470</v>
      </c>
      <c r="Q2338" s="28" t="s">
        <v>5471</v>
      </c>
      <c r="R2338" s="28" t="s">
        <v>5472</v>
      </c>
    </row>
    <row r="2339" spans="1:18" hidden="1">
      <c r="A2339" s="28">
        <v>12</v>
      </c>
      <c r="B2339" s="29" t="s">
        <v>195</v>
      </c>
      <c r="C2339" s="29" t="s">
        <v>196</v>
      </c>
      <c r="D2339" s="29" t="s">
        <v>197</v>
      </c>
      <c r="E2339" s="29" t="s">
        <v>172</v>
      </c>
      <c r="F2339" s="28" t="s">
        <v>5445</v>
      </c>
      <c r="G2339" s="28" t="s">
        <v>5446</v>
      </c>
      <c r="H2339" s="28" t="s">
        <v>174</v>
      </c>
      <c r="I2339" s="28" t="s">
        <v>174</v>
      </c>
      <c r="J2339" s="30" t="s">
        <v>174</v>
      </c>
      <c r="K2339" s="28" t="s">
        <v>504</v>
      </c>
      <c r="L2339" s="31">
        <v>43922</v>
      </c>
      <c r="M2339" s="28">
        <v>4</v>
      </c>
      <c r="N2339" s="32" t="s">
        <v>191</v>
      </c>
      <c r="O2339" s="28" t="s">
        <v>177</v>
      </c>
      <c r="P2339" s="28" t="s">
        <v>5473</v>
      </c>
      <c r="Q2339" s="28" t="s">
        <v>5474</v>
      </c>
      <c r="R2339" s="28" t="s">
        <v>5475</v>
      </c>
    </row>
    <row r="2340" spans="1:18" hidden="1">
      <c r="A2340" s="28">
        <v>12</v>
      </c>
      <c r="B2340" s="29" t="s">
        <v>195</v>
      </c>
      <c r="C2340" s="29" t="s">
        <v>202</v>
      </c>
      <c r="D2340" s="29" t="s">
        <v>203</v>
      </c>
      <c r="E2340" s="29" t="s">
        <v>172</v>
      </c>
      <c r="F2340" s="28" t="s">
        <v>5445</v>
      </c>
      <c r="G2340" s="28" t="s">
        <v>5450</v>
      </c>
      <c r="H2340" s="28" t="s">
        <v>174</v>
      </c>
      <c r="I2340" s="28" t="s">
        <v>174</v>
      </c>
      <c r="J2340" s="30" t="s">
        <v>174</v>
      </c>
      <c r="K2340" s="28" t="s">
        <v>198</v>
      </c>
      <c r="L2340" s="31">
        <v>42767</v>
      </c>
      <c r="M2340" s="28">
        <v>2</v>
      </c>
      <c r="N2340" s="32" t="s">
        <v>176</v>
      </c>
      <c r="O2340" s="28" t="s">
        <v>204</v>
      </c>
      <c r="P2340" s="28" t="s">
        <v>5476</v>
      </c>
      <c r="Q2340" s="28" t="s">
        <v>5477</v>
      </c>
      <c r="R2340" s="28" t="s">
        <v>5478</v>
      </c>
    </row>
    <row r="2341" spans="1:18" hidden="1">
      <c r="A2341" s="28">
        <v>12</v>
      </c>
      <c r="B2341" s="29" t="s">
        <v>195</v>
      </c>
      <c r="C2341" s="29" t="s">
        <v>202</v>
      </c>
      <c r="D2341" s="29" t="s">
        <v>203</v>
      </c>
      <c r="E2341" s="29" t="s">
        <v>172</v>
      </c>
      <c r="F2341" s="28" t="s">
        <v>5445</v>
      </c>
      <c r="G2341" s="28" t="s">
        <v>5450</v>
      </c>
      <c r="H2341" s="28" t="s">
        <v>174</v>
      </c>
      <c r="I2341" s="28" t="s">
        <v>174</v>
      </c>
      <c r="J2341" s="30" t="s">
        <v>174</v>
      </c>
      <c r="K2341" s="28" t="s">
        <v>435</v>
      </c>
      <c r="L2341" s="31">
        <v>43040</v>
      </c>
      <c r="M2341" s="28">
        <v>11</v>
      </c>
      <c r="N2341" s="32" t="s">
        <v>191</v>
      </c>
      <c r="O2341" s="28" t="s">
        <v>204</v>
      </c>
      <c r="P2341" s="28" t="s">
        <v>5479</v>
      </c>
      <c r="Q2341" s="28" t="s">
        <v>5477</v>
      </c>
      <c r="R2341" s="28" t="s">
        <v>5478</v>
      </c>
    </row>
    <row r="2342" spans="1:18" hidden="1">
      <c r="A2342" s="28">
        <v>12</v>
      </c>
      <c r="B2342" s="29" t="s">
        <v>195</v>
      </c>
      <c r="C2342" s="29" t="s">
        <v>202</v>
      </c>
      <c r="D2342" s="29" t="s">
        <v>203</v>
      </c>
      <c r="E2342" s="29" t="s">
        <v>172</v>
      </c>
      <c r="F2342" s="28" t="s">
        <v>5445</v>
      </c>
      <c r="G2342" s="28" t="s">
        <v>5450</v>
      </c>
      <c r="H2342" s="28" t="s">
        <v>174</v>
      </c>
      <c r="I2342" s="28" t="s">
        <v>174</v>
      </c>
      <c r="J2342" s="30" t="s">
        <v>174</v>
      </c>
      <c r="K2342" s="28" t="s">
        <v>405</v>
      </c>
      <c r="L2342" s="31">
        <v>43221</v>
      </c>
      <c r="M2342" s="28">
        <v>5</v>
      </c>
      <c r="N2342" s="32" t="s">
        <v>191</v>
      </c>
      <c r="O2342" s="28" t="s">
        <v>204</v>
      </c>
      <c r="P2342" s="28" t="s">
        <v>5480</v>
      </c>
      <c r="Q2342" s="28" t="s">
        <v>5477</v>
      </c>
      <c r="R2342" s="28" t="s">
        <v>5478</v>
      </c>
    </row>
    <row r="2343" spans="1:18" hidden="1">
      <c r="A2343" s="28">
        <v>12</v>
      </c>
      <c r="B2343" s="29" t="s">
        <v>195</v>
      </c>
      <c r="C2343" s="29" t="s">
        <v>202</v>
      </c>
      <c r="D2343" s="29" t="s">
        <v>203</v>
      </c>
      <c r="E2343" s="29" t="s">
        <v>172</v>
      </c>
      <c r="F2343" s="28" t="s">
        <v>5445</v>
      </c>
      <c r="G2343" s="28" t="s">
        <v>5450</v>
      </c>
      <c r="H2343" s="28" t="s">
        <v>174</v>
      </c>
      <c r="I2343" s="28" t="s">
        <v>174</v>
      </c>
      <c r="J2343" s="30" t="s">
        <v>174</v>
      </c>
      <c r="K2343" s="28" t="s">
        <v>559</v>
      </c>
      <c r="L2343" s="31">
        <v>43252</v>
      </c>
      <c r="M2343" s="28">
        <v>6</v>
      </c>
      <c r="N2343" s="32" t="s">
        <v>184</v>
      </c>
      <c r="O2343" s="28" t="s">
        <v>204</v>
      </c>
      <c r="P2343" s="28" t="s">
        <v>5481</v>
      </c>
      <c r="Q2343" s="28" t="s">
        <v>5477</v>
      </c>
      <c r="R2343" s="28" t="s">
        <v>5478</v>
      </c>
    </row>
    <row r="2344" spans="1:18" hidden="1">
      <c r="A2344" s="28">
        <v>12</v>
      </c>
      <c r="B2344" s="29" t="s">
        <v>195</v>
      </c>
      <c r="C2344" s="29" t="s">
        <v>202</v>
      </c>
      <c r="D2344" s="29" t="s">
        <v>203</v>
      </c>
      <c r="E2344" s="29" t="s">
        <v>172</v>
      </c>
      <c r="F2344" s="28" t="s">
        <v>5445</v>
      </c>
      <c r="G2344" s="28" t="s">
        <v>5450</v>
      </c>
      <c r="H2344" s="28" t="s">
        <v>174</v>
      </c>
      <c r="I2344" s="28" t="s">
        <v>174</v>
      </c>
      <c r="J2344" s="30" t="s">
        <v>174</v>
      </c>
      <c r="K2344" s="28" t="s">
        <v>218</v>
      </c>
      <c r="L2344" s="31">
        <v>44044</v>
      </c>
      <c r="M2344" s="28">
        <v>8</v>
      </c>
      <c r="N2344" s="32" t="s">
        <v>184</v>
      </c>
      <c r="O2344" s="28" t="s">
        <v>204</v>
      </c>
      <c r="P2344" s="28" t="s">
        <v>5482</v>
      </c>
      <c r="Q2344" s="28" t="s">
        <v>5477</v>
      </c>
      <c r="R2344" s="28" t="s">
        <v>5478</v>
      </c>
    </row>
    <row r="2345" spans="1:18" hidden="1">
      <c r="A2345" s="28">
        <v>12</v>
      </c>
      <c r="B2345" s="29" t="s">
        <v>195</v>
      </c>
      <c r="C2345" s="29" t="s">
        <v>202</v>
      </c>
      <c r="D2345" s="29" t="s">
        <v>203</v>
      </c>
      <c r="E2345" s="29" t="s">
        <v>172</v>
      </c>
      <c r="F2345" s="28" t="s">
        <v>5445</v>
      </c>
      <c r="G2345" s="28" t="s">
        <v>5450</v>
      </c>
      <c r="H2345" s="28" t="s">
        <v>174</v>
      </c>
      <c r="I2345" s="28" t="s">
        <v>174</v>
      </c>
      <c r="J2345" s="30" t="s">
        <v>174</v>
      </c>
      <c r="K2345" s="28" t="s">
        <v>190</v>
      </c>
      <c r="L2345" s="31">
        <v>44287</v>
      </c>
      <c r="M2345" s="28">
        <v>4</v>
      </c>
      <c r="N2345" s="32" t="s">
        <v>191</v>
      </c>
      <c r="O2345" s="28" t="s">
        <v>204</v>
      </c>
      <c r="P2345" s="28" t="s">
        <v>5483</v>
      </c>
      <c r="Q2345" s="28" t="s">
        <v>5477</v>
      </c>
      <c r="R2345" s="28" t="s">
        <v>5478</v>
      </c>
    </row>
    <row r="2346" spans="1:18" hidden="1">
      <c r="A2346" s="28">
        <v>12</v>
      </c>
      <c r="B2346" s="29" t="s">
        <v>195</v>
      </c>
      <c r="C2346" s="29" t="s">
        <v>202</v>
      </c>
      <c r="D2346" s="29" t="s">
        <v>445</v>
      </c>
      <c r="E2346" s="29" t="s">
        <v>172</v>
      </c>
      <c r="F2346" s="28" t="s">
        <v>5445</v>
      </c>
      <c r="G2346" s="28" t="s">
        <v>5450</v>
      </c>
      <c r="H2346" s="28" t="s">
        <v>174</v>
      </c>
      <c r="I2346" s="28" t="s">
        <v>174</v>
      </c>
      <c r="J2346" s="30" t="s">
        <v>174</v>
      </c>
      <c r="K2346" s="28" t="s">
        <v>232</v>
      </c>
      <c r="L2346" s="31">
        <v>42522</v>
      </c>
      <c r="M2346" s="28">
        <v>6</v>
      </c>
      <c r="N2346" s="32" t="s">
        <v>184</v>
      </c>
      <c r="O2346" s="28" t="s">
        <v>2537</v>
      </c>
      <c r="P2346" s="28" t="s">
        <v>5484</v>
      </c>
      <c r="Q2346" s="28" t="s">
        <v>5485</v>
      </c>
      <c r="R2346" s="28" t="s">
        <v>5486</v>
      </c>
    </row>
    <row r="2347" spans="1:18" hidden="1">
      <c r="A2347" s="28">
        <v>12</v>
      </c>
      <c r="B2347" s="29" t="s">
        <v>195</v>
      </c>
      <c r="C2347" s="29" t="s">
        <v>1391</v>
      </c>
      <c r="D2347" s="29" t="s">
        <v>3432</v>
      </c>
      <c r="E2347" s="29" t="s">
        <v>172</v>
      </c>
      <c r="F2347" s="28" t="s">
        <v>5445</v>
      </c>
      <c r="G2347" s="28" t="s">
        <v>5446</v>
      </c>
      <c r="H2347" s="28" t="s">
        <v>174</v>
      </c>
      <c r="I2347" s="28" t="s">
        <v>174</v>
      </c>
      <c r="J2347" s="30" t="s">
        <v>174</v>
      </c>
      <c r="K2347" s="28" t="s">
        <v>183</v>
      </c>
      <c r="L2347" s="31">
        <v>43983</v>
      </c>
      <c r="M2347" s="28">
        <v>6</v>
      </c>
      <c r="N2347" s="32" t="s">
        <v>184</v>
      </c>
      <c r="O2347" s="28" t="s">
        <v>204</v>
      </c>
      <c r="P2347" s="28" t="s">
        <v>5487</v>
      </c>
      <c r="Q2347" s="28" t="s">
        <v>5488</v>
      </c>
      <c r="R2347" s="28" t="s">
        <v>4140</v>
      </c>
    </row>
    <row r="2348" spans="1:18" hidden="1">
      <c r="A2348" s="28">
        <v>12</v>
      </c>
      <c r="B2348" s="29" t="s">
        <v>195</v>
      </c>
      <c r="C2348" s="29" t="s">
        <v>1391</v>
      </c>
      <c r="D2348" s="29" t="s">
        <v>5489</v>
      </c>
      <c r="E2348" s="29" t="s">
        <v>172</v>
      </c>
      <c r="F2348" s="28" t="s">
        <v>5445</v>
      </c>
      <c r="G2348" s="28" t="s">
        <v>5450</v>
      </c>
      <c r="H2348" s="28" t="s">
        <v>174</v>
      </c>
      <c r="I2348" s="28" t="s">
        <v>174</v>
      </c>
      <c r="J2348" s="30" t="s">
        <v>174</v>
      </c>
      <c r="K2348" s="28" t="s">
        <v>257</v>
      </c>
      <c r="L2348" s="31">
        <v>42552</v>
      </c>
      <c r="M2348" s="28">
        <v>7</v>
      </c>
      <c r="N2348" s="32" t="s">
        <v>184</v>
      </c>
      <c r="O2348" s="28" t="s">
        <v>2537</v>
      </c>
      <c r="P2348" s="28" t="s">
        <v>5490</v>
      </c>
      <c r="Q2348" s="28" t="s">
        <v>5491</v>
      </c>
      <c r="R2348" s="28" t="s">
        <v>5492</v>
      </c>
    </row>
    <row r="2349" spans="1:18" hidden="1">
      <c r="A2349" s="28">
        <v>12</v>
      </c>
      <c r="B2349" s="29" t="s">
        <v>195</v>
      </c>
      <c r="C2349" s="29" t="s">
        <v>1391</v>
      </c>
      <c r="D2349" s="29" t="s">
        <v>5489</v>
      </c>
      <c r="E2349" s="29" t="s">
        <v>172</v>
      </c>
      <c r="F2349" s="28" t="s">
        <v>5445</v>
      </c>
      <c r="G2349" s="28" t="s">
        <v>5450</v>
      </c>
      <c r="H2349" s="28" t="s">
        <v>174</v>
      </c>
      <c r="I2349" s="28" t="s">
        <v>174</v>
      </c>
      <c r="J2349" s="30" t="s">
        <v>174</v>
      </c>
      <c r="K2349" s="28" t="s">
        <v>361</v>
      </c>
      <c r="L2349" s="31">
        <v>43435</v>
      </c>
      <c r="M2349" s="28">
        <v>12</v>
      </c>
      <c r="N2349" s="32" t="s">
        <v>176</v>
      </c>
      <c r="O2349" s="28" t="s">
        <v>2537</v>
      </c>
      <c r="P2349" s="28" t="s">
        <v>5493</v>
      </c>
      <c r="Q2349" s="28" t="s">
        <v>5494</v>
      </c>
      <c r="R2349" s="28" t="s">
        <v>5495</v>
      </c>
    </row>
    <row r="2350" spans="1:18" hidden="1">
      <c r="A2350" s="28">
        <v>12</v>
      </c>
      <c r="B2350" s="29" t="s">
        <v>195</v>
      </c>
      <c r="C2350" s="29" t="s">
        <v>1391</v>
      </c>
      <c r="D2350" s="29" t="s">
        <v>5496</v>
      </c>
      <c r="E2350" s="29" t="s">
        <v>172</v>
      </c>
      <c r="F2350" s="28" t="s">
        <v>5445</v>
      </c>
      <c r="G2350" s="28" t="s">
        <v>5450</v>
      </c>
      <c r="H2350" s="28" t="s">
        <v>174</v>
      </c>
      <c r="I2350" s="28" t="s">
        <v>174</v>
      </c>
      <c r="J2350" s="30" t="s">
        <v>174</v>
      </c>
      <c r="K2350" s="28" t="s">
        <v>236</v>
      </c>
      <c r="L2350" s="31">
        <v>43617</v>
      </c>
      <c r="M2350" s="28">
        <v>6</v>
      </c>
      <c r="N2350" s="32" t="s">
        <v>184</v>
      </c>
      <c r="O2350" s="28" t="s">
        <v>2537</v>
      </c>
      <c r="P2350" s="28" t="s">
        <v>5497</v>
      </c>
      <c r="Q2350" s="28" t="s">
        <v>5498</v>
      </c>
      <c r="R2350" s="28" t="s">
        <v>5492</v>
      </c>
    </row>
    <row r="2351" spans="1:18" hidden="1">
      <c r="A2351" s="28">
        <v>12</v>
      </c>
      <c r="B2351" s="29" t="s">
        <v>195</v>
      </c>
      <c r="C2351" s="29" t="s">
        <v>230</v>
      </c>
      <c r="D2351" s="29" t="s">
        <v>231</v>
      </c>
      <c r="E2351" s="29" t="s">
        <v>172</v>
      </c>
      <c r="F2351" s="28" t="s">
        <v>5445</v>
      </c>
      <c r="G2351" s="28" t="s">
        <v>5450</v>
      </c>
      <c r="H2351" s="28" t="s">
        <v>174</v>
      </c>
      <c r="I2351" s="28" t="s">
        <v>174</v>
      </c>
      <c r="J2351" s="30" t="s">
        <v>174</v>
      </c>
      <c r="K2351" s="28" t="s">
        <v>175</v>
      </c>
      <c r="L2351" s="31">
        <v>42339</v>
      </c>
      <c r="M2351" s="28">
        <v>12</v>
      </c>
      <c r="N2351" s="32" t="s">
        <v>176</v>
      </c>
      <c r="O2351" s="28" t="s">
        <v>2537</v>
      </c>
      <c r="P2351" s="28" t="s">
        <v>5499</v>
      </c>
      <c r="Q2351" s="28" t="s">
        <v>5500</v>
      </c>
      <c r="R2351" s="28" t="s">
        <v>5501</v>
      </c>
    </row>
    <row r="2352" spans="1:18" hidden="1">
      <c r="A2352" s="28">
        <v>12</v>
      </c>
      <c r="B2352" s="29" t="s">
        <v>195</v>
      </c>
      <c r="C2352" s="29" t="s">
        <v>230</v>
      </c>
      <c r="D2352" s="29" t="s">
        <v>231</v>
      </c>
      <c r="E2352" s="29" t="s">
        <v>172</v>
      </c>
      <c r="F2352" s="28" t="s">
        <v>5445</v>
      </c>
      <c r="G2352" s="28" t="s">
        <v>5450</v>
      </c>
      <c r="H2352" s="28" t="s">
        <v>174</v>
      </c>
      <c r="I2352" s="28" t="s">
        <v>174</v>
      </c>
      <c r="J2352" s="30" t="s">
        <v>174</v>
      </c>
      <c r="K2352" s="28" t="s">
        <v>335</v>
      </c>
      <c r="L2352" s="31">
        <v>42614</v>
      </c>
      <c r="M2352" s="28">
        <v>9</v>
      </c>
      <c r="N2352" s="32" t="s">
        <v>191</v>
      </c>
      <c r="O2352" s="28" t="s">
        <v>2537</v>
      </c>
      <c r="P2352" s="28" t="s">
        <v>5502</v>
      </c>
      <c r="Q2352" s="28" t="s">
        <v>5503</v>
      </c>
      <c r="R2352" s="28" t="s">
        <v>5504</v>
      </c>
    </row>
    <row r="2353" spans="1:18" hidden="1">
      <c r="A2353" s="28">
        <v>12</v>
      </c>
      <c r="B2353" s="29" t="s">
        <v>195</v>
      </c>
      <c r="C2353" s="29" t="s">
        <v>230</v>
      </c>
      <c r="D2353" s="29" t="s">
        <v>231</v>
      </c>
      <c r="E2353" s="29" t="s">
        <v>172</v>
      </c>
      <c r="F2353" s="28" t="s">
        <v>5445</v>
      </c>
      <c r="G2353" s="28" t="s">
        <v>5450</v>
      </c>
      <c r="H2353" s="28" t="s">
        <v>174</v>
      </c>
      <c r="I2353" s="28" t="s">
        <v>174</v>
      </c>
      <c r="J2353" s="30" t="s">
        <v>174</v>
      </c>
      <c r="K2353" s="28" t="s">
        <v>742</v>
      </c>
      <c r="L2353" s="31">
        <v>42948</v>
      </c>
      <c r="M2353" s="28">
        <v>8</v>
      </c>
      <c r="N2353" s="32" t="s">
        <v>184</v>
      </c>
      <c r="O2353" s="28" t="s">
        <v>2537</v>
      </c>
      <c r="P2353" s="28" t="s">
        <v>5505</v>
      </c>
      <c r="Q2353" s="28" t="s">
        <v>5500</v>
      </c>
      <c r="R2353" s="28" t="s">
        <v>5501</v>
      </c>
    </row>
    <row r="2354" spans="1:18" hidden="1">
      <c r="A2354" s="28">
        <v>12</v>
      </c>
      <c r="B2354" s="29" t="s">
        <v>195</v>
      </c>
      <c r="C2354" s="29" t="s">
        <v>230</v>
      </c>
      <c r="D2354" s="29" t="s">
        <v>231</v>
      </c>
      <c r="E2354" s="29" t="s">
        <v>172</v>
      </c>
      <c r="F2354" s="28" t="s">
        <v>5445</v>
      </c>
      <c r="G2354" s="28" t="s">
        <v>5450</v>
      </c>
      <c r="H2354" s="28" t="s">
        <v>174</v>
      </c>
      <c r="I2354" s="28" t="s">
        <v>174</v>
      </c>
      <c r="J2354" s="30" t="s">
        <v>174</v>
      </c>
      <c r="K2354" s="28" t="s">
        <v>214</v>
      </c>
      <c r="L2354" s="31">
        <v>43466</v>
      </c>
      <c r="M2354" s="28">
        <v>1</v>
      </c>
      <c r="N2354" s="32" t="s">
        <v>176</v>
      </c>
      <c r="O2354" s="28" t="s">
        <v>2537</v>
      </c>
      <c r="P2354" s="28" t="s">
        <v>5506</v>
      </c>
      <c r="Q2354" s="28" t="s">
        <v>5500</v>
      </c>
      <c r="R2354" s="28" t="s">
        <v>5501</v>
      </c>
    </row>
    <row r="2355" spans="1:18" hidden="1">
      <c r="A2355" s="28">
        <v>12</v>
      </c>
      <c r="B2355" s="29" t="s">
        <v>195</v>
      </c>
      <c r="C2355" s="29" t="s">
        <v>230</v>
      </c>
      <c r="D2355" s="29" t="s">
        <v>231</v>
      </c>
      <c r="E2355" s="29" t="s">
        <v>172</v>
      </c>
      <c r="F2355" s="28" t="s">
        <v>5445</v>
      </c>
      <c r="G2355" s="28" t="s">
        <v>5450</v>
      </c>
      <c r="H2355" s="28" t="s">
        <v>174</v>
      </c>
      <c r="I2355" s="28" t="s">
        <v>174</v>
      </c>
      <c r="J2355" s="30" t="s">
        <v>174</v>
      </c>
      <c r="K2355" s="28" t="s">
        <v>5507</v>
      </c>
      <c r="L2355" s="31" t="s">
        <v>221</v>
      </c>
      <c r="M2355" s="28" t="e">
        <v>#VALUE!</v>
      </c>
      <c r="N2355" s="32" t="e">
        <v>#VALUE!</v>
      </c>
      <c r="O2355" s="28" t="s">
        <v>2054</v>
      </c>
      <c r="P2355" s="28" t="s">
        <v>5508</v>
      </c>
      <c r="Q2355" s="28" t="s">
        <v>5509</v>
      </c>
      <c r="R2355" s="28" t="s">
        <v>5510</v>
      </c>
    </row>
    <row r="2356" spans="1:18" hidden="1">
      <c r="A2356" s="28">
        <v>2</v>
      </c>
      <c r="B2356" s="29" t="s">
        <v>240</v>
      </c>
      <c r="C2356" s="29" t="s">
        <v>241</v>
      </c>
      <c r="D2356" s="29" t="s">
        <v>242</v>
      </c>
      <c r="E2356" s="29" t="s">
        <v>172</v>
      </c>
      <c r="F2356" s="28" t="s">
        <v>5445</v>
      </c>
      <c r="G2356" s="28" t="s">
        <v>5450</v>
      </c>
      <c r="H2356" s="28" t="s">
        <v>174</v>
      </c>
      <c r="I2356" s="28" t="s">
        <v>174</v>
      </c>
      <c r="J2356" s="30" t="s">
        <v>174</v>
      </c>
      <c r="K2356" s="28" t="s">
        <v>473</v>
      </c>
      <c r="L2356" s="31">
        <v>43160</v>
      </c>
      <c r="M2356" s="28">
        <v>3</v>
      </c>
      <c r="N2356" s="32" t="s">
        <v>191</v>
      </c>
      <c r="O2356" s="28" t="s">
        <v>2537</v>
      </c>
      <c r="P2356" s="28" t="s">
        <v>5511</v>
      </c>
      <c r="Q2356" s="28" t="s">
        <v>5512</v>
      </c>
      <c r="R2356" s="28" t="s">
        <v>5492</v>
      </c>
    </row>
    <row r="2357" spans="1:18" hidden="1">
      <c r="A2357" s="28">
        <v>2</v>
      </c>
      <c r="B2357" s="29" t="s">
        <v>240</v>
      </c>
      <c r="C2357" s="29" t="s">
        <v>261</v>
      </c>
      <c r="D2357" s="29" t="s">
        <v>262</v>
      </c>
      <c r="E2357" s="29" t="s">
        <v>172</v>
      </c>
      <c r="F2357" s="28" t="s">
        <v>5445</v>
      </c>
      <c r="G2357" s="28" t="s">
        <v>5450</v>
      </c>
      <c r="H2357" s="28" t="s">
        <v>174</v>
      </c>
      <c r="I2357" s="28" t="s">
        <v>174</v>
      </c>
      <c r="J2357" s="30" t="s">
        <v>174</v>
      </c>
      <c r="K2357" s="28" t="s">
        <v>267</v>
      </c>
      <c r="L2357" s="31">
        <v>42583</v>
      </c>
      <c r="M2357" s="28">
        <v>8</v>
      </c>
      <c r="N2357" s="32" t="s">
        <v>184</v>
      </c>
      <c r="O2357" s="28" t="s">
        <v>2537</v>
      </c>
      <c r="P2357" s="28" t="s">
        <v>5513</v>
      </c>
      <c r="Q2357" s="28" t="s">
        <v>5514</v>
      </c>
      <c r="R2357" s="28" t="s">
        <v>5515</v>
      </c>
    </row>
    <row r="2358" spans="1:18" hidden="1">
      <c r="A2358" s="28">
        <v>2</v>
      </c>
      <c r="B2358" s="29" t="s">
        <v>240</v>
      </c>
      <c r="C2358" s="29" t="s">
        <v>261</v>
      </c>
      <c r="D2358" s="29" t="s">
        <v>532</v>
      </c>
      <c r="E2358" s="29" t="s">
        <v>172</v>
      </c>
      <c r="F2358" s="28" t="s">
        <v>5445</v>
      </c>
      <c r="G2358" s="28" t="s">
        <v>5450</v>
      </c>
      <c r="H2358" s="28" t="s">
        <v>174</v>
      </c>
      <c r="I2358" s="28" t="s">
        <v>174</v>
      </c>
      <c r="J2358" s="30" t="s">
        <v>174</v>
      </c>
      <c r="K2358" s="28" t="s">
        <v>257</v>
      </c>
      <c r="L2358" s="31">
        <v>42552</v>
      </c>
      <c r="M2358" s="28">
        <v>7</v>
      </c>
      <c r="N2358" s="32" t="s">
        <v>184</v>
      </c>
      <c r="O2358" s="28" t="s">
        <v>2537</v>
      </c>
      <c r="P2358" s="28" t="s">
        <v>5516</v>
      </c>
      <c r="Q2358" s="28" t="s">
        <v>5517</v>
      </c>
      <c r="R2358" s="28" t="s">
        <v>5518</v>
      </c>
    </row>
    <row r="2359" spans="1:18">
      <c r="A2359" s="28">
        <v>3</v>
      </c>
      <c r="B2359" s="29" t="s">
        <v>286</v>
      </c>
      <c r="C2359" s="29" t="s">
        <v>287</v>
      </c>
      <c r="D2359" s="29" t="s">
        <v>288</v>
      </c>
      <c r="E2359" s="29" t="s">
        <v>172</v>
      </c>
      <c r="F2359" s="28" t="s">
        <v>5445</v>
      </c>
      <c r="G2359" s="28" t="s">
        <v>5446</v>
      </c>
      <c r="H2359" s="28" t="s">
        <v>174</v>
      </c>
      <c r="I2359" s="28" t="s">
        <v>174</v>
      </c>
      <c r="J2359" s="30" t="s">
        <v>174</v>
      </c>
      <c r="K2359" s="28" t="s">
        <v>424</v>
      </c>
      <c r="L2359" s="31">
        <v>43678</v>
      </c>
      <c r="M2359" s="28">
        <v>8</v>
      </c>
      <c r="N2359" s="32" t="s">
        <v>184</v>
      </c>
      <c r="O2359" s="28" t="s">
        <v>204</v>
      </c>
      <c r="P2359" s="28" t="s">
        <v>5519</v>
      </c>
      <c r="Q2359" s="28" t="s">
        <v>5520</v>
      </c>
      <c r="R2359" s="28" t="s">
        <v>5521</v>
      </c>
    </row>
    <row r="2360" spans="1:18" hidden="1">
      <c r="A2360" s="28">
        <v>4</v>
      </c>
      <c r="B2360" s="29" t="s">
        <v>306</v>
      </c>
      <c r="C2360" s="29" t="s">
        <v>307</v>
      </c>
      <c r="D2360" s="29" t="s">
        <v>308</v>
      </c>
      <c r="E2360" s="29" t="s">
        <v>172</v>
      </c>
      <c r="F2360" s="28" t="s">
        <v>5445</v>
      </c>
      <c r="G2360" s="28" t="s">
        <v>5450</v>
      </c>
      <c r="H2360" s="28" t="s">
        <v>174</v>
      </c>
      <c r="I2360" s="28" t="s">
        <v>174</v>
      </c>
      <c r="J2360" s="30" t="s">
        <v>174</v>
      </c>
      <c r="K2360" s="28" t="s">
        <v>651</v>
      </c>
      <c r="L2360" s="31">
        <v>42644</v>
      </c>
      <c r="M2360" s="28">
        <v>10</v>
      </c>
      <c r="N2360" s="32" t="s">
        <v>191</v>
      </c>
      <c r="O2360" s="28" t="s">
        <v>2537</v>
      </c>
      <c r="P2360" s="28" t="s">
        <v>5522</v>
      </c>
      <c r="Q2360" s="28" t="s">
        <v>5523</v>
      </c>
      <c r="R2360" s="28" t="s">
        <v>5524</v>
      </c>
    </row>
    <row r="2361" spans="1:18" hidden="1">
      <c r="A2361" s="28">
        <v>4</v>
      </c>
      <c r="B2361" s="29" t="s">
        <v>306</v>
      </c>
      <c r="C2361" s="29" t="s">
        <v>312</v>
      </c>
      <c r="D2361" s="29" t="s">
        <v>313</v>
      </c>
      <c r="E2361" s="29" t="s">
        <v>172</v>
      </c>
      <c r="F2361" s="28" t="s">
        <v>5445</v>
      </c>
      <c r="G2361" s="28" t="s">
        <v>5450</v>
      </c>
      <c r="H2361" s="28" t="s">
        <v>174</v>
      </c>
      <c r="I2361" s="28" t="s">
        <v>174</v>
      </c>
      <c r="J2361" s="30" t="s">
        <v>174</v>
      </c>
      <c r="K2361" s="28" t="s">
        <v>263</v>
      </c>
      <c r="L2361" s="31">
        <v>42430</v>
      </c>
      <c r="M2361" s="28">
        <v>3</v>
      </c>
      <c r="N2361" s="32" t="s">
        <v>191</v>
      </c>
      <c r="O2361" s="28" t="s">
        <v>2537</v>
      </c>
      <c r="P2361" s="28" t="s">
        <v>5525</v>
      </c>
      <c r="Q2361" s="28" t="s">
        <v>5526</v>
      </c>
      <c r="R2361" s="28" t="s">
        <v>5527</v>
      </c>
    </row>
    <row r="2362" spans="1:18" hidden="1">
      <c r="A2362" s="28">
        <v>4</v>
      </c>
      <c r="B2362" s="29" t="s">
        <v>306</v>
      </c>
      <c r="C2362" s="29" t="s">
        <v>312</v>
      </c>
      <c r="D2362" s="29" t="s">
        <v>313</v>
      </c>
      <c r="E2362" s="29" t="s">
        <v>172</v>
      </c>
      <c r="F2362" s="28" t="s">
        <v>5445</v>
      </c>
      <c r="G2362" s="28" t="s">
        <v>5450</v>
      </c>
      <c r="H2362" s="28" t="s">
        <v>174</v>
      </c>
      <c r="I2362" s="28" t="s">
        <v>174</v>
      </c>
      <c r="J2362" s="30" t="s">
        <v>174</v>
      </c>
      <c r="K2362" s="28" t="s">
        <v>5528</v>
      </c>
      <c r="L2362" s="31">
        <v>43252</v>
      </c>
      <c r="M2362" s="28">
        <v>6</v>
      </c>
      <c r="N2362" s="32" t="s">
        <v>184</v>
      </c>
      <c r="O2362" s="28" t="s">
        <v>2537</v>
      </c>
      <c r="P2362" s="28" t="s">
        <v>5529</v>
      </c>
      <c r="Q2362" s="28" t="s">
        <v>5530</v>
      </c>
      <c r="R2362" s="28" t="s">
        <v>5527</v>
      </c>
    </row>
    <row r="2363" spans="1:18" hidden="1">
      <c r="A2363" s="28">
        <v>4</v>
      </c>
      <c r="B2363" s="29" t="s">
        <v>306</v>
      </c>
      <c r="C2363" s="29" t="s">
        <v>333</v>
      </c>
      <c r="D2363" s="29" t="s">
        <v>673</v>
      </c>
      <c r="E2363" s="29" t="s">
        <v>172</v>
      </c>
      <c r="F2363" s="28" t="s">
        <v>5445</v>
      </c>
      <c r="G2363" s="28" t="s">
        <v>5450</v>
      </c>
      <c r="H2363" s="28" t="s">
        <v>174</v>
      </c>
      <c r="I2363" s="28" t="s">
        <v>174</v>
      </c>
      <c r="J2363" s="30" t="s">
        <v>174</v>
      </c>
      <c r="K2363" s="28" t="s">
        <v>232</v>
      </c>
      <c r="L2363" s="31">
        <v>42522</v>
      </c>
      <c r="M2363" s="28">
        <v>6</v>
      </c>
      <c r="N2363" s="32" t="s">
        <v>184</v>
      </c>
      <c r="O2363" s="28" t="s">
        <v>2537</v>
      </c>
      <c r="P2363" s="28" t="s">
        <v>5531</v>
      </c>
      <c r="Q2363" s="28" t="s">
        <v>5532</v>
      </c>
      <c r="R2363" s="28" t="s">
        <v>5533</v>
      </c>
    </row>
    <row r="2364" spans="1:18" hidden="1">
      <c r="A2364" s="28">
        <v>4</v>
      </c>
      <c r="B2364" s="29" t="s">
        <v>306</v>
      </c>
      <c r="C2364" s="29" t="s">
        <v>339</v>
      </c>
      <c r="D2364" s="29" t="s">
        <v>687</v>
      </c>
      <c r="E2364" s="29" t="s">
        <v>172</v>
      </c>
      <c r="F2364" s="28" t="s">
        <v>5445</v>
      </c>
      <c r="G2364" s="28" t="s">
        <v>5450</v>
      </c>
      <c r="H2364" s="28" t="s">
        <v>174</v>
      </c>
      <c r="I2364" s="28" t="s">
        <v>174</v>
      </c>
      <c r="J2364" s="30" t="s">
        <v>174</v>
      </c>
      <c r="K2364" s="28" t="s">
        <v>643</v>
      </c>
      <c r="L2364" s="31">
        <v>44013</v>
      </c>
      <c r="M2364" s="28">
        <v>7</v>
      </c>
      <c r="N2364" s="32" t="s">
        <v>184</v>
      </c>
      <c r="O2364" s="28" t="s">
        <v>204</v>
      </c>
      <c r="P2364" s="28" t="s">
        <v>5534</v>
      </c>
      <c r="Q2364" s="28" t="s">
        <v>5535</v>
      </c>
      <c r="R2364" s="28" t="s">
        <v>5536</v>
      </c>
    </row>
    <row r="2365" spans="1:18" hidden="1">
      <c r="A2365" s="28">
        <v>4</v>
      </c>
      <c r="B2365" s="29" t="s">
        <v>306</v>
      </c>
      <c r="C2365" s="29" t="s">
        <v>339</v>
      </c>
      <c r="D2365" s="29" t="s">
        <v>687</v>
      </c>
      <c r="E2365" s="29" t="s">
        <v>172</v>
      </c>
      <c r="F2365" s="28" t="s">
        <v>5445</v>
      </c>
      <c r="G2365" s="28" t="s">
        <v>5450</v>
      </c>
      <c r="H2365" s="28" t="s">
        <v>174</v>
      </c>
      <c r="I2365" s="28" t="s">
        <v>174</v>
      </c>
      <c r="J2365" s="30" t="s">
        <v>174</v>
      </c>
      <c r="K2365" s="28" t="s">
        <v>554</v>
      </c>
      <c r="L2365" s="31">
        <v>44317</v>
      </c>
      <c r="M2365" s="28">
        <v>5</v>
      </c>
      <c r="N2365" s="32" t="s">
        <v>191</v>
      </c>
      <c r="O2365" s="28" t="s">
        <v>2537</v>
      </c>
      <c r="P2365" s="28" t="s">
        <v>5537</v>
      </c>
      <c r="Q2365" s="28" t="s">
        <v>5538</v>
      </c>
      <c r="R2365" s="28" t="s">
        <v>5536</v>
      </c>
    </row>
    <row r="2366" spans="1:18" hidden="1">
      <c r="A2366" s="28">
        <v>4</v>
      </c>
      <c r="B2366" s="29" t="s">
        <v>306</v>
      </c>
      <c r="C2366" s="29" t="s">
        <v>339</v>
      </c>
      <c r="D2366" s="29" t="s">
        <v>340</v>
      </c>
      <c r="E2366" s="29" t="s">
        <v>172</v>
      </c>
      <c r="F2366" s="28" t="s">
        <v>5445</v>
      </c>
      <c r="G2366" s="28" t="s">
        <v>5450</v>
      </c>
      <c r="H2366" s="28" t="s">
        <v>174</v>
      </c>
      <c r="I2366" s="28" t="s">
        <v>174</v>
      </c>
      <c r="J2366" s="30" t="s">
        <v>174</v>
      </c>
      <c r="K2366" s="28" t="s">
        <v>236</v>
      </c>
      <c r="L2366" s="31">
        <v>43617</v>
      </c>
      <c r="M2366" s="28">
        <v>6</v>
      </c>
      <c r="N2366" s="32" t="s">
        <v>184</v>
      </c>
      <c r="O2366" s="28" t="s">
        <v>204</v>
      </c>
      <c r="P2366" s="28" t="s">
        <v>5539</v>
      </c>
      <c r="Q2366" s="28" t="s">
        <v>5540</v>
      </c>
      <c r="R2366" s="28" t="s">
        <v>5536</v>
      </c>
    </row>
    <row r="2367" spans="1:18" hidden="1">
      <c r="A2367" s="28">
        <v>5</v>
      </c>
      <c r="B2367" s="29" t="s">
        <v>349</v>
      </c>
      <c r="C2367" s="29" t="s">
        <v>350</v>
      </c>
      <c r="D2367" s="29" t="s">
        <v>714</v>
      </c>
      <c r="E2367" s="29" t="s">
        <v>172</v>
      </c>
      <c r="F2367" s="28" t="s">
        <v>5445</v>
      </c>
      <c r="G2367" s="28" t="s">
        <v>5446</v>
      </c>
      <c r="H2367" s="28" t="s">
        <v>174</v>
      </c>
      <c r="I2367" s="28" t="s">
        <v>174</v>
      </c>
      <c r="J2367" s="30" t="s">
        <v>174</v>
      </c>
      <c r="K2367" s="28" t="s">
        <v>5541</v>
      </c>
      <c r="L2367" s="31" t="s">
        <v>221</v>
      </c>
      <c r="M2367" s="28" t="e">
        <v>#VALUE!</v>
      </c>
      <c r="N2367" s="32" t="e">
        <v>#VALUE!</v>
      </c>
      <c r="O2367" s="28" t="s">
        <v>244</v>
      </c>
      <c r="P2367" s="28" t="s">
        <v>5542</v>
      </c>
      <c r="Q2367" s="28" t="s">
        <v>1358</v>
      </c>
      <c r="R2367" s="28" t="s">
        <v>1359</v>
      </c>
    </row>
    <row r="2368" spans="1:18" hidden="1">
      <c r="A2368" s="28">
        <v>5</v>
      </c>
      <c r="B2368" s="29" t="s">
        <v>349</v>
      </c>
      <c r="C2368" s="29" t="s">
        <v>350</v>
      </c>
      <c r="D2368" s="29" t="s">
        <v>716</v>
      </c>
      <c r="E2368" s="29" t="s">
        <v>172</v>
      </c>
      <c r="F2368" s="28" t="s">
        <v>5445</v>
      </c>
      <c r="G2368" s="28" t="s">
        <v>5450</v>
      </c>
      <c r="H2368" s="28" t="s">
        <v>174</v>
      </c>
      <c r="I2368" s="28" t="s">
        <v>174</v>
      </c>
      <c r="J2368" s="30" t="s">
        <v>174</v>
      </c>
      <c r="K2368" s="28" t="s">
        <v>267</v>
      </c>
      <c r="L2368" s="31">
        <v>42583</v>
      </c>
      <c r="M2368" s="28">
        <v>8</v>
      </c>
      <c r="N2368" s="32" t="s">
        <v>184</v>
      </c>
      <c r="O2368" s="28" t="s">
        <v>2537</v>
      </c>
      <c r="P2368" s="28" t="s">
        <v>5543</v>
      </c>
      <c r="Q2368" s="28" t="s">
        <v>5544</v>
      </c>
      <c r="R2368" s="28" t="s">
        <v>5545</v>
      </c>
    </row>
    <row r="2369" spans="1:18" hidden="1">
      <c r="A2369" s="28">
        <v>5</v>
      </c>
      <c r="B2369" s="29" t="s">
        <v>349</v>
      </c>
      <c r="C2369" s="29" t="s">
        <v>350</v>
      </c>
      <c r="D2369" s="29" t="s">
        <v>716</v>
      </c>
      <c r="E2369" s="29" t="s">
        <v>172</v>
      </c>
      <c r="F2369" s="28" t="s">
        <v>5445</v>
      </c>
      <c r="G2369" s="28" t="s">
        <v>5450</v>
      </c>
      <c r="H2369" s="28" t="s">
        <v>174</v>
      </c>
      <c r="I2369" s="28" t="s">
        <v>174</v>
      </c>
      <c r="J2369" s="30" t="s">
        <v>174</v>
      </c>
      <c r="K2369" s="28" t="s">
        <v>971</v>
      </c>
      <c r="L2369" s="31">
        <v>42979</v>
      </c>
      <c r="M2369" s="28">
        <v>9</v>
      </c>
      <c r="N2369" s="32" t="s">
        <v>191</v>
      </c>
      <c r="O2369" s="28" t="s">
        <v>2537</v>
      </c>
      <c r="P2369" s="28" t="s">
        <v>5546</v>
      </c>
      <c r="Q2369" s="28" t="s">
        <v>5547</v>
      </c>
      <c r="R2369" s="28" t="s">
        <v>5548</v>
      </c>
    </row>
    <row r="2370" spans="1:18" hidden="1">
      <c r="A2370" s="28">
        <v>5</v>
      </c>
      <c r="B2370" s="29" t="s">
        <v>349</v>
      </c>
      <c r="C2370" s="29" t="s">
        <v>350</v>
      </c>
      <c r="D2370" s="29" t="s">
        <v>716</v>
      </c>
      <c r="E2370" s="29" t="s">
        <v>172</v>
      </c>
      <c r="F2370" s="28" t="s">
        <v>5445</v>
      </c>
      <c r="G2370" s="28" t="s">
        <v>5450</v>
      </c>
      <c r="H2370" s="28" t="s">
        <v>174</v>
      </c>
      <c r="I2370" s="28" t="s">
        <v>174</v>
      </c>
      <c r="J2370" s="30" t="s">
        <v>174</v>
      </c>
      <c r="K2370" s="28" t="s">
        <v>473</v>
      </c>
      <c r="L2370" s="31">
        <v>43160</v>
      </c>
      <c r="M2370" s="28">
        <v>3</v>
      </c>
      <c r="N2370" s="32" t="s">
        <v>191</v>
      </c>
      <c r="O2370" s="28" t="s">
        <v>2537</v>
      </c>
      <c r="P2370" s="28" t="s">
        <v>5549</v>
      </c>
      <c r="Q2370" s="28" t="s">
        <v>5550</v>
      </c>
      <c r="R2370" s="28" t="s">
        <v>4696</v>
      </c>
    </row>
    <row r="2371" spans="1:18" hidden="1">
      <c r="A2371" s="28">
        <v>5</v>
      </c>
      <c r="B2371" s="29" t="s">
        <v>349</v>
      </c>
      <c r="C2371" s="29" t="s">
        <v>350</v>
      </c>
      <c r="D2371" s="29" t="s">
        <v>716</v>
      </c>
      <c r="E2371" s="29" t="s">
        <v>172</v>
      </c>
      <c r="F2371" s="28" t="s">
        <v>5445</v>
      </c>
      <c r="G2371" s="28" t="s">
        <v>5450</v>
      </c>
      <c r="H2371" s="28" t="s">
        <v>174</v>
      </c>
      <c r="I2371" s="28" t="s">
        <v>174</v>
      </c>
      <c r="J2371" s="30" t="s">
        <v>174</v>
      </c>
      <c r="K2371" s="28" t="s">
        <v>212</v>
      </c>
      <c r="L2371" s="31">
        <v>43313</v>
      </c>
      <c r="M2371" s="28">
        <v>8</v>
      </c>
      <c r="N2371" s="32" t="s">
        <v>184</v>
      </c>
      <c r="O2371" s="28" t="s">
        <v>2537</v>
      </c>
      <c r="P2371" s="28" t="s">
        <v>5551</v>
      </c>
      <c r="Q2371" s="28" t="s">
        <v>5544</v>
      </c>
      <c r="R2371" s="28" t="s">
        <v>5545</v>
      </c>
    </row>
    <row r="2372" spans="1:18" hidden="1">
      <c r="A2372" s="28">
        <v>5</v>
      </c>
      <c r="B2372" s="29" t="s">
        <v>349</v>
      </c>
      <c r="C2372" s="29" t="s">
        <v>350</v>
      </c>
      <c r="D2372" s="29" t="s">
        <v>716</v>
      </c>
      <c r="E2372" s="29" t="s">
        <v>172</v>
      </c>
      <c r="F2372" s="28" t="s">
        <v>5445</v>
      </c>
      <c r="G2372" s="28" t="s">
        <v>5450</v>
      </c>
      <c r="H2372" s="28" t="s">
        <v>174</v>
      </c>
      <c r="I2372" s="28" t="s">
        <v>174</v>
      </c>
      <c r="J2372" s="30" t="s">
        <v>174</v>
      </c>
      <c r="K2372" s="28" t="s">
        <v>442</v>
      </c>
      <c r="L2372" s="31">
        <v>43647</v>
      </c>
      <c r="M2372" s="28">
        <v>7</v>
      </c>
      <c r="N2372" s="32" t="s">
        <v>184</v>
      </c>
      <c r="O2372" s="28" t="s">
        <v>2537</v>
      </c>
      <c r="P2372" s="28" t="s">
        <v>5552</v>
      </c>
      <c r="Q2372" s="28" t="s">
        <v>5553</v>
      </c>
      <c r="R2372" s="28" t="s">
        <v>4696</v>
      </c>
    </row>
    <row r="2373" spans="1:18" hidden="1">
      <c r="A2373" s="28">
        <v>5</v>
      </c>
      <c r="B2373" s="29" t="s">
        <v>349</v>
      </c>
      <c r="C2373" s="29" t="s">
        <v>350</v>
      </c>
      <c r="D2373" s="29" t="s">
        <v>716</v>
      </c>
      <c r="E2373" s="29" t="s">
        <v>172</v>
      </c>
      <c r="F2373" s="28" t="s">
        <v>5445</v>
      </c>
      <c r="G2373" s="28" t="s">
        <v>5450</v>
      </c>
      <c r="H2373" s="28" t="s">
        <v>174</v>
      </c>
      <c r="I2373" s="28" t="s">
        <v>174</v>
      </c>
      <c r="J2373" s="30" t="s">
        <v>174</v>
      </c>
      <c r="K2373" s="28" t="s">
        <v>752</v>
      </c>
      <c r="L2373" s="31">
        <v>43709</v>
      </c>
      <c r="M2373" s="28">
        <v>9</v>
      </c>
      <c r="N2373" s="32" t="s">
        <v>191</v>
      </c>
      <c r="O2373" s="28" t="s">
        <v>2537</v>
      </c>
      <c r="P2373" s="28" t="s">
        <v>5554</v>
      </c>
      <c r="Q2373" s="28" t="s">
        <v>5555</v>
      </c>
      <c r="R2373" s="28" t="s">
        <v>4696</v>
      </c>
    </row>
    <row r="2374" spans="1:18" hidden="1">
      <c r="A2374" s="28">
        <v>5</v>
      </c>
      <c r="B2374" s="29" t="s">
        <v>349</v>
      </c>
      <c r="C2374" s="29" t="s">
        <v>350</v>
      </c>
      <c r="D2374" s="29" t="s">
        <v>716</v>
      </c>
      <c r="E2374" s="29" t="s">
        <v>172</v>
      </c>
      <c r="F2374" s="28" t="s">
        <v>5445</v>
      </c>
      <c r="G2374" s="28" t="s">
        <v>5450</v>
      </c>
      <c r="H2374" s="28" t="s">
        <v>174</v>
      </c>
      <c r="I2374" s="28" t="s">
        <v>174</v>
      </c>
      <c r="J2374" s="30" t="s">
        <v>174</v>
      </c>
      <c r="K2374" s="28" t="s">
        <v>752</v>
      </c>
      <c r="L2374" s="31">
        <v>43709</v>
      </c>
      <c r="M2374" s="28">
        <v>9</v>
      </c>
      <c r="N2374" s="32" t="s">
        <v>191</v>
      </c>
      <c r="O2374" s="28" t="s">
        <v>2537</v>
      </c>
      <c r="P2374" s="28" t="s">
        <v>5556</v>
      </c>
      <c r="Q2374" s="28" t="s">
        <v>5557</v>
      </c>
      <c r="R2374" s="28" t="s">
        <v>4696</v>
      </c>
    </row>
    <row r="2375" spans="1:18" hidden="1">
      <c r="A2375" s="28">
        <v>5</v>
      </c>
      <c r="B2375" s="29" t="s">
        <v>349</v>
      </c>
      <c r="C2375" s="29" t="s">
        <v>350</v>
      </c>
      <c r="D2375" s="29" t="s">
        <v>716</v>
      </c>
      <c r="E2375" s="29" t="s">
        <v>172</v>
      </c>
      <c r="F2375" s="28" t="s">
        <v>5445</v>
      </c>
      <c r="G2375" s="28" t="s">
        <v>5450</v>
      </c>
      <c r="H2375" s="28" t="s">
        <v>174</v>
      </c>
      <c r="I2375" s="28" t="s">
        <v>174</v>
      </c>
      <c r="J2375" s="30" t="s">
        <v>174</v>
      </c>
      <c r="K2375" s="28" t="s">
        <v>397</v>
      </c>
      <c r="L2375" s="31">
        <v>43739</v>
      </c>
      <c r="M2375" s="28">
        <v>10</v>
      </c>
      <c r="N2375" s="32" t="s">
        <v>191</v>
      </c>
      <c r="O2375" s="28" t="s">
        <v>2537</v>
      </c>
      <c r="P2375" s="28" t="s">
        <v>5558</v>
      </c>
      <c r="Q2375" s="28" t="s">
        <v>5559</v>
      </c>
      <c r="R2375" s="28" t="s">
        <v>5560</v>
      </c>
    </row>
    <row r="2376" spans="1:18" hidden="1">
      <c r="A2376" s="28">
        <v>5</v>
      </c>
      <c r="B2376" s="29" t="s">
        <v>349</v>
      </c>
      <c r="C2376" s="29" t="s">
        <v>350</v>
      </c>
      <c r="D2376" s="29" t="s">
        <v>716</v>
      </c>
      <c r="E2376" s="29" t="s">
        <v>172</v>
      </c>
      <c r="F2376" s="28" t="s">
        <v>5445</v>
      </c>
      <c r="G2376" s="28" t="s">
        <v>5446</v>
      </c>
      <c r="H2376" s="28" t="s">
        <v>174</v>
      </c>
      <c r="I2376" s="28" t="s">
        <v>174</v>
      </c>
      <c r="J2376" s="30" t="s">
        <v>174</v>
      </c>
      <c r="K2376" s="28" t="s">
        <v>397</v>
      </c>
      <c r="L2376" s="31">
        <v>43739</v>
      </c>
      <c r="M2376" s="28">
        <v>10</v>
      </c>
      <c r="N2376" s="32" t="s">
        <v>191</v>
      </c>
      <c r="O2376" s="28" t="s">
        <v>204</v>
      </c>
      <c r="P2376" s="28" t="s">
        <v>5561</v>
      </c>
      <c r="Q2376" s="28" t="s">
        <v>5562</v>
      </c>
      <c r="R2376" s="28" t="s">
        <v>5563</v>
      </c>
    </row>
    <row r="2377" spans="1:18" hidden="1">
      <c r="A2377" s="28">
        <v>5</v>
      </c>
      <c r="B2377" s="29" t="s">
        <v>349</v>
      </c>
      <c r="C2377" s="29" t="s">
        <v>350</v>
      </c>
      <c r="D2377" s="29" t="s">
        <v>716</v>
      </c>
      <c r="E2377" s="29" t="s">
        <v>172</v>
      </c>
      <c r="F2377" s="28" t="s">
        <v>5445</v>
      </c>
      <c r="G2377" s="28" t="s">
        <v>5446</v>
      </c>
      <c r="H2377" s="28" t="s">
        <v>174</v>
      </c>
      <c r="I2377" s="28" t="s">
        <v>174</v>
      </c>
      <c r="J2377" s="30" t="s">
        <v>174</v>
      </c>
      <c r="K2377" s="28" t="s">
        <v>479</v>
      </c>
      <c r="L2377" s="31">
        <v>43770</v>
      </c>
      <c r="M2377" s="28">
        <v>11</v>
      </c>
      <c r="N2377" s="32" t="s">
        <v>191</v>
      </c>
      <c r="O2377" s="28" t="s">
        <v>204</v>
      </c>
      <c r="P2377" s="28" t="s">
        <v>5564</v>
      </c>
      <c r="Q2377" s="28" t="s">
        <v>5565</v>
      </c>
      <c r="R2377" s="28" t="s">
        <v>5566</v>
      </c>
    </row>
    <row r="2378" spans="1:18" hidden="1">
      <c r="A2378" s="28">
        <v>5</v>
      </c>
      <c r="B2378" s="29" t="s">
        <v>349</v>
      </c>
      <c r="C2378" s="29" t="s">
        <v>350</v>
      </c>
      <c r="D2378" s="29" t="s">
        <v>716</v>
      </c>
      <c r="E2378" s="29" t="s">
        <v>172</v>
      </c>
      <c r="F2378" s="28" t="s">
        <v>5445</v>
      </c>
      <c r="G2378" s="28" t="s">
        <v>5450</v>
      </c>
      <c r="H2378" s="28" t="s">
        <v>174</v>
      </c>
      <c r="I2378" s="28" t="s">
        <v>174</v>
      </c>
      <c r="J2378" s="30" t="s">
        <v>174</v>
      </c>
      <c r="K2378" s="28" t="s">
        <v>632</v>
      </c>
      <c r="L2378" s="31">
        <v>44378</v>
      </c>
      <c r="M2378" s="28">
        <v>7</v>
      </c>
      <c r="N2378" s="32" t="s">
        <v>184</v>
      </c>
      <c r="O2378" s="28" t="s">
        <v>2537</v>
      </c>
      <c r="P2378" s="28" t="s">
        <v>5567</v>
      </c>
      <c r="Q2378" s="28" t="s">
        <v>5544</v>
      </c>
      <c r="R2378" s="28" t="s">
        <v>5545</v>
      </c>
    </row>
    <row r="2379" spans="1:18" hidden="1">
      <c r="A2379" s="28">
        <v>5</v>
      </c>
      <c r="B2379" s="29" t="s">
        <v>349</v>
      </c>
      <c r="C2379" s="29" t="s">
        <v>350</v>
      </c>
      <c r="D2379" s="29" t="s">
        <v>725</v>
      </c>
      <c r="E2379" s="29" t="s">
        <v>172</v>
      </c>
      <c r="F2379" s="28" t="s">
        <v>5445</v>
      </c>
      <c r="G2379" s="28" t="s">
        <v>5450</v>
      </c>
      <c r="H2379" s="28" t="s">
        <v>174</v>
      </c>
      <c r="I2379" s="28" t="s">
        <v>174</v>
      </c>
      <c r="J2379" s="30" t="s">
        <v>174</v>
      </c>
      <c r="K2379" s="28" t="s">
        <v>485</v>
      </c>
      <c r="L2379" s="31">
        <v>42401</v>
      </c>
      <c r="M2379" s="28">
        <v>2</v>
      </c>
      <c r="N2379" s="32" t="s">
        <v>176</v>
      </c>
      <c r="O2379" s="28" t="s">
        <v>2537</v>
      </c>
      <c r="P2379" s="28" t="s">
        <v>5568</v>
      </c>
      <c r="Q2379" s="28" t="s">
        <v>5569</v>
      </c>
      <c r="R2379" s="28" t="s">
        <v>2540</v>
      </c>
    </row>
    <row r="2380" spans="1:18" hidden="1">
      <c r="A2380" s="28">
        <v>5</v>
      </c>
      <c r="B2380" s="29" t="s">
        <v>349</v>
      </c>
      <c r="C2380" s="29" t="s">
        <v>350</v>
      </c>
      <c r="D2380" s="29" t="s">
        <v>725</v>
      </c>
      <c r="E2380" s="29" t="s">
        <v>172</v>
      </c>
      <c r="F2380" s="28" t="s">
        <v>5445</v>
      </c>
      <c r="G2380" s="28" t="s">
        <v>5446</v>
      </c>
      <c r="H2380" s="28" t="s">
        <v>174</v>
      </c>
      <c r="I2380" s="28" t="s">
        <v>174</v>
      </c>
      <c r="J2380" s="30" t="s">
        <v>174</v>
      </c>
      <c r="K2380" s="28" t="s">
        <v>489</v>
      </c>
      <c r="L2380" s="31">
        <v>42491</v>
      </c>
      <c r="M2380" s="28">
        <v>5</v>
      </c>
      <c r="N2380" s="32" t="s">
        <v>191</v>
      </c>
      <c r="O2380" s="28" t="s">
        <v>204</v>
      </c>
      <c r="P2380" s="28" t="s">
        <v>5570</v>
      </c>
      <c r="Q2380" s="28" t="s">
        <v>5571</v>
      </c>
      <c r="R2380" s="28" t="s">
        <v>5566</v>
      </c>
    </row>
    <row r="2381" spans="1:18" hidden="1">
      <c r="A2381" s="28">
        <v>5</v>
      </c>
      <c r="B2381" s="29" t="s">
        <v>349</v>
      </c>
      <c r="C2381" s="29" t="s">
        <v>350</v>
      </c>
      <c r="D2381" s="29" t="s">
        <v>725</v>
      </c>
      <c r="E2381" s="29" t="s">
        <v>172</v>
      </c>
      <c r="F2381" s="28" t="s">
        <v>5445</v>
      </c>
      <c r="G2381" s="28" t="s">
        <v>5450</v>
      </c>
      <c r="H2381" s="28" t="s">
        <v>174</v>
      </c>
      <c r="I2381" s="28" t="s">
        <v>174</v>
      </c>
      <c r="J2381" s="30" t="s">
        <v>174</v>
      </c>
      <c r="K2381" s="28" t="s">
        <v>232</v>
      </c>
      <c r="L2381" s="31">
        <v>42522</v>
      </c>
      <c r="M2381" s="28">
        <v>6</v>
      </c>
      <c r="N2381" s="32" t="s">
        <v>184</v>
      </c>
      <c r="O2381" s="28" t="s">
        <v>2537</v>
      </c>
      <c r="P2381" s="28" t="s">
        <v>5572</v>
      </c>
      <c r="Q2381" s="28" t="s">
        <v>5573</v>
      </c>
      <c r="R2381" s="28" t="s">
        <v>2540</v>
      </c>
    </row>
    <row r="2382" spans="1:18" hidden="1">
      <c r="A2382" s="28">
        <v>5</v>
      </c>
      <c r="B2382" s="29" t="s">
        <v>349</v>
      </c>
      <c r="C2382" s="29" t="s">
        <v>350</v>
      </c>
      <c r="D2382" s="29" t="s">
        <v>725</v>
      </c>
      <c r="E2382" s="29" t="s">
        <v>172</v>
      </c>
      <c r="F2382" s="28" t="s">
        <v>5445</v>
      </c>
      <c r="G2382" s="28" t="s">
        <v>5450</v>
      </c>
      <c r="H2382" s="28" t="s">
        <v>174</v>
      </c>
      <c r="I2382" s="28" t="s">
        <v>174</v>
      </c>
      <c r="J2382" s="30" t="s">
        <v>174</v>
      </c>
      <c r="K2382" s="28" t="s">
        <v>335</v>
      </c>
      <c r="L2382" s="31">
        <v>42614</v>
      </c>
      <c r="M2382" s="28">
        <v>9</v>
      </c>
      <c r="N2382" s="32" t="s">
        <v>191</v>
      </c>
      <c r="O2382" s="28" t="s">
        <v>2537</v>
      </c>
      <c r="P2382" s="28" t="s">
        <v>5574</v>
      </c>
      <c r="Q2382" s="28" t="s">
        <v>5573</v>
      </c>
      <c r="R2382" s="28" t="s">
        <v>2540</v>
      </c>
    </row>
    <row r="2383" spans="1:18" hidden="1">
      <c r="A2383" s="28">
        <v>5</v>
      </c>
      <c r="B2383" s="29" t="s">
        <v>349</v>
      </c>
      <c r="C2383" s="29" t="s">
        <v>350</v>
      </c>
      <c r="D2383" s="29" t="s">
        <v>725</v>
      </c>
      <c r="E2383" s="29" t="s">
        <v>172</v>
      </c>
      <c r="F2383" s="28" t="s">
        <v>5445</v>
      </c>
      <c r="G2383" s="28" t="s">
        <v>5450</v>
      </c>
      <c r="H2383" s="28" t="s">
        <v>174</v>
      </c>
      <c r="I2383" s="28" t="s">
        <v>174</v>
      </c>
      <c r="J2383" s="30" t="s">
        <v>174</v>
      </c>
      <c r="K2383" s="28" t="s">
        <v>5575</v>
      </c>
      <c r="L2383" s="31">
        <v>42795</v>
      </c>
      <c r="M2383" s="28">
        <v>3</v>
      </c>
      <c r="N2383" s="32" t="s">
        <v>191</v>
      </c>
      <c r="O2383" s="28" t="s">
        <v>2537</v>
      </c>
      <c r="P2383" s="28" t="s">
        <v>5576</v>
      </c>
      <c r="Q2383" s="28" t="s">
        <v>5577</v>
      </c>
      <c r="R2383" s="28" t="s">
        <v>5560</v>
      </c>
    </row>
    <row r="2384" spans="1:18" hidden="1">
      <c r="A2384" s="28">
        <v>5</v>
      </c>
      <c r="B2384" s="29" t="s">
        <v>349</v>
      </c>
      <c r="C2384" s="29" t="s">
        <v>350</v>
      </c>
      <c r="D2384" s="29" t="s">
        <v>725</v>
      </c>
      <c r="E2384" s="29" t="s">
        <v>172</v>
      </c>
      <c r="F2384" s="28" t="s">
        <v>5445</v>
      </c>
      <c r="G2384" s="28" t="s">
        <v>5450</v>
      </c>
      <c r="H2384" s="28" t="s">
        <v>174</v>
      </c>
      <c r="I2384" s="28" t="s">
        <v>174</v>
      </c>
      <c r="J2384" s="30" t="s">
        <v>174</v>
      </c>
      <c r="K2384" s="28" t="s">
        <v>813</v>
      </c>
      <c r="L2384" s="31">
        <v>43009</v>
      </c>
      <c r="M2384" s="28">
        <v>10</v>
      </c>
      <c r="N2384" s="32" t="s">
        <v>191</v>
      </c>
      <c r="O2384" s="28" t="s">
        <v>2537</v>
      </c>
      <c r="P2384" s="28" t="s">
        <v>5578</v>
      </c>
      <c r="Q2384" s="28" t="s">
        <v>5579</v>
      </c>
      <c r="R2384" s="28" t="s">
        <v>5560</v>
      </c>
    </row>
    <row r="2385" spans="1:18" hidden="1">
      <c r="A2385" s="28">
        <v>5</v>
      </c>
      <c r="B2385" s="29" t="s">
        <v>349</v>
      </c>
      <c r="C2385" s="29" t="s">
        <v>350</v>
      </c>
      <c r="D2385" s="29" t="s">
        <v>725</v>
      </c>
      <c r="E2385" s="29" t="s">
        <v>172</v>
      </c>
      <c r="F2385" s="28" t="s">
        <v>5445</v>
      </c>
      <c r="G2385" s="28" t="s">
        <v>5446</v>
      </c>
      <c r="H2385" s="28" t="s">
        <v>174</v>
      </c>
      <c r="I2385" s="28" t="s">
        <v>174</v>
      </c>
      <c r="J2385" s="30" t="s">
        <v>174</v>
      </c>
      <c r="K2385" s="28" t="s">
        <v>813</v>
      </c>
      <c r="L2385" s="31">
        <v>43009</v>
      </c>
      <c r="M2385" s="28">
        <v>10</v>
      </c>
      <c r="N2385" s="32" t="s">
        <v>191</v>
      </c>
      <c r="O2385" s="28" t="s">
        <v>204</v>
      </c>
      <c r="P2385" s="28" t="s">
        <v>5580</v>
      </c>
      <c r="Q2385" s="28" t="s">
        <v>5571</v>
      </c>
      <c r="R2385" s="28" t="s">
        <v>5566</v>
      </c>
    </row>
    <row r="2386" spans="1:18" hidden="1">
      <c r="A2386" s="28">
        <v>5</v>
      </c>
      <c r="B2386" s="29" t="s">
        <v>349</v>
      </c>
      <c r="C2386" s="29" t="s">
        <v>350</v>
      </c>
      <c r="D2386" s="29" t="s">
        <v>725</v>
      </c>
      <c r="E2386" s="29" t="s">
        <v>172</v>
      </c>
      <c r="F2386" s="28" t="s">
        <v>5445</v>
      </c>
      <c r="G2386" s="28" t="s">
        <v>5446</v>
      </c>
      <c r="H2386" s="28" t="s">
        <v>174</v>
      </c>
      <c r="I2386" s="28" t="s">
        <v>174</v>
      </c>
      <c r="J2386" s="30" t="s">
        <v>174</v>
      </c>
      <c r="K2386" s="28" t="s">
        <v>813</v>
      </c>
      <c r="L2386" s="31">
        <v>43009</v>
      </c>
      <c r="M2386" s="28">
        <v>10</v>
      </c>
      <c r="N2386" s="32" t="s">
        <v>191</v>
      </c>
      <c r="O2386" s="28" t="s">
        <v>204</v>
      </c>
      <c r="P2386" s="28" t="s">
        <v>5581</v>
      </c>
      <c r="Q2386" s="28" t="s">
        <v>5571</v>
      </c>
      <c r="R2386" s="28" t="s">
        <v>5566</v>
      </c>
    </row>
    <row r="2387" spans="1:18" hidden="1">
      <c r="A2387" s="28">
        <v>5</v>
      </c>
      <c r="B2387" s="29" t="s">
        <v>349</v>
      </c>
      <c r="C2387" s="29" t="s">
        <v>350</v>
      </c>
      <c r="D2387" s="29" t="s">
        <v>725</v>
      </c>
      <c r="E2387" s="29" t="s">
        <v>172</v>
      </c>
      <c r="F2387" s="28" t="s">
        <v>5445</v>
      </c>
      <c r="G2387" s="28" t="s">
        <v>5450</v>
      </c>
      <c r="H2387" s="28" t="s">
        <v>174</v>
      </c>
      <c r="I2387" s="28" t="s">
        <v>174</v>
      </c>
      <c r="J2387" s="30" t="s">
        <v>174</v>
      </c>
      <c r="K2387" s="28" t="s">
        <v>361</v>
      </c>
      <c r="L2387" s="31">
        <v>43435</v>
      </c>
      <c r="M2387" s="28">
        <v>12</v>
      </c>
      <c r="N2387" s="32" t="s">
        <v>176</v>
      </c>
      <c r="O2387" s="28" t="s">
        <v>2537</v>
      </c>
      <c r="P2387" s="28" t="s">
        <v>5582</v>
      </c>
      <c r="Q2387" s="28" t="s">
        <v>5583</v>
      </c>
      <c r="R2387" s="28" t="s">
        <v>5584</v>
      </c>
    </row>
    <row r="2388" spans="1:18" hidden="1">
      <c r="A2388" s="28">
        <v>5</v>
      </c>
      <c r="B2388" s="29" t="s">
        <v>349</v>
      </c>
      <c r="C2388" s="29" t="s">
        <v>350</v>
      </c>
      <c r="D2388" s="29" t="s">
        <v>725</v>
      </c>
      <c r="E2388" s="29" t="s">
        <v>172</v>
      </c>
      <c r="F2388" s="28" t="s">
        <v>5445</v>
      </c>
      <c r="G2388" s="28" t="s">
        <v>5450</v>
      </c>
      <c r="H2388" s="28" t="s">
        <v>174</v>
      </c>
      <c r="I2388" s="28" t="s">
        <v>174</v>
      </c>
      <c r="J2388" s="30" t="s">
        <v>174</v>
      </c>
      <c r="K2388" s="28" t="s">
        <v>278</v>
      </c>
      <c r="L2388" s="31">
        <v>43525</v>
      </c>
      <c r="M2388" s="28">
        <v>3</v>
      </c>
      <c r="N2388" s="32" t="s">
        <v>191</v>
      </c>
      <c r="O2388" s="28" t="s">
        <v>2537</v>
      </c>
      <c r="P2388" s="28" t="s">
        <v>5585</v>
      </c>
      <c r="Q2388" s="28" t="s">
        <v>5586</v>
      </c>
      <c r="R2388" s="28" t="s">
        <v>5495</v>
      </c>
    </row>
    <row r="2389" spans="1:18" hidden="1">
      <c r="A2389" s="28">
        <v>5</v>
      </c>
      <c r="B2389" s="29" t="s">
        <v>349</v>
      </c>
      <c r="C2389" s="29" t="s">
        <v>350</v>
      </c>
      <c r="D2389" s="29" t="s">
        <v>725</v>
      </c>
      <c r="E2389" s="29" t="s">
        <v>172</v>
      </c>
      <c r="F2389" s="28" t="s">
        <v>5445</v>
      </c>
      <c r="G2389" s="28" t="s">
        <v>5446</v>
      </c>
      <c r="H2389" s="28" t="s">
        <v>174</v>
      </c>
      <c r="I2389" s="28" t="s">
        <v>174</v>
      </c>
      <c r="J2389" s="30" t="s">
        <v>174</v>
      </c>
      <c r="K2389" s="28" t="s">
        <v>278</v>
      </c>
      <c r="L2389" s="31">
        <v>43525</v>
      </c>
      <c r="M2389" s="28">
        <v>3</v>
      </c>
      <c r="N2389" s="32" t="s">
        <v>191</v>
      </c>
      <c r="O2389" s="28" t="s">
        <v>204</v>
      </c>
      <c r="P2389" s="28" t="s">
        <v>5587</v>
      </c>
      <c r="Q2389" s="28" t="s">
        <v>5571</v>
      </c>
      <c r="R2389" s="28" t="s">
        <v>5566</v>
      </c>
    </row>
    <row r="2390" spans="1:18" hidden="1">
      <c r="A2390" s="28">
        <v>5</v>
      </c>
      <c r="B2390" s="29" t="s">
        <v>349</v>
      </c>
      <c r="C2390" s="29" t="s">
        <v>350</v>
      </c>
      <c r="D2390" s="29" t="s">
        <v>725</v>
      </c>
      <c r="E2390" s="29" t="s">
        <v>172</v>
      </c>
      <c r="F2390" s="28" t="s">
        <v>5445</v>
      </c>
      <c r="G2390" s="28" t="s">
        <v>5450</v>
      </c>
      <c r="H2390" s="28" t="s">
        <v>174</v>
      </c>
      <c r="I2390" s="28" t="s">
        <v>174</v>
      </c>
      <c r="J2390" s="30" t="s">
        <v>174</v>
      </c>
      <c r="K2390" s="28" t="s">
        <v>844</v>
      </c>
      <c r="L2390" s="31">
        <v>43586</v>
      </c>
      <c r="M2390" s="28">
        <v>5</v>
      </c>
      <c r="N2390" s="32" t="s">
        <v>191</v>
      </c>
      <c r="O2390" s="28" t="s">
        <v>2537</v>
      </c>
      <c r="P2390" s="28" t="s">
        <v>5588</v>
      </c>
      <c r="Q2390" s="28" t="s">
        <v>5589</v>
      </c>
      <c r="R2390" s="28" t="s">
        <v>3012</v>
      </c>
    </row>
    <row r="2391" spans="1:18" hidden="1">
      <c r="A2391" s="28">
        <v>5</v>
      </c>
      <c r="B2391" s="29" t="s">
        <v>349</v>
      </c>
      <c r="C2391" s="29" t="s">
        <v>350</v>
      </c>
      <c r="D2391" s="29" t="s">
        <v>725</v>
      </c>
      <c r="E2391" s="29" t="s">
        <v>172</v>
      </c>
      <c r="F2391" s="28" t="s">
        <v>5445</v>
      </c>
      <c r="G2391" s="28" t="s">
        <v>5450</v>
      </c>
      <c r="H2391" s="28" t="s">
        <v>174</v>
      </c>
      <c r="I2391" s="28" t="s">
        <v>174</v>
      </c>
      <c r="J2391" s="30" t="s">
        <v>174</v>
      </c>
      <c r="K2391" s="28" t="s">
        <v>504</v>
      </c>
      <c r="L2391" s="31">
        <v>43922</v>
      </c>
      <c r="M2391" s="28">
        <v>4</v>
      </c>
      <c r="N2391" s="32" t="s">
        <v>191</v>
      </c>
      <c r="O2391" s="28" t="s">
        <v>2537</v>
      </c>
      <c r="P2391" s="28" t="s">
        <v>5590</v>
      </c>
      <c r="Q2391" s="28" t="s">
        <v>5591</v>
      </c>
      <c r="R2391" s="28" t="s">
        <v>3012</v>
      </c>
    </row>
    <row r="2392" spans="1:18" hidden="1">
      <c r="A2392" s="28">
        <v>5</v>
      </c>
      <c r="B2392" s="29" t="s">
        <v>349</v>
      </c>
      <c r="C2392" s="29" t="s">
        <v>350</v>
      </c>
      <c r="D2392" s="29" t="s">
        <v>725</v>
      </c>
      <c r="E2392" s="29" t="s">
        <v>172</v>
      </c>
      <c r="F2392" s="28" t="s">
        <v>5445</v>
      </c>
      <c r="G2392" s="28" t="s">
        <v>5450</v>
      </c>
      <c r="H2392" s="28" t="s">
        <v>174</v>
      </c>
      <c r="I2392" s="28" t="s">
        <v>174</v>
      </c>
      <c r="J2392" s="30" t="s">
        <v>174</v>
      </c>
      <c r="K2392" s="28" t="s">
        <v>415</v>
      </c>
      <c r="L2392" s="31">
        <v>43952</v>
      </c>
      <c r="M2392" s="28">
        <v>5</v>
      </c>
      <c r="N2392" s="32" t="s">
        <v>191</v>
      </c>
      <c r="O2392" s="28" t="s">
        <v>2537</v>
      </c>
      <c r="P2392" s="28" t="s">
        <v>5592</v>
      </c>
      <c r="Q2392" s="28" t="s">
        <v>5593</v>
      </c>
      <c r="R2392" s="28" t="s">
        <v>4696</v>
      </c>
    </row>
    <row r="2393" spans="1:18" hidden="1">
      <c r="A2393" s="28">
        <v>5</v>
      </c>
      <c r="B2393" s="29" t="s">
        <v>349</v>
      </c>
      <c r="C2393" s="29" t="s">
        <v>350</v>
      </c>
      <c r="D2393" s="29" t="s">
        <v>725</v>
      </c>
      <c r="E2393" s="29" t="s">
        <v>172</v>
      </c>
      <c r="F2393" s="28" t="s">
        <v>5445</v>
      </c>
      <c r="G2393" s="28" t="s">
        <v>5450</v>
      </c>
      <c r="H2393" s="28" t="s">
        <v>174</v>
      </c>
      <c r="I2393" s="28" t="s">
        <v>174</v>
      </c>
      <c r="J2393" s="30" t="s">
        <v>174</v>
      </c>
      <c r="K2393" s="28" t="s">
        <v>962</v>
      </c>
      <c r="L2393" s="31">
        <v>44348</v>
      </c>
      <c r="M2393" s="28">
        <v>6</v>
      </c>
      <c r="N2393" s="32" t="s">
        <v>184</v>
      </c>
      <c r="O2393" s="28" t="s">
        <v>2537</v>
      </c>
      <c r="P2393" s="28" t="s">
        <v>5594</v>
      </c>
      <c r="Q2393" s="28" t="s">
        <v>5595</v>
      </c>
      <c r="R2393" s="28" t="s">
        <v>4696</v>
      </c>
    </row>
    <row r="2394" spans="1:18" hidden="1">
      <c r="A2394" s="28">
        <v>5</v>
      </c>
      <c r="B2394" s="29" t="s">
        <v>349</v>
      </c>
      <c r="C2394" s="29" t="s">
        <v>350</v>
      </c>
      <c r="D2394" s="29" t="s">
        <v>725</v>
      </c>
      <c r="E2394" s="29" t="s">
        <v>172</v>
      </c>
      <c r="F2394" s="28" t="s">
        <v>5445</v>
      </c>
      <c r="G2394" s="28" t="s">
        <v>5450</v>
      </c>
      <c r="H2394" s="28" t="s">
        <v>174</v>
      </c>
      <c r="I2394" s="28" t="s">
        <v>174</v>
      </c>
      <c r="J2394" s="30" t="s">
        <v>174</v>
      </c>
      <c r="K2394" s="28" t="s">
        <v>297</v>
      </c>
      <c r="L2394" s="31">
        <v>44409</v>
      </c>
      <c r="M2394" s="28">
        <v>8</v>
      </c>
      <c r="N2394" s="32" t="s">
        <v>184</v>
      </c>
      <c r="O2394" s="28" t="s">
        <v>2537</v>
      </c>
      <c r="P2394" s="28" t="s">
        <v>5596</v>
      </c>
      <c r="Q2394" s="28" t="s">
        <v>5597</v>
      </c>
      <c r="R2394" s="28" t="s">
        <v>4696</v>
      </c>
    </row>
    <row r="2395" spans="1:18" hidden="1">
      <c r="A2395" s="28">
        <v>5</v>
      </c>
      <c r="B2395" s="29" t="s">
        <v>349</v>
      </c>
      <c r="C2395" s="29" t="s">
        <v>350</v>
      </c>
      <c r="D2395" s="29" t="s">
        <v>351</v>
      </c>
      <c r="E2395" s="29" t="s">
        <v>172</v>
      </c>
      <c r="F2395" s="28" t="s">
        <v>5445</v>
      </c>
      <c r="G2395" s="28" t="s">
        <v>5450</v>
      </c>
      <c r="H2395" s="28" t="s">
        <v>174</v>
      </c>
      <c r="I2395" s="28" t="s">
        <v>174</v>
      </c>
      <c r="J2395" s="30" t="s">
        <v>174</v>
      </c>
      <c r="K2395" s="28" t="s">
        <v>175</v>
      </c>
      <c r="L2395" s="31">
        <v>42339</v>
      </c>
      <c r="M2395" s="28">
        <v>12</v>
      </c>
      <c r="N2395" s="32" t="s">
        <v>176</v>
      </c>
      <c r="O2395" s="28" t="s">
        <v>2537</v>
      </c>
      <c r="P2395" s="28" t="s">
        <v>5598</v>
      </c>
      <c r="Q2395" s="28" t="s">
        <v>5599</v>
      </c>
      <c r="R2395" s="28" t="s">
        <v>5584</v>
      </c>
    </row>
    <row r="2396" spans="1:18" hidden="1">
      <c r="A2396" s="28">
        <v>5</v>
      </c>
      <c r="B2396" s="29" t="s">
        <v>349</v>
      </c>
      <c r="C2396" s="29" t="s">
        <v>350</v>
      </c>
      <c r="D2396" s="29" t="s">
        <v>351</v>
      </c>
      <c r="E2396" s="29" t="s">
        <v>172</v>
      </c>
      <c r="F2396" s="28" t="s">
        <v>5445</v>
      </c>
      <c r="G2396" s="28" t="s">
        <v>5446</v>
      </c>
      <c r="H2396" s="28" t="s">
        <v>174</v>
      </c>
      <c r="I2396" s="28" t="s">
        <v>174</v>
      </c>
      <c r="J2396" s="30" t="s">
        <v>174</v>
      </c>
      <c r="K2396" s="28" t="s">
        <v>391</v>
      </c>
      <c r="L2396" s="31">
        <v>42370</v>
      </c>
      <c r="M2396" s="28">
        <v>1</v>
      </c>
      <c r="N2396" s="32" t="s">
        <v>176</v>
      </c>
      <c r="O2396" s="28" t="s">
        <v>204</v>
      </c>
      <c r="P2396" s="28" t="s">
        <v>5600</v>
      </c>
      <c r="Q2396" s="28" t="s">
        <v>5601</v>
      </c>
      <c r="R2396" s="28" t="s">
        <v>5602</v>
      </c>
    </row>
    <row r="2397" spans="1:18" hidden="1">
      <c r="A2397" s="28">
        <v>5</v>
      </c>
      <c r="B2397" s="29" t="s">
        <v>349</v>
      </c>
      <c r="C2397" s="29" t="s">
        <v>350</v>
      </c>
      <c r="D2397" s="29" t="s">
        <v>351</v>
      </c>
      <c r="E2397" s="29" t="s">
        <v>172</v>
      </c>
      <c r="F2397" s="28" t="s">
        <v>5445</v>
      </c>
      <c r="G2397" s="28" t="s">
        <v>5446</v>
      </c>
      <c r="H2397" s="28" t="s">
        <v>174</v>
      </c>
      <c r="I2397" s="28" t="s">
        <v>174</v>
      </c>
      <c r="J2397" s="30" t="s">
        <v>174</v>
      </c>
      <c r="K2397" s="28" t="s">
        <v>485</v>
      </c>
      <c r="L2397" s="31">
        <v>42401</v>
      </c>
      <c r="M2397" s="28">
        <v>2</v>
      </c>
      <c r="N2397" s="32" t="s">
        <v>176</v>
      </c>
      <c r="O2397" s="28" t="s">
        <v>204</v>
      </c>
      <c r="P2397" s="28" t="s">
        <v>5603</v>
      </c>
      <c r="Q2397" s="28" t="s">
        <v>5604</v>
      </c>
      <c r="R2397" s="28" t="s">
        <v>5605</v>
      </c>
    </row>
    <row r="2398" spans="1:18" hidden="1">
      <c r="A2398" s="28">
        <v>5</v>
      </c>
      <c r="B2398" s="29" t="s">
        <v>349</v>
      </c>
      <c r="C2398" s="29" t="s">
        <v>350</v>
      </c>
      <c r="D2398" s="29" t="s">
        <v>351</v>
      </c>
      <c r="E2398" s="29" t="s">
        <v>172</v>
      </c>
      <c r="F2398" s="28" t="s">
        <v>5445</v>
      </c>
      <c r="G2398" s="28" t="s">
        <v>5446</v>
      </c>
      <c r="H2398" s="28" t="s">
        <v>174</v>
      </c>
      <c r="I2398" s="28" t="s">
        <v>174</v>
      </c>
      <c r="J2398" s="30" t="s">
        <v>174</v>
      </c>
      <c r="K2398" s="28" t="s">
        <v>243</v>
      </c>
      <c r="L2398" s="31">
        <v>42461</v>
      </c>
      <c r="M2398" s="28">
        <v>4</v>
      </c>
      <c r="N2398" s="32" t="s">
        <v>191</v>
      </c>
      <c r="O2398" s="28" t="s">
        <v>204</v>
      </c>
      <c r="P2398" s="28" t="s">
        <v>5606</v>
      </c>
      <c r="Q2398" s="28" t="s">
        <v>5571</v>
      </c>
      <c r="R2398" s="28" t="s">
        <v>5566</v>
      </c>
    </row>
    <row r="2399" spans="1:18" hidden="1">
      <c r="A2399" s="28">
        <v>5</v>
      </c>
      <c r="B2399" s="29" t="s">
        <v>349</v>
      </c>
      <c r="C2399" s="29" t="s">
        <v>350</v>
      </c>
      <c r="D2399" s="29" t="s">
        <v>351</v>
      </c>
      <c r="E2399" s="29" t="s">
        <v>172</v>
      </c>
      <c r="F2399" s="28" t="s">
        <v>5445</v>
      </c>
      <c r="G2399" s="28" t="s">
        <v>5450</v>
      </c>
      <c r="H2399" s="28" t="s">
        <v>174</v>
      </c>
      <c r="I2399" s="28" t="s">
        <v>174</v>
      </c>
      <c r="J2399" s="30" t="s">
        <v>174</v>
      </c>
      <c r="K2399" s="28" t="s">
        <v>257</v>
      </c>
      <c r="L2399" s="31">
        <v>42552</v>
      </c>
      <c r="M2399" s="28">
        <v>7</v>
      </c>
      <c r="N2399" s="32" t="s">
        <v>184</v>
      </c>
      <c r="O2399" s="28" t="s">
        <v>2537</v>
      </c>
      <c r="P2399" s="28" t="s">
        <v>5607</v>
      </c>
      <c r="Q2399" s="28" t="s">
        <v>5608</v>
      </c>
      <c r="R2399" s="28" t="s">
        <v>3012</v>
      </c>
    </row>
    <row r="2400" spans="1:18" hidden="1">
      <c r="A2400" s="28">
        <v>5</v>
      </c>
      <c r="B2400" s="29" t="s">
        <v>349</v>
      </c>
      <c r="C2400" s="29" t="s">
        <v>350</v>
      </c>
      <c r="D2400" s="29" t="s">
        <v>351</v>
      </c>
      <c r="E2400" s="29" t="s">
        <v>172</v>
      </c>
      <c r="F2400" s="28" t="s">
        <v>5445</v>
      </c>
      <c r="G2400" s="28" t="s">
        <v>5446</v>
      </c>
      <c r="H2400" s="28" t="s">
        <v>174</v>
      </c>
      <c r="I2400" s="28" t="s">
        <v>174</v>
      </c>
      <c r="J2400" s="30" t="s">
        <v>174</v>
      </c>
      <c r="K2400" s="28" t="s">
        <v>257</v>
      </c>
      <c r="L2400" s="31">
        <v>42552</v>
      </c>
      <c r="M2400" s="28">
        <v>7</v>
      </c>
      <c r="N2400" s="32" t="s">
        <v>184</v>
      </c>
      <c r="O2400" s="28" t="s">
        <v>204</v>
      </c>
      <c r="P2400" s="28" t="s">
        <v>5609</v>
      </c>
      <c r="Q2400" s="28" t="s">
        <v>5610</v>
      </c>
      <c r="R2400" s="28" t="s">
        <v>5611</v>
      </c>
    </row>
    <row r="2401" spans="1:18" hidden="1">
      <c r="A2401" s="28">
        <v>5</v>
      </c>
      <c r="B2401" s="29" t="s">
        <v>349</v>
      </c>
      <c r="C2401" s="29" t="s">
        <v>350</v>
      </c>
      <c r="D2401" s="29" t="s">
        <v>351</v>
      </c>
      <c r="E2401" s="29" t="s">
        <v>172</v>
      </c>
      <c r="F2401" s="28" t="s">
        <v>5445</v>
      </c>
      <c r="G2401" s="28" t="s">
        <v>5446</v>
      </c>
      <c r="H2401" s="28" t="s">
        <v>174</v>
      </c>
      <c r="I2401" s="28" t="s">
        <v>174</v>
      </c>
      <c r="J2401" s="30" t="s">
        <v>174</v>
      </c>
      <c r="K2401" s="28" t="s">
        <v>267</v>
      </c>
      <c r="L2401" s="31">
        <v>42583</v>
      </c>
      <c r="M2401" s="28">
        <v>8</v>
      </c>
      <c r="N2401" s="32" t="s">
        <v>184</v>
      </c>
      <c r="O2401" s="28" t="s">
        <v>204</v>
      </c>
      <c r="P2401" s="28" t="s">
        <v>5612</v>
      </c>
      <c r="Q2401" s="28" t="s">
        <v>5571</v>
      </c>
      <c r="R2401" s="28" t="s">
        <v>5566</v>
      </c>
    </row>
    <row r="2402" spans="1:18" hidden="1">
      <c r="A2402" s="28">
        <v>5</v>
      </c>
      <c r="B2402" s="29" t="s">
        <v>349</v>
      </c>
      <c r="C2402" s="29" t="s">
        <v>350</v>
      </c>
      <c r="D2402" s="29" t="s">
        <v>351</v>
      </c>
      <c r="E2402" s="29" t="s">
        <v>172</v>
      </c>
      <c r="F2402" s="28" t="s">
        <v>5445</v>
      </c>
      <c r="G2402" s="28" t="s">
        <v>5446</v>
      </c>
      <c r="H2402" s="28" t="s">
        <v>174</v>
      </c>
      <c r="I2402" s="28" t="s">
        <v>174</v>
      </c>
      <c r="J2402" s="30" t="s">
        <v>174</v>
      </c>
      <c r="K2402" s="28" t="s">
        <v>267</v>
      </c>
      <c r="L2402" s="31">
        <v>42583</v>
      </c>
      <c r="M2402" s="28">
        <v>8</v>
      </c>
      <c r="N2402" s="32" t="s">
        <v>184</v>
      </c>
      <c r="O2402" s="28" t="s">
        <v>2537</v>
      </c>
      <c r="P2402" s="28" t="s">
        <v>5613</v>
      </c>
      <c r="Q2402" s="28" t="s">
        <v>5614</v>
      </c>
      <c r="R2402" s="28" t="s">
        <v>4696</v>
      </c>
    </row>
    <row r="2403" spans="1:18" hidden="1">
      <c r="A2403" s="28">
        <v>5</v>
      </c>
      <c r="B2403" s="29" t="s">
        <v>349</v>
      </c>
      <c r="C2403" s="29" t="s">
        <v>350</v>
      </c>
      <c r="D2403" s="29" t="s">
        <v>351</v>
      </c>
      <c r="E2403" s="29" t="s">
        <v>172</v>
      </c>
      <c r="F2403" s="28" t="s">
        <v>5445</v>
      </c>
      <c r="G2403" s="28" t="s">
        <v>5450</v>
      </c>
      <c r="H2403" s="28" t="s">
        <v>174</v>
      </c>
      <c r="I2403" s="28" t="s">
        <v>174</v>
      </c>
      <c r="J2403" s="30" t="s">
        <v>174</v>
      </c>
      <c r="K2403" s="28" t="s">
        <v>460</v>
      </c>
      <c r="L2403" s="31">
        <v>42675</v>
      </c>
      <c r="M2403" s="28">
        <v>11</v>
      </c>
      <c r="N2403" s="32" t="s">
        <v>191</v>
      </c>
      <c r="O2403" s="28" t="s">
        <v>2537</v>
      </c>
      <c r="P2403" s="28" t="s">
        <v>5615</v>
      </c>
      <c r="Q2403" s="28" t="s">
        <v>5616</v>
      </c>
      <c r="R2403" s="28" t="s">
        <v>5560</v>
      </c>
    </row>
    <row r="2404" spans="1:18" hidden="1">
      <c r="A2404" s="28">
        <v>5</v>
      </c>
      <c r="B2404" s="29" t="s">
        <v>349</v>
      </c>
      <c r="C2404" s="29" t="s">
        <v>350</v>
      </c>
      <c r="D2404" s="29" t="s">
        <v>351</v>
      </c>
      <c r="E2404" s="29" t="s">
        <v>172</v>
      </c>
      <c r="F2404" s="28" t="s">
        <v>5445</v>
      </c>
      <c r="G2404" s="28" t="s">
        <v>5446</v>
      </c>
      <c r="H2404" s="28" t="s">
        <v>174</v>
      </c>
      <c r="I2404" s="28" t="s">
        <v>174</v>
      </c>
      <c r="J2404" s="30" t="s">
        <v>174</v>
      </c>
      <c r="K2404" s="28" t="s">
        <v>587</v>
      </c>
      <c r="L2404" s="31">
        <v>42736</v>
      </c>
      <c r="M2404" s="28">
        <v>1</v>
      </c>
      <c r="N2404" s="32" t="s">
        <v>176</v>
      </c>
      <c r="O2404" s="28" t="s">
        <v>204</v>
      </c>
      <c r="P2404" s="28" t="s">
        <v>5617</v>
      </c>
      <c r="Q2404" s="28" t="s">
        <v>5610</v>
      </c>
      <c r="R2404" s="28" t="s">
        <v>5611</v>
      </c>
    </row>
    <row r="2405" spans="1:18" hidden="1">
      <c r="A2405" s="28">
        <v>5</v>
      </c>
      <c r="B2405" s="29" t="s">
        <v>349</v>
      </c>
      <c r="C2405" s="29" t="s">
        <v>350</v>
      </c>
      <c r="D2405" s="29" t="s">
        <v>351</v>
      </c>
      <c r="E2405" s="29" t="s">
        <v>172</v>
      </c>
      <c r="F2405" s="28" t="s">
        <v>5445</v>
      </c>
      <c r="G2405" s="28" t="s">
        <v>5446</v>
      </c>
      <c r="H2405" s="28" t="s">
        <v>174</v>
      </c>
      <c r="I2405" s="28" t="s">
        <v>174</v>
      </c>
      <c r="J2405" s="30" t="s">
        <v>174</v>
      </c>
      <c r="K2405" s="28" t="s">
        <v>198</v>
      </c>
      <c r="L2405" s="31">
        <v>42767</v>
      </c>
      <c r="M2405" s="28">
        <v>2</v>
      </c>
      <c r="N2405" s="32" t="s">
        <v>176</v>
      </c>
      <c r="O2405" s="28" t="s">
        <v>204</v>
      </c>
      <c r="P2405" s="28" t="s">
        <v>5618</v>
      </c>
      <c r="Q2405" s="28" t="s">
        <v>5571</v>
      </c>
      <c r="R2405" s="28" t="s">
        <v>5566</v>
      </c>
    </row>
    <row r="2406" spans="1:18" hidden="1">
      <c r="A2406" s="28">
        <v>5</v>
      </c>
      <c r="B2406" s="29" t="s">
        <v>349</v>
      </c>
      <c r="C2406" s="29" t="s">
        <v>350</v>
      </c>
      <c r="D2406" s="29" t="s">
        <v>351</v>
      </c>
      <c r="E2406" s="29" t="s">
        <v>172</v>
      </c>
      <c r="F2406" s="28" t="s">
        <v>5445</v>
      </c>
      <c r="G2406" s="28" t="s">
        <v>5446</v>
      </c>
      <c r="H2406" s="28" t="s">
        <v>174</v>
      </c>
      <c r="I2406" s="28" t="s">
        <v>174</v>
      </c>
      <c r="J2406" s="30" t="s">
        <v>174</v>
      </c>
      <c r="K2406" s="28" t="s">
        <v>271</v>
      </c>
      <c r="L2406" s="31">
        <v>42856</v>
      </c>
      <c r="M2406" s="28">
        <v>5</v>
      </c>
      <c r="N2406" s="32" t="s">
        <v>191</v>
      </c>
      <c r="O2406" s="28" t="s">
        <v>177</v>
      </c>
      <c r="P2406" s="28" t="s">
        <v>5619</v>
      </c>
      <c r="Q2406" s="28" t="s">
        <v>5620</v>
      </c>
      <c r="R2406" s="28" t="s">
        <v>5611</v>
      </c>
    </row>
    <row r="2407" spans="1:18" hidden="1">
      <c r="A2407" s="28">
        <v>5</v>
      </c>
      <c r="B2407" s="29" t="s">
        <v>349</v>
      </c>
      <c r="C2407" s="29" t="s">
        <v>350</v>
      </c>
      <c r="D2407" s="29" t="s">
        <v>351</v>
      </c>
      <c r="E2407" s="29" t="s">
        <v>172</v>
      </c>
      <c r="F2407" s="28" t="s">
        <v>5445</v>
      </c>
      <c r="G2407" s="28" t="s">
        <v>5446</v>
      </c>
      <c r="H2407" s="28" t="s">
        <v>174</v>
      </c>
      <c r="I2407" s="28" t="s">
        <v>174</v>
      </c>
      <c r="J2407" s="30" t="s">
        <v>174</v>
      </c>
      <c r="K2407" s="28" t="s">
        <v>496</v>
      </c>
      <c r="L2407" s="31">
        <v>42917</v>
      </c>
      <c r="M2407" s="28">
        <v>7</v>
      </c>
      <c r="N2407" s="32" t="s">
        <v>184</v>
      </c>
      <c r="O2407" s="28" t="s">
        <v>2537</v>
      </c>
      <c r="P2407" s="28" t="s">
        <v>5621</v>
      </c>
      <c r="Q2407" s="28" t="s">
        <v>5622</v>
      </c>
      <c r="R2407" s="28" t="s">
        <v>4696</v>
      </c>
    </row>
    <row r="2408" spans="1:18" hidden="1">
      <c r="A2408" s="28">
        <v>5</v>
      </c>
      <c r="B2408" s="29" t="s">
        <v>349</v>
      </c>
      <c r="C2408" s="29" t="s">
        <v>350</v>
      </c>
      <c r="D2408" s="29" t="s">
        <v>351</v>
      </c>
      <c r="E2408" s="29" t="s">
        <v>172</v>
      </c>
      <c r="F2408" s="28" t="s">
        <v>5445</v>
      </c>
      <c r="G2408" s="28" t="s">
        <v>5446</v>
      </c>
      <c r="H2408" s="28" t="s">
        <v>174</v>
      </c>
      <c r="I2408" s="28" t="s">
        <v>174</v>
      </c>
      <c r="J2408" s="30" t="s">
        <v>174</v>
      </c>
      <c r="K2408" s="28" t="s">
        <v>496</v>
      </c>
      <c r="L2408" s="31">
        <v>42917</v>
      </c>
      <c r="M2408" s="28">
        <v>7</v>
      </c>
      <c r="N2408" s="32" t="s">
        <v>184</v>
      </c>
      <c r="O2408" s="28" t="s">
        <v>185</v>
      </c>
      <c r="P2408" s="28" t="s">
        <v>5623</v>
      </c>
      <c r="Q2408" s="28" t="s">
        <v>5624</v>
      </c>
      <c r="R2408" s="28" t="s">
        <v>5611</v>
      </c>
    </row>
    <row r="2409" spans="1:18" hidden="1">
      <c r="A2409" s="28">
        <v>5</v>
      </c>
      <c r="B2409" s="29" t="s">
        <v>349</v>
      </c>
      <c r="C2409" s="29" t="s">
        <v>350</v>
      </c>
      <c r="D2409" s="29" t="s">
        <v>351</v>
      </c>
      <c r="E2409" s="29" t="s">
        <v>172</v>
      </c>
      <c r="F2409" s="28" t="s">
        <v>5445</v>
      </c>
      <c r="G2409" s="28" t="s">
        <v>5446</v>
      </c>
      <c r="H2409" s="28" t="s">
        <v>174</v>
      </c>
      <c r="I2409" s="28" t="s">
        <v>174</v>
      </c>
      <c r="J2409" s="30" t="s">
        <v>174</v>
      </c>
      <c r="K2409" s="28" t="s">
        <v>813</v>
      </c>
      <c r="L2409" s="31">
        <v>43009</v>
      </c>
      <c r="M2409" s="28">
        <v>10</v>
      </c>
      <c r="N2409" s="32" t="s">
        <v>191</v>
      </c>
      <c r="O2409" s="28" t="s">
        <v>2537</v>
      </c>
      <c r="P2409" s="28" t="s">
        <v>5625</v>
      </c>
      <c r="Q2409" s="28" t="s">
        <v>5626</v>
      </c>
      <c r="R2409" s="28" t="s">
        <v>4696</v>
      </c>
    </row>
    <row r="2410" spans="1:18" hidden="1">
      <c r="A2410" s="28">
        <v>5</v>
      </c>
      <c r="B2410" s="29" t="s">
        <v>349</v>
      </c>
      <c r="C2410" s="29" t="s">
        <v>350</v>
      </c>
      <c r="D2410" s="29" t="s">
        <v>351</v>
      </c>
      <c r="E2410" s="29" t="s">
        <v>172</v>
      </c>
      <c r="F2410" s="28" t="s">
        <v>5445</v>
      </c>
      <c r="G2410" s="28" t="s">
        <v>5446</v>
      </c>
      <c r="H2410" s="28" t="s">
        <v>174</v>
      </c>
      <c r="I2410" s="28" t="s">
        <v>174</v>
      </c>
      <c r="J2410" s="30" t="s">
        <v>174</v>
      </c>
      <c r="K2410" s="28" t="s">
        <v>473</v>
      </c>
      <c r="L2410" s="31">
        <v>43160</v>
      </c>
      <c r="M2410" s="28">
        <v>3</v>
      </c>
      <c r="N2410" s="32" t="s">
        <v>191</v>
      </c>
      <c r="O2410" s="28" t="s">
        <v>204</v>
      </c>
      <c r="P2410" s="28" t="s">
        <v>5627</v>
      </c>
      <c r="Q2410" s="28" t="s">
        <v>5604</v>
      </c>
      <c r="R2410" s="28" t="s">
        <v>5605</v>
      </c>
    </row>
    <row r="2411" spans="1:18" hidden="1">
      <c r="A2411" s="28">
        <v>5</v>
      </c>
      <c r="B2411" s="29" t="s">
        <v>349</v>
      </c>
      <c r="C2411" s="29" t="s">
        <v>350</v>
      </c>
      <c r="D2411" s="29" t="s">
        <v>351</v>
      </c>
      <c r="E2411" s="29" t="s">
        <v>172</v>
      </c>
      <c r="F2411" s="28" t="s">
        <v>5445</v>
      </c>
      <c r="G2411" s="28" t="s">
        <v>5446</v>
      </c>
      <c r="H2411" s="28" t="s">
        <v>174</v>
      </c>
      <c r="I2411" s="28" t="s">
        <v>174</v>
      </c>
      <c r="J2411" s="30" t="s">
        <v>174</v>
      </c>
      <c r="K2411" s="28" t="s">
        <v>405</v>
      </c>
      <c r="L2411" s="31">
        <v>43221</v>
      </c>
      <c r="M2411" s="28">
        <v>5</v>
      </c>
      <c r="N2411" s="32" t="s">
        <v>191</v>
      </c>
      <c r="O2411" s="28" t="s">
        <v>204</v>
      </c>
      <c r="P2411" s="28" t="s">
        <v>5628</v>
      </c>
      <c r="Q2411" s="28" t="s">
        <v>5629</v>
      </c>
      <c r="R2411" s="28" t="s">
        <v>5630</v>
      </c>
    </row>
    <row r="2412" spans="1:18" hidden="1">
      <c r="A2412" s="28">
        <v>5</v>
      </c>
      <c r="B2412" s="29" t="s">
        <v>349</v>
      </c>
      <c r="C2412" s="29" t="s">
        <v>350</v>
      </c>
      <c r="D2412" s="29" t="s">
        <v>351</v>
      </c>
      <c r="E2412" s="29" t="s">
        <v>172</v>
      </c>
      <c r="F2412" s="28" t="s">
        <v>5445</v>
      </c>
      <c r="G2412" s="28" t="s">
        <v>5450</v>
      </c>
      <c r="H2412" s="28" t="s">
        <v>174</v>
      </c>
      <c r="I2412" s="28" t="s">
        <v>174</v>
      </c>
      <c r="J2412" s="30" t="s">
        <v>174</v>
      </c>
      <c r="K2412" s="28" t="s">
        <v>302</v>
      </c>
      <c r="L2412" s="31">
        <v>43282</v>
      </c>
      <c r="M2412" s="28">
        <v>7</v>
      </c>
      <c r="N2412" s="32" t="s">
        <v>184</v>
      </c>
      <c r="O2412" s="28" t="s">
        <v>2537</v>
      </c>
      <c r="P2412" s="28" t="s">
        <v>5631</v>
      </c>
      <c r="Q2412" s="28" t="s">
        <v>5632</v>
      </c>
      <c r="R2412" s="28" t="s">
        <v>4696</v>
      </c>
    </row>
    <row r="2413" spans="1:18" hidden="1">
      <c r="A2413" s="28">
        <v>5</v>
      </c>
      <c r="B2413" s="29" t="s">
        <v>349</v>
      </c>
      <c r="C2413" s="29" t="s">
        <v>350</v>
      </c>
      <c r="D2413" s="29" t="s">
        <v>351</v>
      </c>
      <c r="E2413" s="29" t="s">
        <v>172</v>
      </c>
      <c r="F2413" s="28" t="s">
        <v>5445</v>
      </c>
      <c r="G2413" s="28" t="s">
        <v>5450</v>
      </c>
      <c r="H2413" s="28" t="s">
        <v>174</v>
      </c>
      <c r="I2413" s="28" t="s">
        <v>174</v>
      </c>
      <c r="J2413" s="30" t="s">
        <v>174</v>
      </c>
      <c r="K2413" s="28" t="s">
        <v>302</v>
      </c>
      <c r="L2413" s="31">
        <v>43282</v>
      </c>
      <c r="M2413" s="28">
        <v>7</v>
      </c>
      <c r="N2413" s="32" t="s">
        <v>184</v>
      </c>
      <c r="O2413" s="28" t="s">
        <v>2537</v>
      </c>
      <c r="P2413" s="28" t="s">
        <v>5633</v>
      </c>
      <c r="Q2413" s="28" t="s">
        <v>5634</v>
      </c>
      <c r="R2413" s="28" t="s">
        <v>2540</v>
      </c>
    </row>
    <row r="2414" spans="1:18" hidden="1">
      <c r="A2414" s="28">
        <v>5</v>
      </c>
      <c r="B2414" s="29" t="s">
        <v>349</v>
      </c>
      <c r="C2414" s="29" t="s">
        <v>350</v>
      </c>
      <c r="D2414" s="29" t="s">
        <v>351</v>
      </c>
      <c r="E2414" s="29" t="s">
        <v>172</v>
      </c>
      <c r="F2414" s="28" t="s">
        <v>5445</v>
      </c>
      <c r="G2414" s="28" t="s">
        <v>5450</v>
      </c>
      <c r="H2414" s="28" t="s">
        <v>174</v>
      </c>
      <c r="I2414" s="28" t="s">
        <v>174</v>
      </c>
      <c r="J2414" s="30" t="s">
        <v>174</v>
      </c>
      <c r="K2414" s="28" t="s">
        <v>212</v>
      </c>
      <c r="L2414" s="31">
        <v>43313</v>
      </c>
      <c r="M2414" s="28">
        <v>8</v>
      </c>
      <c r="N2414" s="32" t="s">
        <v>184</v>
      </c>
      <c r="O2414" s="28" t="s">
        <v>2537</v>
      </c>
      <c r="P2414" s="28" t="s">
        <v>5635</v>
      </c>
      <c r="Q2414" s="28" t="s">
        <v>5636</v>
      </c>
      <c r="R2414" s="28" t="s">
        <v>4696</v>
      </c>
    </row>
    <row r="2415" spans="1:18" hidden="1">
      <c r="A2415" s="28">
        <v>5</v>
      </c>
      <c r="B2415" s="29" t="s">
        <v>349</v>
      </c>
      <c r="C2415" s="29" t="s">
        <v>350</v>
      </c>
      <c r="D2415" s="29" t="s">
        <v>351</v>
      </c>
      <c r="E2415" s="29" t="s">
        <v>172</v>
      </c>
      <c r="F2415" s="28" t="s">
        <v>5445</v>
      </c>
      <c r="G2415" s="28" t="s">
        <v>5450</v>
      </c>
      <c r="H2415" s="28" t="s">
        <v>174</v>
      </c>
      <c r="I2415" s="28" t="s">
        <v>174</v>
      </c>
      <c r="J2415" s="30" t="s">
        <v>174</v>
      </c>
      <c r="K2415" s="28" t="s">
        <v>212</v>
      </c>
      <c r="L2415" s="31">
        <v>43313</v>
      </c>
      <c r="M2415" s="28">
        <v>8</v>
      </c>
      <c r="N2415" s="32" t="s">
        <v>184</v>
      </c>
      <c r="O2415" s="28" t="s">
        <v>2537</v>
      </c>
      <c r="P2415" s="28" t="s">
        <v>5637</v>
      </c>
      <c r="Q2415" s="28" t="s">
        <v>5638</v>
      </c>
      <c r="R2415" s="28" t="s">
        <v>4696</v>
      </c>
    </row>
    <row r="2416" spans="1:18" hidden="1">
      <c r="A2416" s="28">
        <v>5</v>
      </c>
      <c r="B2416" s="29" t="s">
        <v>349</v>
      </c>
      <c r="C2416" s="29" t="s">
        <v>350</v>
      </c>
      <c r="D2416" s="29" t="s">
        <v>351</v>
      </c>
      <c r="E2416" s="29" t="s">
        <v>172</v>
      </c>
      <c r="F2416" s="28" t="s">
        <v>5445</v>
      </c>
      <c r="G2416" s="28" t="s">
        <v>5446</v>
      </c>
      <c r="H2416" s="28" t="s">
        <v>174</v>
      </c>
      <c r="I2416" s="28" t="s">
        <v>174</v>
      </c>
      <c r="J2416" s="30" t="s">
        <v>174</v>
      </c>
      <c r="K2416" s="28" t="s">
        <v>844</v>
      </c>
      <c r="L2416" s="31">
        <v>43586</v>
      </c>
      <c r="M2416" s="28">
        <v>5</v>
      </c>
      <c r="N2416" s="32" t="s">
        <v>191</v>
      </c>
      <c r="O2416" s="28" t="s">
        <v>204</v>
      </c>
      <c r="P2416" s="28" t="s">
        <v>5639</v>
      </c>
      <c r="Q2416" s="28" t="s">
        <v>5571</v>
      </c>
      <c r="R2416" s="28" t="s">
        <v>5566</v>
      </c>
    </row>
    <row r="2417" spans="1:18" hidden="1">
      <c r="A2417" s="28">
        <v>5</v>
      </c>
      <c r="B2417" s="29" t="s">
        <v>349</v>
      </c>
      <c r="C2417" s="29" t="s">
        <v>350</v>
      </c>
      <c r="D2417" s="29" t="s">
        <v>351</v>
      </c>
      <c r="E2417" s="29" t="s">
        <v>172</v>
      </c>
      <c r="F2417" s="28" t="s">
        <v>5445</v>
      </c>
      <c r="G2417" s="28" t="s">
        <v>5446</v>
      </c>
      <c r="H2417" s="28" t="s">
        <v>174</v>
      </c>
      <c r="I2417" s="28" t="s">
        <v>174</v>
      </c>
      <c r="J2417" s="30" t="s">
        <v>174</v>
      </c>
      <c r="K2417" s="28" t="s">
        <v>844</v>
      </c>
      <c r="L2417" s="31">
        <v>43586</v>
      </c>
      <c r="M2417" s="28">
        <v>5</v>
      </c>
      <c r="N2417" s="32" t="s">
        <v>191</v>
      </c>
      <c r="O2417" s="28" t="s">
        <v>204</v>
      </c>
      <c r="P2417" s="28" t="s">
        <v>5640</v>
      </c>
      <c r="Q2417" s="28" t="s">
        <v>5604</v>
      </c>
      <c r="R2417" s="28" t="s">
        <v>5605</v>
      </c>
    </row>
    <row r="2418" spans="1:18" hidden="1">
      <c r="A2418" s="28">
        <v>5</v>
      </c>
      <c r="B2418" s="29" t="s">
        <v>349</v>
      </c>
      <c r="C2418" s="29" t="s">
        <v>350</v>
      </c>
      <c r="D2418" s="29" t="s">
        <v>351</v>
      </c>
      <c r="E2418" s="29" t="s">
        <v>172</v>
      </c>
      <c r="F2418" s="28" t="s">
        <v>5445</v>
      </c>
      <c r="G2418" s="28" t="s">
        <v>5450</v>
      </c>
      <c r="H2418" s="28" t="s">
        <v>174</v>
      </c>
      <c r="I2418" s="28" t="s">
        <v>174</v>
      </c>
      <c r="J2418" s="30" t="s">
        <v>174</v>
      </c>
      <c r="K2418" s="28" t="s">
        <v>442</v>
      </c>
      <c r="L2418" s="31">
        <v>43647</v>
      </c>
      <c r="M2418" s="28">
        <v>7</v>
      </c>
      <c r="N2418" s="32" t="s">
        <v>184</v>
      </c>
      <c r="O2418" s="28" t="s">
        <v>204</v>
      </c>
      <c r="P2418" s="28" t="s">
        <v>5641</v>
      </c>
      <c r="Q2418" s="28" t="s">
        <v>5642</v>
      </c>
      <c r="R2418" s="28" t="s">
        <v>5643</v>
      </c>
    </row>
    <row r="2419" spans="1:18" hidden="1">
      <c r="A2419" s="28">
        <v>5</v>
      </c>
      <c r="B2419" s="29" t="s">
        <v>349</v>
      </c>
      <c r="C2419" s="29" t="s">
        <v>350</v>
      </c>
      <c r="D2419" s="29" t="s">
        <v>351</v>
      </c>
      <c r="E2419" s="29" t="s">
        <v>172</v>
      </c>
      <c r="F2419" s="28" t="s">
        <v>5445</v>
      </c>
      <c r="G2419" s="28" t="s">
        <v>5450</v>
      </c>
      <c r="H2419" s="28" t="s">
        <v>174</v>
      </c>
      <c r="I2419" s="28" t="s">
        <v>174</v>
      </c>
      <c r="J2419" s="30" t="s">
        <v>174</v>
      </c>
      <c r="K2419" s="28" t="s">
        <v>752</v>
      </c>
      <c r="L2419" s="31">
        <v>43709</v>
      </c>
      <c r="M2419" s="28">
        <v>9</v>
      </c>
      <c r="N2419" s="32" t="s">
        <v>191</v>
      </c>
      <c r="O2419" s="28" t="s">
        <v>2537</v>
      </c>
      <c r="P2419" s="28" t="s">
        <v>5644</v>
      </c>
      <c r="Q2419" s="28" t="s">
        <v>5645</v>
      </c>
      <c r="R2419" s="28" t="s">
        <v>4696</v>
      </c>
    </row>
    <row r="2420" spans="1:18" hidden="1">
      <c r="A2420" s="28">
        <v>5</v>
      </c>
      <c r="B2420" s="29" t="s">
        <v>349</v>
      </c>
      <c r="C2420" s="29" t="s">
        <v>350</v>
      </c>
      <c r="D2420" s="29" t="s">
        <v>351</v>
      </c>
      <c r="E2420" s="29" t="s">
        <v>172</v>
      </c>
      <c r="F2420" s="28" t="s">
        <v>5445</v>
      </c>
      <c r="G2420" s="28" t="s">
        <v>5446</v>
      </c>
      <c r="H2420" s="28" t="s">
        <v>174</v>
      </c>
      <c r="I2420" s="28" t="s">
        <v>174</v>
      </c>
      <c r="J2420" s="30" t="s">
        <v>174</v>
      </c>
      <c r="K2420" s="28" t="s">
        <v>479</v>
      </c>
      <c r="L2420" s="31">
        <v>43770</v>
      </c>
      <c r="M2420" s="28">
        <v>11</v>
      </c>
      <c r="N2420" s="32" t="s">
        <v>191</v>
      </c>
      <c r="O2420" s="28" t="s">
        <v>204</v>
      </c>
      <c r="P2420" s="28" t="s">
        <v>5646</v>
      </c>
      <c r="Q2420" s="28" t="s">
        <v>5629</v>
      </c>
      <c r="R2420" s="28" t="s">
        <v>5630</v>
      </c>
    </row>
    <row r="2421" spans="1:18" hidden="1">
      <c r="A2421" s="28">
        <v>5</v>
      </c>
      <c r="B2421" s="29" t="s">
        <v>349</v>
      </c>
      <c r="C2421" s="29" t="s">
        <v>350</v>
      </c>
      <c r="D2421" s="29" t="s">
        <v>351</v>
      </c>
      <c r="E2421" s="29" t="s">
        <v>172</v>
      </c>
      <c r="F2421" s="28" t="s">
        <v>5445</v>
      </c>
      <c r="G2421" s="28" t="s">
        <v>5450</v>
      </c>
      <c r="H2421" s="28" t="s">
        <v>174</v>
      </c>
      <c r="I2421" s="28" t="s">
        <v>174</v>
      </c>
      <c r="J2421" s="30" t="s">
        <v>174</v>
      </c>
      <c r="K2421" s="28" t="s">
        <v>183</v>
      </c>
      <c r="L2421" s="31">
        <v>43983</v>
      </c>
      <c r="M2421" s="28">
        <v>6</v>
      </c>
      <c r="N2421" s="32" t="s">
        <v>184</v>
      </c>
      <c r="O2421" s="28" t="s">
        <v>2537</v>
      </c>
      <c r="P2421" s="28" t="s">
        <v>5647</v>
      </c>
      <c r="Q2421" s="28" t="s">
        <v>5573</v>
      </c>
      <c r="R2421" s="28" t="s">
        <v>2540</v>
      </c>
    </row>
    <row r="2422" spans="1:18" hidden="1">
      <c r="A2422" s="28">
        <v>5</v>
      </c>
      <c r="B2422" s="29" t="s">
        <v>349</v>
      </c>
      <c r="C2422" s="29" t="s">
        <v>350</v>
      </c>
      <c r="D2422" s="29" t="s">
        <v>351</v>
      </c>
      <c r="E2422" s="29" t="s">
        <v>172</v>
      </c>
      <c r="F2422" s="28" t="s">
        <v>5445</v>
      </c>
      <c r="G2422" s="28" t="s">
        <v>5446</v>
      </c>
      <c r="H2422" s="28" t="s">
        <v>174</v>
      </c>
      <c r="I2422" s="28" t="s">
        <v>174</v>
      </c>
      <c r="J2422" s="30" t="s">
        <v>174</v>
      </c>
      <c r="K2422" s="28" t="s">
        <v>218</v>
      </c>
      <c r="L2422" s="31">
        <v>44044</v>
      </c>
      <c r="M2422" s="28">
        <v>8</v>
      </c>
      <c r="N2422" s="32" t="s">
        <v>184</v>
      </c>
      <c r="O2422" s="28" t="s">
        <v>204</v>
      </c>
      <c r="P2422" s="28" t="s">
        <v>5648</v>
      </c>
      <c r="Q2422" s="28" t="s">
        <v>5604</v>
      </c>
      <c r="R2422" s="28" t="s">
        <v>5605</v>
      </c>
    </row>
    <row r="2423" spans="1:18" hidden="1">
      <c r="A2423" s="28">
        <v>5</v>
      </c>
      <c r="B2423" s="29" t="s">
        <v>349</v>
      </c>
      <c r="C2423" s="29" t="s">
        <v>350</v>
      </c>
      <c r="D2423" s="29" t="s">
        <v>351</v>
      </c>
      <c r="E2423" s="29" t="s">
        <v>172</v>
      </c>
      <c r="F2423" s="28" t="s">
        <v>5445</v>
      </c>
      <c r="G2423" s="28" t="s">
        <v>5450</v>
      </c>
      <c r="H2423" s="28" t="s">
        <v>174</v>
      </c>
      <c r="I2423" s="28" t="s">
        <v>174</v>
      </c>
      <c r="J2423" s="30" t="s">
        <v>174</v>
      </c>
      <c r="K2423" s="28" t="s">
        <v>218</v>
      </c>
      <c r="L2423" s="31">
        <v>44044</v>
      </c>
      <c r="M2423" s="28">
        <v>8</v>
      </c>
      <c r="N2423" s="32" t="s">
        <v>184</v>
      </c>
      <c r="O2423" s="28" t="s">
        <v>204</v>
      </c>
      <c r="P2423" s="28" t="s">
        <v>5649</v>
      </c>
      <c r="Q2423" s="28" t="s">
        <v>5642</v>
      </c>
      <c r="R2423" s="28" t="s">
        <v>5643</v>
      </c>
    </row>
    <row r="2424" spans="1:18" hidden="1">
      <c r="A2424" s="28">
        <v>5</v>
      </c>
      <c r="B2424" s="29" t="s">
        <v>349</v>
      </c>
      <c r="C2424" s="29" t="s">
        <v>355</v>
      </c>
      <c r="D2424" s="29" t="s">
        <v>360</v>
      </c>
      <c r="E2424" s="29" t="s">
        <v>172</v>
      </c>
      <c r="F2424" s="28" t="s">
        <v>5445</v>
      </c>
      <c r="G2424" s="28" t="s">
        <v>5450</v>
      </c>
      <c r="H2424" s="28" t="s">
        <v>174</v>
      </c>
      <c r="I2424" s="28" t="s">
        <v>174</v>
      </c>
      <c r="J2424" s="30" t="s">
        <v>174</v>
      </c>
      <c r="K2424" s="28" t="s">
        <v>435</v>
      </c>
      <c r="L2424" s="31">
        <v>43040</v>
      </c>
      <c r="M2424" s="28">
        <v>11</v>
      </c>
      <c r="N2424" s="32" t="s">
        <v>191</v>
      </c>
      <c r="O2424" s="28" t="s">
        <v>2537</v>
      </c>
      <c r="P2424" s="28" t="s">
        <v>5650</v>
      </c>
      <c r="Q2424" s="28" t="s">
        <v>5651</v>
      </c>
      <c r="R2424" s="28" t="s">
        <v>5652</v>
      </c>
    </row>
    <row r="2425" spans="1:18" hidden="1">
      <c r="A2425" s="28">
        <v>5</v>
      </c>
      <c r="B2425" s="29" t="s">
        <v>349</v>
      </c>
      <c r="C2425" s="29" t="s">
        <v>355</v>
      </c>
      <c r="D2425" s="29" t="s">
        <v>360</v>
      </c>
      <c r="E2425" s="29" t="s">
        <v>172</v>
      </c>
      <c r="F2425" s="28" t="s">
        <v>5445</v>
      </c>
      <c r="G2425" s="28" t="s">
        <v>5450</v>
      </c>
      <c r="H2425" s="28" t="s">
        <v>174</v>
      </c>
      <c r="I2425" s="28" t="s">
        <v>174</v>
      </c>
      <c r="J2425" s="30" t="s">
        <v>174</v>
      </c>
      <c r="K2425" s="28" t="s">
        <v>214</v>
      </c>
      <c r="L2425" s="31">
        <v>43466</v>
      </c>
      <c r="M2425" s="28">
        <v>1</v>
      </c>
      <c r="N2425" s="32" t="s">
        <v>176</v>
      </c>
      <c r="O2425" s="28" t="s">
        <v>2537</v>
      </c>
      <c r="P2425" s="28" t="s">
        <v>5653</v>
      </c>
      <c r="Q2425" s="28" t="s">
        <v>5654</v>
      </c>
      <c r="R2425" s="28" t="s">
        <v>5652</v>
      </c>
    </row>
    <row r="2426" spans="1:18" hidden="1">
      <c r="A2426" s="28">
        <v>6</v>
      </c>
      <c r="B2426" s="29" t="s">
        <v>365</v>
      </c>
      <c r="C2426" s="29" t="s">
        <v>366</v>
      </c>
      <c r="D2426" s="29" t="s">
        <v>367</v>
      </c>
      <c r="E2426" s="29" t="s">
        <v>172</v>
      </c>
      <c r="F2426" s="28" t="s">
        <v>5445</v>
      </c>
      <c r="G2426" s="28" t="s">
        <v>5450</v>
      </c>
      <c r="H2426" s="28" t="s">
        <v>174</v>
      </c>
      <c r="I2426" s="28" t="s">
        <v>174</v>
      </c>
      <c r="J2426" s="30" t="s">
        <v>174</v>
      </c>
      <c r="K2426" s="28" t="s">
        <v>341</v>
      </c>
      <c r="L2426" s="31">
        <v>44228</v>
      </c>
      <c r="M2426" s="28">
        <v>2</v>
      </c>
      <c r="N2426" s="32" t="s">
        <v>176</v>
      </c>
      <c r="O2426" s="28" t="s">
        <v>204</v>
      </c>
      <c r="P2426" s="28" t="s">
        <v>5655</v>
      </c>
      <c r="Q2426" s="28" t="s">
        <v>5656</v>
      </c>
      <c r="R2426" s="28" t="s">
        <v>5657</v>
      </c>
    </row>
    <row r="2427" spans="1:18" hidden="1">
      <c r="A2427" s="28">
        <v>6</v>
      </c>
      <c r="B2427" s="29" t="s">
        <v>365</v>
      </c>
      <c r="C2427" s="29" t="s">
        <v>366</v>
      </c>
      <c r="D2427" s="29" t="s">
        <v>1887</v>
      </c>
      <c r="E2427" s="29" t="s">
        <v>172</v>
      </c>
      <c r="F2427" s="28" t="s">
        <v>5445</v>
      </c>
      <c r="G2427" s="28" t="s">
        <v>5450</v>
      </c>
      <c r="H2427" s="28" t="s">
        <v>174</v>
      </c>
      <c r="I2427" s="28" t="s">
        <v>174</v>
      </c>
      <c r="J2427" s="30" t="s">
        <v>174</v>
      </c>
      <c r="K2427" s="28" t="s">
        <v>464</v>
      </c>
      <c r="L2427" s="31">
        <v>42887</v>
      </c>
      <c r="M2427" s="28">
        <v>6</v>
      </c>
      <c r="N2427" s="32" t="s">
        <v>184</v>
      </c>
      <c r="O2427" s="28" t="s">
        <v>2537</v>
      </c>
      <c r="P2427" s="28" t="s">
        <v>5658</v>
      </c>
      <c r="Q2427" s="28" t="s">
        <v>5659</v>
      </c>
      <c r="R2427" s="28" t="s">
        <v>5657</v>
      </c>
    </row>
    <row r="2428" spans="1:18" hidden="1">
      <c r="A2428" s="28">
        <v>6</v>
      </c>
      <c r="B2428" s="29" t="s">
        <v>365</v>
      </c>
      <c r="C2428" s="29" t="s">
        <v>366</v>
      </c>
      <c r="D2428" s="29" t="s">
        <v>1887</v>
      </c>
      <c r="E2428" s="29" t="s">
        <v>172</v>
      </c>
      <c r="F2428" s="28" t="s">
        <v>5445</v>
      </c>
      <c r="G2428" s="28" t="s">
        <v>5450</v>
      </c>
      <c r="H2428" s="28" t="s">
        <v>174</v>
      </c>
      <c r="I2428" s="28" t="s">
        <v>174</v>
      </c>
      <c r="J2428" s="30" t="s">
        <v>174</v>
      </c>
      <c r="K2428" s="28" t="s">
        <v>473</v>
      </c>
      <c r="L2428" s="31">
        <v>43160</v>
      </c>
      <c r="M2428" s="28">
        <v>3</v>
      </c>
      <c r="N2428" s="32" t="s">
        <v>191</v>
      </c>
      <c r="O2428" s="28" t="s">
        <v>204</v>
      </c>
      <c r="P2428" s="28" t="s">
        <v>5660</v>
      </c>
      <c r="Q2428" s="28" t="s">
        <v>5656</v>
      </c>
      <c r="R2428" s="28" t="s">
        <v>5657</v>
      </c>
    </row>
    <row r="2429" spans="1:18" hidden="1">
      <c r="A2429" s="28">
        <v>6</v>
      </c>
      <c r="B2429" s="29" t="s">
        <v>365</v>
      </c>
      <c r="C2429" s="29" t="s">
        <v>366</v>
      </c>
      <c r="D2429" s="29" t="s">
        <v>1887</v>
      </c>
      <c r="E2429" s="29" t="s">
        <v>172</v>
      </c>
      <c r="F2429" s="28" t="s">
        <v>5445</v>
      </c>
      <c r="G2429" s="28" t="s">
        <v>5450</v>
      </c>
      <c r="H2429" s="28" t="s">
        <v>174</v>
      </c>
      <c r="I2429" s="28" t="s">
        <v>174</v>
      </c>
      <c r="J2429" s="30" t="s">
        <v>174</v>
      </c>
      <c r="K2429" s="28" t="s">
        <v>328</v>
      </c>
      <c r="L2429" s="31">
        <v>43891</v>
      </c>
      <c r="M2429" s="28">
        <v>3</v>
      </c>
      <c r="N2429" s="32" t="s">
        <v>191</v>
      </c>
      <c r="O2429" s="28" t="s">
        <v>2537</v>
      </c>
      <c r="P2429" s="28" t="s">
        <v>5661</v>
      </c>
      <c r="Q2429" s="28" t="s">
        <v>5659</v>
      </c>
      <c r="R2429" s="28" t="s">
        <v>5657</v>
      </c>
    </row>
    <row r="2430" spans="1:18" hidden="1">
      <c r="A2430" s="28">
        <v>6</v>
      </c>
      <c r="B2430" s="29" t="s">
        <v>365</v>
      </c>
      <c r="C2430" s="29" t="s">
        <v>366</v>
      </c>
      <c r="D2430" s="29" t="s">
        <v>1887</v>
      </c>
      <c r="E2430" s="29" t="s">
        <v>172</v>
      </c>
      <c r="F2430" s="28" t="s">
        <v>5445</v>
      </c>
      <c r="G2430" s="28" t="s">
        <v>5450</v>
      </c>
      <c r="H2430" s="28" t="s">
        <v>174</v>
      </c>
      <c r="I2430" s="28" t="s">
        <v>174</v>
      </c>
      <c r="J2430" s="30" t="s">
        <v>174</v>
      </c>
      <c r="K2430" s="28" t="s">
        <v>430</v>
      </c>
      <c r="L2430" s="31">
        <v>44105</v>
      </c>
      <c r="M2430" s="28">
        <v>10</v>
      </c>
      <c r="N2430" s="32" t="s">
        <v>191</v>
      </c>
      <c r="O2430" s="28" t="s">
        <v>2537</v>
      </c>
      <c r="P2430" s="28" t="s">
        <v>5662</v>
      </c>
      <c r="Q2430" s="28" t="s">
        <v>5663</v>
      </c>
      <c r="R2430" s="28" t="s">
        <v>5657</v>
      </c>
    </row>
    <row r="2431" spans="1:18" hidden="1">
      <c r="A2431" s="28">
        <v>1</v>
      </c>
      <c r="B2431" s="29" t="s">
        <v>379</v>
      </c>
      <c r="C2431" s="29" t="s">
        <v>388</v>
      </c>
      <c r="D2431" s="29" t="s">
        <v>389</v>
      </c>
      <c r="E2431" s="29" t="s">
        <v>172</v>
      </c>
      <c r="F2431" s="28" t="s">
        <v>5664</v>
      </c>
      <c r="G2431" s="28" t="s">
        <v>5664</v>
      </c>
      <c r="H2431" s="28" t="s">
        <v>174</v>
      </c>
      <c r="I2431" s="28" t="s">
        <v>174</v>
      </c>
      <c r="J2431" s="30" t="s">
        <v>174</v>
      </c>
      <c r="K2431" s="28" t="s">
        <v>263</v>
      </c>
      <c r="L2431" s="31">
        <v>42430</v>
      </c>
      <c r="M2431" s="28">
        <v>3</v>
      </c>
      <c r="N2431" s="32" t="s">
        <v>191</v>
      </c>
      <c r="O2431" s="28" t="s">
        <v>953</v>
      </c>
      <c r="P2431" s="28" t="s">
        <v>5665</v>
      </c>
      <c r="Q2431" s="28" t="s">
        <v>5666</v>
      </c>
      <c r="R2431" s="28" t="s">
        <v>5667</v>
      </c>
    </row>
    <row r="2432" spans="1:18" hidden="1">
      <c r="A2432" s="28">
        <v>1</v>
      </c>
      <c r="B2432" s="29" t="s">
        <v>379</v>
      </c>
      <c r="C2432" s="29" t="s">
        <v>388</v>
      </c>
      <c r="D2432" s="29" t="s">
        <v>389</v>
      </c>
      <c r="E2432" s="29" t="s">
        <v>172</v>
      </c>
      <c r="F2432" s="28" t="s">
        <v>5664</v>
      </c>
      <c r="G2432" s="28" t="s">
        <v>5664</v>
      </c>
      <c r="H2432" s="28" t="s">
        <v>174</v>
      </c>
      <c r="I2432" s="28" t="s">
        <v>174</v>
      </c>
      <c r="J2432" s="30" t="s">
        <v>174</v>
      </c>
      <c r="K2432" s="28" t="s">
        <v>271</v>
      </c>
      <c r="L2432" s="31">
        <v>42856</v>
      </c>
      <c r="M2432" s="28">
        <v>5</v>
      </c>
      <c r="N2432" s="32" t="s">
        <v>191</v>
      </c>
      <c r="O2432" s="28" t="s">
        <v>953</v>
      </c>
      <c r="P2432" s="28" t="s">
        <v>5668</v>
      </c>
      <c r="Q2432" s="28" t="s">
        <v>5666</v>
      </c>
      <c r="R2432" s="28" t="s">
        <v>5667</v>
      </c>
    </row>
    <row r="2433" spans="1:18" hidden="1">
      <c r="A2433" s="28">
        <v>1</v>
      </c>
      <c r="B2433" s="29" t="s">
        <v>379</v>
      </c>
      <c r="C2433" s="29" t="s">
        <v>388</v>
      </c>
      <c r="D2433" s="29" t="s">
        <v>389</v>
      </c>
      <c r="E2433" s="29" t="s">
        <v>172</v>
      </c>
      <c r="F2433" s="28" t="s">
        <v>5664</v>
      </c>
      <c r="G2433" s="28" t="s">
        <v>5664</v>
      </c>
      <c r="H2433" s="28" t="s">
        <v>174</v>
      </c>
      <c r="I2433" s="28" t="s">
        <v>174</v>
      </c>
      <c r="J2433" s="30" t="s">
        <v>174</v>
      </c>
      <c r="K2433" s="28" t="s">
        <v>496</v>
      </c>
      <c r="L2433" s="31">
        <v>42917</v>
      </c>
      <c r="M2433" s="28">
        <v>7</v>
      </c>
      <c r="N2433" s="32" t="s">
        <v>184</v>
      </c>
      <c r="O2433" s="28" t="s">
        <v>953</v>
      </c>
      <c r="P2433" s="28" t="s">
        <v>5669</v>
      </c>
      <c r="Q2433" s="28" t="s">
        <v>5666</v>
      </c>
      <c r="R2433" s="28" t="s">
        <v>5667</v>
      </c>
    </row>
    <row r="2434" spans="1:18" hidden="1">
      <c r="A2434" s="28">
        <v>1</v>
      </c>
      <c r="B2434" s="29" t="s">
        <v>379</v>
      </c>
      <c r="C2434" s="29" t="s">
        <v>388</v>
      </c>
      <c r="D2434" s="29" t="s">
        <v>389</v>
      </c>
      <c r="E2434" s="29" t="s">
        <v>172</v>
      </c>
      <c r="F2434" s="28" t="s">
        <v>5664</v>
      </c>
      <c r="G2434" s="28" t="s">
        <v>5664</v>
      </c>
      <c r="H2434" s="28" t="s">
        <v>174</v>
      </c>
      <c r="I2434" s="28" t="s">
        <v>174</v>
      </c>
      <c r="J2434" s="30" t="s">
        <v>174</v>
      </c>
      <c r="K2434" s="28" t="s">
        <v>496</v>
      </c>
      <c r="L2434" s="31">
        <v>42917</v>
      </c>
      <c r="M2434" s="28">
        <v>7</v>
      </c>
      <c r="N2434" s="32" t="s">
        <v>184</v>
      </c>
      <c r="O2434" s="28" t="s">
        <v>953</v>
      </c>
      <c r="P2434" s="28" t="s">
        <v>5670</v>
      </c>
      <c r="Q2434" s="28" t="s">
        <v>5666</v>
      </c>
      <c r="R2434" s="28" t="s">
        <v>5667</v>
      </c>
    </row>
    <row r="2435" spans="1:18" hidden="1">
      <c r="A2435" s="28">
        <v>1</v>
      </c>
      <c r="B2435" s="29" t="s">
        <v>379</v>
      </c>
      <c r="C2435" s="29" t="s">
        <v>388</v>
      </c>
      <c r="D2435" s="29" t="s">
        <v>389</v>
      </c>
      <c r="E2435" s="29" t="s">
        <v>172</v>
      </c>
      <c r="F2435" s="28" t="s">
        <v>5664</v>
      </c>
      <c r="G2435" s="28" t="s">
        <v>5664</v>
      </c>
      <c r="H2435" s="28" t="s">
        <v>174</v>
      </c>
      <c r="I2435" s="28" t="s">
        <v>174</v>
      </c>
      <c r="J2435" s="30" t="s">
        <v>174</v>
      </c>
      <c r="K2435" s="28" t="s">
        <v>742</v>
      </c>
      <c r="L2435" s="31">
        <v>42948</v>
      </c>
      <c r="M2435" s="28">
        <v>8</v>
      </c>
      <c r="N2435" s="32" t="s">
        <v>184</v>
      </c>
      <c r="O2435" s="28" t="s">
        <v>953</v>
      </c>
      <c r="P2435" s="28" t="s">
        <v>5671</v>
      </c>
      <c r="Q2435" s="28" t="s">
        <v>5666</v>
      </c>
      <c r="R2435" s="28" t="s">
        <v>5667</v>
      </c>
    </row>
    <row r="2436" spans="1:18" hidden="1">
      <c r="A2436" s="28">
        <v>1</v>
      </c>
      <c r="B2436" s="29" t="s">
        <v>379</v>
      </c>
      <c r="C2436" s="29" t="s">
        <v>388</v>
      </c>
      <c r="D2436" s="29" t="s">
        <v>389</v>
      </c>
      <c r="E2436" s="29" t="s">
        <v>172</v>
      </c>
      <c r="F2436" s="28" t="s">
        <v>5664</v>
      </c>
      <c r="G2436" s="28" t="s">
        <v>5664</v>
      </c>
      <c r="H2436" s="28" t="s">
        <v>174</v>
      </c>
      <c r="I2436" s="28" t="s">
        <v>174</v>
      </c>
      <c r="J2436" s="30" t="s">
        <v>174</v>
      </c>
      <c r="K2436" s="28" t="s">
        <v>813</v>
      </c>
      <c r="L2436" s="31">
        <v>43009</v>
      </c>
      <c r="M2436" s="28">
        <v>10</v>
      </c>
      <c r="N2436" s="32" t="s">
        <v>191</v>
      </c>
      <c r="O2436" s="28" t="s">
        <v>953</v>
      </c>
      <c r="P2436" s="28" t="s">
        <v>5672</v>
      </c>
      <c r="Q2436" s="28" t="s">
        <v>5666</v>
      </c>
      <c r="R2436" s="28" t="s">
        <v>5667</v>
      </c>
    </row>
    <row r="2437" spans="1:18" hidden="1">
      <c r="A2437" s="28">
        <v>1</v>
      </c>
      <c r="B2437" s="29" t="s">
        <v>379</v>
      </c>
      <c r="C2437" s="29" t="s">
        <v>388</v>
      </c>
      <c r="D2437" s="29" t="s">
        <v>389</v>
      </c>
      <c r="E2437" s="29" t="s">
        <v>172</v>
      </c>
      <c r="F2437" s="28" t="s">
        <v>5664</v>
      </c>
      <c r="G2437" s="28" t="s">
        <v>5664</v>
      </c>
      <c r="H2437" s="28" t="s">
        <v>174</v>
      </c>
      <c r="I2437" s="28" t="s">
        <v>174</v>
      </c>
      <c r="J2437" s="30" t="s">
        <v>174</v>
      </c>
      <c r="K2437" s="28" t="s">
        <v>248</v>
      </c>
      <c r="L2437" s="31">
        <v>43070</v>
      </c>
      <c r="M2437" s="28">
        <v>12</v>
      </c>
      <c r="N2437" s="32" t="s">
        <v>176</v>
      </c>
      <c r="O2437" s="28" t="s">
        <v>953</v>
      </c>
      <c r="P2437" s="28" t="s">
        <v>5673</v>
      </c>
      <c r="Q2437" s="28" t="s">
        <v>5666</v>
      </c>
      <c r="R2437" s="28" t="s">
        <v>5667</v>
      </c>
    </row>
    <row r="2438" spans="1:18" hidden="1">
      <c r="A2438" s="28">
        <v>1</v>
      </c>
      <c r="B2438" s="29" t="s">
        <v>379</v>
      </c>
      <c r="C2438" s="29" t="s">
        <v>388</v>
      </c>
      <c r="D2438" s="29" t="s">
        <v>389</v>
      </c>
      <c r="E2438" s="29" t="s">
        <v>172</v>
      </c>
      <c r="F2438" s="28" t="s">
        <v>5664</v>
      </c>
      <c r="G2438" s="28" t="s">
        <v>5664</v>
      </c>
      <c r="H2438" s="28" t="s">
        <v>174</v>
      </c>
      <c r="I2438" s="28" t="s">
        <v>174</v>
      </c>
      <c r="J2438" s="30" t="s">
        <v>174</v>
      </c>
      <c r="K2438" s="28" t="s">
        <v>302</v>
      </c>
      <c r="L2438" s="31">
        <v>43282</v>
      </c>
      <c r="M2438" s="28">
        <v>7</v>
      </c>
      <c r="N2438" s="32" t="s">
        <v>184</v>
      </c>
      <c r="O2438" s="28" t="s">
        <v>794</v>
      </c>
      <c r="P2438" s="28" t="s">
        <v>5674</v>
      </c>
      <c r="Q2438" s="28" t="s">
        <v>5675</v>
      </c>
      <c r="R2438" s="28" t="s">
        <v>5676</v>
      </c>
    </row>
    <row r="2439" spans="1:18" hidden="1">
      <c r="A2439" s="28">
        <v>1</v>
      </c>
      <c r="B2439" s="29" t="s">
        <v>379</v>
      </c>
      <c r="C2439" s="29" t="s">
        <v>388</v>
      </c>
      <c r="D2439" s="29" t="s">
        <v>999</v>
      </c>
      <c r="E2439" s="29" t="s">
        <v>172</v>
      </c>
      <c r="F2439" s="28" t="s">
        <v>5664</v>
      </c>
      <c r="G2439" s="28" t="s">
        <v>5664</v>
      </c>
      <c r="H2439" s="28" t="s">
        <v>174</v>
      </c>
      <c r="I2439" s="28" t="s">
        <v>174</v>
      </c>
      <c r="J2439" s="30" t="s">
        <v>174</v>
      </c>
      <c r="K2439" s="28" t="s">
        <v>424</v>
      </c>
      <c r="L2439" s="31">
        <v>43678</v>
      </c>
      <c r="M2439" s="28">
        <v>8</v>
      </c>
      <c r="N2439" s="32" t="s">
        <v>184</v>
      </c>
      <c r="O2439" s="28" t="s">
        <v>953</v>
      </c>
      <c r="P2439" s="28" t="s">
        <v>5677</v>
      </c>
      <c r="Q2439" s="28" t="s">
        <v>5678</v>
      </c>
      <c r="R2439" s="28" t="s">
        <v>990</v>
      </c>
    </row>
    <row r="2440" spans="1:18" hidden="1">
      <c r="A2440" s="28">
        <v>1</v>
      </c>
      <c r="B2440" s="29" t="s">
        <v>379</v>
      </c>
      <c r="C2440" s="29" t="s">
        <v>1048</v>
      </c>
      <c r="D2440" s="29" t="s">
        <v>1057</v>
      </c>
      <c r="E2440" s="29" t="s">
        <v>172</v>
      </c>
      <c r="F2440" s="28" t="s">
        <v>5664</v>
      </c>
      <c r="G2440" s="28" t="s">
        <v>5664</v>
      </c>
      <c r="H2440" s="28" t="s">
        <v>174</v>
      </c>
      <c r="I2440" s="28" t="s">
        <v>174</v>
      </c>
      <c r="J2440" s="30" t="s">
        <v>174</v>
      </c>
      <c r="K2440" s="28" t="s">
        <v>293</v>
      </c>
      <c r="L2440" s="31">
        <v>43374</v>
      </c>
      <c r="M2440" s="28">
        <v>10</v>
      </c>
      <c r="N2440" s="32" t="s">
        <v>191</v>
      </c>
      <c r="O2440" s="28" t="s">
        <v>185</v>
      </c>
      <c r="P2440" s="28" t="s">
        <v>5679</v>
      </c>
      <c r="Q2440" s="28" t="s">
        <v>5680</v>
      </c>
      <c r="R2440" s="28" t="s">
        <v>5681</v>
      </c>
    </row>
    <row r="2441" spans="1:18" hidden="1">
      <c r="A2441" s="28">
        <v>1</v>
      </c>
      <c r="B2441" s="29" t="s">
        <v>379</v>
      </c>
      <c r="C2441" s="29" t="s">
        <v>1048</v>
      </c>
      <c r="D2441" s="29" t="s">
        <v>1057</v>
      </c>
      <c r="E2441" s="29" t="s">
        <v>172</v>
      </c>
      <c r="F2441" s="28" t="s">
        <v>5664</v>
      </c>
      <c r="G2441" s="28" t="s">
        <v>5664</v>
      </c>
      <c r="H2441" s="28" t="s">
        <v>174</v>
      </c>
      <c r="I2441" s="28" t="s">
        <v>174</v>
      </c>
      <c r="J2441" s="30" t="s">
        <v>174</v>
      </c>
      <c r="K2441" s="28" t="s">
        <v>415</v>
      </c>
      <c r="L2441" s="31">
        <v>43952</v>
      </c>
      <c r="M2441" s="28">
        <v>5</v>
      </c>
      <c r="N2441" s="32" t="s">
        <v>191</v>
      </c>
      <c r="O2441" s="28" t="s">
        <v>185</v>
      </c>
      <c r="P2441" s="28" t="s">
        <v>5682</v>
      </c>
      <c r="Q2441" s="28" t="s">
        <v>5680</v>
      </c>
      <c r="R2441" s="28" t="s">
        <v>5683</v>
      </c>
    </row>
    <row r="2442" spans="1:18" hidden="1">
      <c r="A2442" s="28">
        <v>1</v>
      </c>
      <c r="B2442" s="29" t="s">
        <v>379</v>
      </c>
      <c r="C2442" s="29" t="s">
        <v>1048</v>
      </c>
      <c r="D2442" s="29" t="s">
        <v>1057</v>
      </c>
      <c r="E2442" s="29" t="s">
        <v>172</v>
      </c>
      <c r="F2442" s="28" t="s">
        <v>5664</v>
      </c>
      <c r="G2442" s="28" t="s">
        <v>5664</v>
      </c>
      <c r="H2442" s="28" t="s">
        <v>174</v>
      </c>
      <c r="I2442" s="28" t="s">
        <v>174</v>
      </c>
      <c r="J2442" s="30" t="s">
        <v>174</v>
      </c>
      <c r="K2442" s="28" t="s">
        <v>643</v>
      </c>
      <c r="L2442" s="31">
        <v>44013</v>
      </c>
      <c r="M2442" s="28">
        <v>7</v>
      </c>
      <c r="N2442" s="32" t="s">
        <v>184</v>
      </c>
      <c r="O2442" s="28" t="s">
        <v>185</v>
      </c>
      <c r="P2442" s="28" t="s">
        <v>5684</v>
      </c>
      <c r="Q2442" s="28" t="s">
        <v>5680</v>
      </c>
      <c r="R2442" s="28" t="s">
        <v>5683</v>
      </c>
    </row>
    <row r="2443" spans="1:18" hidden="1">
      <c r="A2443" s="28">
        <v>1</v>
      </c>
      <c r="B2443" s="29" t="s">
        <v>379</v>
      </c>
      <c r="C2443" s="29" t="s">
        <v>395</v>
      </c>
      <c r="D2443" s="29" t="s">
        <v>396</v>
      </c>
      <c r="E2443" s="29" t="s">
        <v>172</v>
      </c>
      <c r="F2443" s="28" t="s">
        <v>5664</v>
      </c>
      <c r="G2443" s="28" t="s">
        <v>5664</v>
      </c>
      <c r="H2443" s="28" t="s">
        <v>174</v>
      </c>
      <c r="I2443" s="28" t="s">
        <v>174</v>
      </c>
      <c r="J2443" s="30" t="s">
        <v>174</v>
      </c>
      <c r="K2443" s="28" t="s">
        <v>267</v>
      </c>
      <c r="L2443" s="31">
        <v>42583</v>
      </c>
      <c r="M2443" s="28">
        <v>8</v>
      </c>
      <c r="N2443" s="32" t="s">
        <v>184</v>
      </c>
      <c r="O2443" s="28" t="s">
        <v>953</v>
      </c>
      <c r="P2443" s="28" t="s">
        <v>5685</v>
      </c>
      <c r="Q2443" s="28" t="s">
        <v>5686</v>
      </c>
      <c r="R2443" s="28" t="s">
        <v>5687</v>
      </c>
    </row>
    <row r="2444" spans="1:18" hidden="1">
      <c r="A2444" s="28">
        <v>1</v>
      </c>
      <c r="B2444" s="29" t="s">
        <v>379</v>
      </c>
      <c r="C2444" s="29" t="s">
        <v>1193</v>
      </c>
      <c r="D2444" s="29" t="s">
        <v>1203</v>
      </c>
      <c r="E2444" s="29" t="s">
        <v>172</v>
      </c>
      <c r="F2444" s="28" t="s">
        <v>5664</v>
      </c>
      <c r="G2444" s="28" t="s">
        <v>5664</v>
      </c>
      <c r="H2444" s="28" t="s">
        <v>174</v>
      </c>
      <c r="I2444" s="28" t="s">
        <v>174</v>
      </c>
      <c r="J2444" s="30" t="s">
        <v>174</v>
      </c>
      <c r="K2444" s="28" t="s">
        <v>361</v>
      </c>
      <c r="L2444" s="31">
        <v>43435</v>
      </c>
      <c r="M2444" s="28">
        <v>12</v>
      </c>
      <c r="N2444" s="32" t="s">
        <v>176</v>
      </c>
      <c r="O2444" s="28" t="s">
        <v>953</v>
      </c>
      <c r="P2444" s="28" t="s">
        <v>5688</v>
      </c>
      <c r="Q2444" s="28" t="s">
        <v>5689</v>
      </c>
      <c r="R2444" s="28" t="s">
        <v>5690</v>
      </c>
    </row>
    <row r="2445" spans="1:18" hidden="1">
      <c r="A2445" s="28">
        <v>11</v>
      </c>
      <c r="B2445" s="29" t="s">
        <v>169</v>
      </c>
      <c r="C2445" s="29" t="s">
        <v>170</v>
      </c>
      <c r="D2445" s="29" t="s">
        <v>171</v>
      </c>
      <c r="E2445" s="29" t="s">
        <v>172</v>
      </c>
      <c r="F2445" s="28" t="s">
        <v>5664</v>
      </c>
      <c r="G2445" s="28" t="s">
        <v>5664</v>
      </c>
      <c r="H2445" s="28" t="s">
        <v>174</v>
      </c>
      <c r="I2445" s="28" t="s">
        <v>174</v>
      </c>
      <c r="J2445" s="30" t="s">
        <v>174</v>
      </c>
      <c r="K2445" s="28" t="s">
        <v>485</v>
      </c>
      <c r="L2445" s="31">
        <v>42401</v>
      </c>
      <c r="M2445" s="28">
        <v>2</v>
      </c>
      <c r="N2445" s="32" t="s">
        <v>176</v>
      </c>
      <c r="O2445" s="28" t="s">
        <v>953</v>
      </c>
      <c r="P2445" s="28" t="s">
        <v>5691</v>
      </c>
      <c r="Q2445" s="28" t="s">
        <v>5692</v>
      </c>
      <c r="R2445" s="28" t="s">
        <v>5693</v>
      </c>
    </row>
    <row r="2446" spans="1:18" hidden="1">
      <c r="A2446" s="28">
        <v>11</v>
      </c>
      <c r="B2446" s="29" t="s">
        <v>169</v>
      </c>
      <c r="C2446" s="29" t="s">
        <v>170</v>
      </c>
      <c r="D2446" s="29" t="s">
        <v>171</v>
      </c>
      <c r="E2446" s="29" t="s">
        <v>172</v>
      </c>
      <c r="F2446" s="28" t="s">
        <v>5664</v>
      </c>
      <c r="G2446" s="28" t="s">
        <v>5664</v>
      </c>
      <c r="H2446" s="28" t="s">
        <v>174</v>
      </c>
      <c r="I2446" s="28" t="s">
        <v>174</v>
      </c>
      <c r="J2446" s="30" t="s">
        <v>174</v>
      </c>
      <c r="K2446" s="28" t="s">
        <v>405</v>
      </c>
      <c r="L2446" s="31">
        <v>43221</v>
      </c>
      <c r="M2446" s="28">
        <v>5</v>
      </c>
      <c r="N2446" s="32" t="s">
        <v>191</v>
      </c>
      <c r="O2446" s="28" t="s">
        <v>953</v>
      </c>
      <c r="P2446" s="28" t="s">
        <v>5694</v>
      </c>
      <c r="Q2446" s="28" t="s">
        <v>5695</v>
      </c>
      <c r="R2446" s="28" t="s">
        <v>5696</v>
      </c>
    </row>
    <row r="2447" spans="1:18" hidden="1">
      <c r="A2447" s="28">
        <v>11</v>
      </c>
      <c r="B2447" s="29" t="s">
        <v>169</v>
      </c>
      <c r="C2447" s="29" t="s">
        <v>170</v>
      </c>
      <c r="D2447" s="29" t="s">
        <v>171</v>
      </c>
      <c r="E2447" s="29" t="s">
        <v>172</v>
      </c>
      <c r="F2447" s="28" t="s">
        <v>5664</v>
      </c>
      <c r="G2447" s="28" t="s">
        <v>5664</v>
      </c>
      <c r="H2447" s="28" t="s">
        <v>174</v>
      </c>
      <c r="I2447" s="28" t="s">
        <v>174</v>
      </c>
      <c r="J2447" s="30" t="s">
        <v>174</v>
      </c>
      <c r="K2447" s="28" t="s">
        <v>678</v>
      </c>
      <c r="L2447" s="31">
        <v>43344</v>
      </c>
      <c r="M2447" s="28">
        <v>9</v>
      </c>
      <c r="N2447" s="32" t="s">
        <v>191</v>
      </c>
      <c r="O2447" s="28" t="s">
        <v>953</v>
      </c>
      <c r="P2447" s="28" t="s">
        <v>5697</v>
      </c>
      <c r="Q2447" s="28" t="s">
        <v>5695</v>
      </c>
      <c r="R2447" s="28" t="s">
        <v>5696</v>
      </c>
    </row>
    <row r="2448" spans="1:18" hidden="1">
      <c r="A2448" s="28">
        <v>11</v>
      </c>
      <c r="B2448" s="29" t="s">
        <v>169</v>
      </c>
      <c r="C2448" s="29" t="s">
        <v>170</v>
      </c>
      <c r="D2448" s="29" t="s">
        <v>171</v>
      </c>
      <c r="E2448" s="29" t="s">
        <v>172</v>
      </c>
      <c r="F2448" s="28" t="s">
        <v>5664</v>
      </c>
      <c r="G2448" s="28" t="s">
        <v>5664</v>
      </c>
      <c r="H2448" s="28" t="s">
        <v>174</v>
      </c>
      <c r="I2448" s="28" t="s">
        <v>174</v>
      </c>
      <c r="J2448" s="30" t="s">
        <v>174</v>
      </c>
      <c r="K2448" s="28" t="s">
        <v>501</v>
      </c>
      <c r="L2448" s="31">
        <v>43405</v>
      </c>
      <c r="M2448" s="28">
        <v>11</v>
      </c>
      <c r="N2448" s="32" t="s">
        <v>191</v>
      </c>
      <c r="O2448" s="28" t="s">
        <v>953</v>
      </c>
      <c r="P2448" s="28" t="s">
        <v>5698</v>
      </c>
      <c r="Q2448" s="28" t="s">
        <v>5699</v>
      </c>
      <c r="R2448" s="28" t="s">
        <v>5700</v>
      </c>
    </row>
    <row r="2449" spans="1:18" hidden="1">
      <c r="A2449" s="28">
        <v>11</v>
      </c>
      <c r="B2449" s="29" t="s">
        <v>169</v>
      </c>
      <c r="C2449" s="29" t="s">
        <v>170</v>
      </c>
      <c r="D2449" s="29" t="s">
        <v>171</v>
      </c>
      <c r="E2449" s="29" t="s">
        <v>172</v>
      </c>
      <c r="F2449" s="28" t="s">
        <v>5664</v>
      </c>
      <c r="G2449" s="28" t="s">
        <v>5664</v>
      </c>
      <c r="H2449" s="28" t="s">
        <v>174</v>
      </c>
      <c r="I2449" s="28" t="s">
        <v>174</v>
      </c>
      <c r="J2449" s="30" t="s">
        <v>174</v>
      </c>
      <c r="K2449" s="28" t="s">
        <v>844</v>
      </c>
      <c r="L2449" s="31">
        <v>43586</v>
      </c>
      <c r="M2449" s="28">
        <v>5</v>
      </c>
      <c r="N2449" s="32" t="s">
        <v>191</v>
      </c>
      <c r="O2449" s="28" t="s">
        <v>953</v>
      </c>
      <c r="P2449" s="28" t="s">
        <v>5701</v>
      </c>
      <c r="Q2449" s="28" t="s">
        <v>5695</v>
      </c>
      <c r="R2449" s="28" t="s">
        <v>5696</v>
      </c>
    </row>
    <row r="2450" spans="1:18" hidden="1">
      <c r="A2450" s="28">
        <v>11</v>
      </c>
      <c r="B2450" s="29" t="s">
        <v>169</v>
      </c>
      <c r="C2450" s="29" t="s">
        <v>170</v>
      </c>
      <c r="D2450" s="29" t="s">
        <v>171</v>
      </c>
      <c r="E2450" s="29" t="s">
        <v>172</v>
      </c>
      <c r="F2450" s="28" t="s">
        <v>5664</v>
      </c>
      <c r="G2450" s="28" t="s">
        <v>5664</v>
      </c>
      <c r="H2450" s="28" t="s">
        <v>174</v>
      </c>
      <c r="I2450" s="28" t="s">
        <v>174</v>
      </c>
      <c r="J2450" s="30" t="s">
        <v>174</v>
      </c>
      <c r="K2450" s="28" t="s">
        <v>522</v>
      </c>
      <c r="L2450" s="31">
        <v>44256</v>
      </c>
      <c r="M2450" s="28">
        <v>3</v>
      </c>
      <c r="N2450" s="32" t="s">
        <v>191</v>
      </c>
      <c r="O2450" s="28" t="s">
        <v>953</v>
      </c>
      <c r="P2450" s="28" t="s">
        <v>5702</v>
      </c>
      <c r="Q2450" s="28" t="s">
        <v>5695</v>
      </c>
      <c r="R2450" s="28" t="s">
        <v>5696</v>
      </c>
    </row>
    <row r="2451" spans="1:18" hidden="1">
      <c r="A2451" s="28">
        <v>11</v>
      </c>
      <c r="B2451" s="29" t="s">
        <v>169</v>
      </c>
      <c r="C2451" s="29" t="s">
        <v>170</v>
      </c>
      <c r="D2451" s="29" t="s">
        <v>171</v>
      </c>
      <c r="E2451" s="29" t="s">
        <v>172</v>
      </c>
      <c r="F2451" s="28" t="s">
        <v>5664</v>
      </c>
      <c r="G2451" s="28" t="s">
        <v>5664</v>
      </c>
      <c r="H2451" s="28" t="s">
        <v>174</v>
      </c>
      <c r="I2451" s="28" t="s">
        <v>174</v>
      </c>
      <c r="J2451" s="30" t="s">
        <v>174</v>
      </c>
      <c r="K2451" s="28" t="s">
        <v>632</v>
      </c>
      <c r="L2451" s="31">
        <v>44378</v>
      </c>
      <c r="M2451" s="28">
        <v>7</v>
      </c>
      <c r="N2451" s="32" t="s">
        <v>184</v>
      </c>
      <c r="O2451" s="28" t="s">
        <v>204</v>
      </c>
      <c r="P2451" s="28" t="s">
        <v>5703</v>
      </c>
      <c r="Q2451" s="28" t="s">
        <v>5704</v>
      </c>
      <c r="R2451" s="28" t="s">
        <v>3859</v>
      </c>
    </row>
    <row r="2452" spans="1:18" hidden="1">
      <c r="A2452" s="28">
        <v>11</v>
      </c>
      <c r="B2452" s="29" t="s">
        <v>169</v>
      </c>
      <c r="C2452" s="29" t="s">
        <v>1271</v>
      </c>
      <c r="D2452" s="29" t="s">
        <v>1276</v>
      </c>
      <c r="E2452" s="29" t="s">
        <v>172</v>
      </c>
      <c r="F2452" s="28" t="s">
        <v>5664</v>
      </c>
      <c r="G2452" s="28" t="s">
        <v>5664</v>
      </c>
      <c r="H2452" s="28" t="s">
        <v>174</v>
      </c>
      <c r="I2452" s="28" t="s">
        <v>174</v>
      </c>
      <c r="J2452" s="30" t="s">
        <v>174</v>
      </c>
      <c r="K2452" s="28" t="s">
        <v>435</v>
      </c>
      <c r="L2452" s="31">
        <v>43040</v>
      </c>
      <c r="M2452" s="28">
        <v>11</v>
      </c>
      <c r="N2452" s="32" t="s">
        <v>191</v>
      </c>
      <c r="O2452" s="28" t="s">
        <v>185</v>
      </c>
      <c r="P2452" s="28" t="s">
        <v>5705</v>
      </c>
      <c r="Q2452" s="28" t="s">
        <v>5706</v>
      </c>
      <c r="R2452" s="28" t="s">
        <v>5707</v>
      </c>
    </row>
    <row r="2453" spans="1:18" hidden="1">
      <c r="A2453" s="28">
        <v>11</v>
      </c>
      <c r="B2453" s="29" t="s">
        <v>169</v>
      </c>
      <c r="C2453" s="29" t="s">
        <v>181</v>
      </c>
      <c r="D2453" s="29" t="s">
        <v>182</v>
      </c>
      <c r="E2453" s="29" t="s">
        <v>172</v>
      </c>
      <c r="F2453" s="28" t="s">
        <v>5664</v>
      </c>
      <c r="G2453" s="28" t="s">
        <v>5664</v>
      </c>
      <c r="H2453" s="28" t="s">
        <v>174</v>
      </c>
      <c r="I2453" s="28" t="s">
        <v>174</v>
      </c>
      <c r="J2453" s="30" t="s">
        <v>174</v>
      </c>
      <c r="K2453" s="28" t="s">
        <v>489</v>
      </c>
      <c r="L2453" s="31">
        <v>42491</v>
      </c>
      <c r="M2453" s="28">
        <v>5</v>
      </c>
      <c r="N2453" s="32" t="s">
        <v>191</v>
      </c>
      <c r="O2453" s="28" t="s">
        <v>953</v>
      </c>
      <c r="P2453" s="28" t="s">
        <v>5708</v>
      </c>
      <c r="Q2453" s="28" t="s">
        <v>5709</v>
      </c>
      <c r="R2453" s="28" t="s">
        <v>3970</v>
      </c>
    </row>
    <row r="2454" spans="1:18" hidden="1">
      <c r="A2454" s="28">
        <v>11</v>
      </c>
      <c r="B2454" s="29" t="s">
        <v>169</v>
      </c>
      <c r="C2454" s="29" t="s">
        <v>181</v>
      </c>
      <c r="D2454" s="29" t="s">
        <v>182</v>
      </c>
      <c r="E2454" s="29" t="s">
        <v>172</v>
      </c>
      <c r="F2454" s="28" t="s">
        <v>5664</v>
      </c>
      <c r="G2454" s="28" t="s">
        <v>5664</v>
      </c>
      <c r="H2454" s="28" t="s">
        <v>174</v>
      </c>
      <c r="I2454" s="28" t="s">
        <v>174</v>
      </c>
      <c r="J2454" s="30" t="s">
        <v>174</v>
      </c>
      <c r="K2454" s="28" t="s">
        <v>257</v>
      </c>
      <c r="L2454" s="31">
        <v>42552</v>
      </c>
      <c r="M2454" s="28">
        <v>7</v>
      </c>
      <c r="N2454" s="32" t="s">
        <v>184</v>
      </c>
      <c r="O2454" s="28" t="s">
        <v>953</v>
      </c>
      <c r="P2454" s="28" t="s">
        <v>5710</v>
      </c>
      <c r="Q2454" s="28" t="s">
        <v>5709</v>
      </c>
      <c r="R2454" s="28" t="s">
        <v>3970</v>
      </c>
    </row>
    <row r="2455" spans="1:18" hidden="1">
      <c r="A2455" s="28">
        <v>11</v>
      </c>
      <c r="B2455" s="29" t="s">
        <v>169</v>
      </c>
      <c r="C2455" s="29" t="s">
        <v>181</v>
      </c>
      <c r="D2455" s="29" t="s">
        <v>182</v>
      </c>
      <c r="E2455" s="29" t="s">
        <v>172</v>
      </c>
      <c r="F2455" s="28" t="s">
        <v>5664</v>
      </c>
      <c r="G2455" s="28" t="s">
        <v>5664</v>
      </c>
      <c r="H2455" s="28" t="s">
        <v>174</v>
      </c>
      <c r="I2455" s="28" t="s">
        <v>174</v>
      </c>
      <c r="J2455" s="30" t="s">
        <v>174</v>
      </c>
      <c r="K2455" s="28" t="s">
        <v>651</v>
      </c>
      <c r="L2455" s="31">
        <v>42644</v>
      </c>
      <c r="M2455" s="28">
        <v>10</v>
      </c>
      <c r="N2455" s="32" t="s">
        <v>191</v>
      </c>
      <c r="O2455" s="28" t="s">
        <v>953</v>
      </c>
      <c r="P2455" s="28" t="s">
        <v>5711</v>
      </c>
      <c r="Q2455" s="28" t="s">
        <v>5709</v>
      </c>
      <c r="R2455" s="28" t="s">
        <v>3970</v>
      </c>
    </row>
    <row r="2456" spans="1:18" hidden="1">
      <c r="A2456" s="28">
        <v>11</v>
      </c>
      <c r="B2456" s="29" t="s">
        <v>169</v>
      </c>
      <c r="C2456" s="29" t="s">
        <v>181</v>
      </c>
      <c r="D2456" s="29" t="s">
        <v>182</v>
      </c>
      <c r="E2456" s="29" t="s">
        <v>172</v>
      </c>
      <c r="F2456" s="28" t="s">
        <v>5664</v>
      </c>
      <c r="G2456" s="28" t="s">
        <v>5664</v>
      </c>
      <c r="H2456" s="28" t="s">
        <v>174</v>
      </c>
      <c r="I2456" s="28" t="s">
        <v>174</v>
      </c>
      <c r="J2456" s="30" t="s">
        <v>174</v>
      </c>
      <c r="K2456" s="28" t="s">
        <v>651</v>
      </c>
      <c r="L2456" s="31">
        <v>42644</v>
      </c>
      <c r="M2456" s="28">
        <v>10</v>
      </c>
      <c r="N2456" s="32" t="s">
        <v>191</v>
      </c>
      <c r="O2456" s="28" t="s">
        <v>953</v>
      </c>
      <c r="P2456" s="28" t="s">
        <v>5712</v>
      </c>
      <c r="Q2456" s="28" t="s">
        <v>5709</v>
      </c>
      <c r="R2456" s="28" t="s">
        <v>3970</v>
      </c>
    </row>
    <row r="2457" spans="1:18" hidden="1">
      <c r="A2457" s="28">
        <v>11</v>
      </c>
      <c r="B2457" s="29" t="s">
        <v>169</v>
      </c>
      <c r="C2457" s="29" t="s">
        <v>181</v>
      </c>
      <c r="D2457" s="29" t="s">
        <v>182</v>
      </c>
      <c r="E2457" s="29" t="s">
        <v>172</v>
      </c>
      <c r="F2457" s="28" t="s">
        <v>5664</v>
      </c>
      <c r="G2457" s="28" t="s">
        <v>5664</v>
      </c>
      <c r="H2457" s="28" t="s">
        <v>174</v>
      </c>
      <c r="I2457" s="28" t="s">
        <v>174</v>
      </c>
      <c r="J2457" s="30" t="s">
        <v>174</v>
      </c>
      <c r="K2457" s="28" t="s">
        <v>198</v>
      </c>
      <c r="L2457" s="31">
        <v>42767</v>
      </c>
      <c r="M2457" s="28">
        <v>2</v>
      </c>
      <c r="N2457" s="32" t="s">
        <v>176</v>
      </c>
      <c r="O2457" s="28" t="s">
        <v>953</v>
      </c>
      <c r="P2457" s="28" t="s">
        <v>5713</v>
      </c>
      <c r="Q2457" s="28" t="s">
        <v>5709</v>
      </c>
      <c r="R2457" s="28" t="s">
        <v>3970</v>
      </c>
    </row>
    <row r="2458" spans="1:18" hidden="1">
      <c r="A2458" s="28">
        <v>11</v>
      </c>
      <c r="B2458" s="29" t="s">
        <v>169</v>
      </c>
      <c r="C2458" s="29" t="s">
        <v>181</v>
      </c>
      <c r="D2458" s="29" t="s">
        <v>182</v>
      </c>
      <c r="E2458" s="29" t="s">
        <v>172</v>
      </c>
      <c r="F2458" s="28" t="s">
        <v>5664</v>
      </c>
      <c r="G2458" s="28" t="s">
        <v>5664</v>
      </c>
      <c r="H2458" s="28" t="s">
        <v>174</v>
      </c>
      <c r="I2458" s="28" t="s">
        <v>174</v>
      </c>
      <c r="J2458" s="30" t="s">
        <v>174</v>
      </c>
      <c r="K2458" s="28" t="s">
        <v>302</v>
      </c>
      <c r="L2458" s="31">
        <v>43282</v>
      </c>
      <c r="M2458" s="28">
        <v>7</v>
      </c>
      <c r="N2458" s="32" t="s">
        <v>184</v>
      </c>
      <c r="O2458" s="28" t="s">
        <v>953</v>
      </c>
      <c r="P2458" s="28" t="s">
        <v>5714</v>
      </c>
      <c r="Q2458" s="28" t="s">
        <v>5709</v>
      </c>
      <c r="R2458" s="28" t="s">
        <v>3970</v>
      </c>
    </row>
    <row r="2459" spans="1:18" hidden="1">
      <c r="A2459" s="28">
        <v>11</v>
      </c>
      <c r="B2459" s="29" t="s">
        <v>169</v>
      </c>
      <c r="C2459" s="29" t="s">
        <v>181</v>
      </c>
      <c r="D2459" s="29" t="s">
        <v>182</v>
      </c>
      <c r="E2459" s="29" t="s">
        <v>172</v>
      </c>
      <c r="F2459" s="28" t="s">
        <v>5664</v>
      </c>
      <c r="G2459" s="28" t="s">
        <v>5664</v>
      </c>
      <c r="H2459" s="28" t="s">
        <v>174</v>
      </c>
      <c r="I2459" s="28" t="s">
        <v>174</v>
      </c>
      <c r="J2459" s="30" t="s">
        <v>174</v>
      </c>
      <c r="K2459" s="28" t="s">
        <v>212</v>
      </c>
      <c r="L2459" s="31">
        <v>43313</v>
      </c>
      <c r="M2459" s="28">
        <v>8</v>
      </c>
      <c r="N2459" s="32" t="s">
        <v>184</v>
      </c>
      <c r="O2459" s="28" t="s">
        <v>953</v>
      </c>
      <c r="P2459" s="28" t="s">
        <v>5715</v>
      </c>
      <c r="Q2459" s="28" t="s">
        <v>5709</v>
      </c>
      <c r="R2459" s="28" t="s">
        <v>3970</v>
      </c>
    </row>
    <row r="2460" spans="1:18" hidden="1">
      <c r="A2460" s="28">
        <v>11</v>
      </c>
      <c r="B2460" s="29" t="s">
        <v>169</v>
      </c>
      <c r="C2460" s="29" t="s">
        <v>181</v>
      </c>
      <c r="D2460" s="29" t="s">
        <v>182</v>
      </c>
      <c r="E2460" s="29" t="s">
        <v>172</v>
      </c>
      <c r="F2460" s="28" t="s">
        <v>5664</v>
      </c>
      <c r="G2460" s="28" t="s">
        <v>5664</v>
      </c>
      <c r="H2460" s="28" t="s">
        <v>174</v>
      </c>
      <c r="I2460" s="28" t="s">
        <v>174</v>
      </c>
      <c r="J2460" s="30" t="s">
        <v>174</v>
      </c>
      <c r="K2460" s="28" t="s">
        <v>293</v>
      </c>
      <c r="L2460" s="31">
        <v>43374</v>
      </c>
      <c r="M2460" s="28">
        <v>10</v>
      </c>
      <c r="N2460" s="32" t="s">
        <v>191</v>
      </c>
      <c r="O2460" s="28" t="s">
        <v>953</v>
      </c>
      <c r="P2460" s="28" t="s">
        <v>5716</v>
      </c>
      <c r="Q2460" s="28" t="s">
        <v>5709</v>
      </c>
      <c r="R2460" s="28" t="s">
        <v>3970</v>
      </c>
    </row>
    <row r="2461" spans="1:18" hidden="1">
      <c r="A2461" s="28">
        <v>11</v>
      </c>
      <c r="B2461" s="29" t="s">
        <v>169</v>
      </c>
      <c r="C2461" s="29" t="s">
        <v>181</v>
      </c>
      <c r="D2461" s="29" t="s">
        <v>182</v>
      </c>
      <c r="E2461" s="29" t="s">
        <v>172</v>
      </c>
      <c r="F2461" s="28" t="s">
        <v>5664</v>
      </c>
      <c r="G2461" s="28" t="s">
        <v>5664</v>
      </c>
      <c r="H2461" s="28" t="s">
        <v>174</v>
      </c>
      <c r="I2461" s="28" t="s">
        <v>174</v>
      </c>
      <c r="J2461" s="30" t="s">
        <v>174</v>
      </c>
      <c r="K2461" s="28" t="s">
        <v>1136</v>
      </c>
      <c r="L2461" s="31">
        <v>43497</v>
      </c>
      <c r="M2461" s="28">
        <v>2</v>
      </c>
      <c r="N2461" s="32" t="s">
        <v>176</v>
      </c>
      <c r="O2461" s="28" t="s">
        <v>953</v>
      </c>
      <c r="P2461" s="28" t="s">
        <v>5717</v>
      </c>
      <c r="Q2461" s="28" t="s">
        <v>5709</v>
      </c>
      <c r="R2461" s="28" t="s">
        <v>3970</v>
      </c>
    </row>
    <row r="2462" spans="1:18" hidden="1">
      <c r="A2462" s="28">
        <v>11</v>
      </c>
      <c r="B2462" s="29" t="s">
        <v>169</v>
      </c>
      <c r="C2462" s="29" t="s">
        <v>181</v>
      </c>
      <c r="D2462" s="29" t="s">
        <v>182</v>
      </c>
      <c r="E2462" s="29" t="s">
        <v>172</v>
      </c>
      <c r="F2462" s="28" t="s">
        <v>5664</v>
      </c>
      <c r="G2462" s="28" t="s">
        <v>5664</v>
      </c>
      <c r="H2462" s="28" t="s">
        <v>174</v>
      </c>
      <c r="I2462" s="28" t="s">
        <v>174</v>
      </c>
      <c r="J2462" s="30" t="s">
        <v>174</v>
      </c>
      <c r="K2462" s="28" t="s">
        <v>752</v>
      </c>
      <c r="L2462" s="31">
        <v>43709</v>
      </c>
      <c r="M2462" s="28">
        <v>9</v>
      </c>
      <c r="N2462" s="32" t="s">
        <v>191</v>
      </c>
      <c r="O2462" s="28" t="s">
        <v>953</v>
      </c>
      <c r="P2462" s="28" t="s">
        <v>5718</v>
      </c>
      <c r="Q2462" s="28" t="s">
        <v>5709</v>
      </c>
      <c r="R2462" s="28" t="s">
        <v>3970</v>
      </c>
    </row>
    <row r="2463" spans="1:18" hidden="1">
      <c r="A2463" s="28">
        <v>11</v>
      </c>
      <c r="B2463" s="29" t="s">
        <v>169</v>
      </c>
      <c r="C2463" s="29" t="s">
        <v>181</v>
      </c>
      <c r="D2463" s="29" t="s">
        <v>182</v>
      </c>
      <c r="E2463" s="29" t="s">
        <v>172</v>
      </c>
      <c r="F2463" s="28" t="s">
        <v>5664</v>
      </c>
      <c r="G2463" s="28" t="s">
        <v>5664</v>
      </c>
      <c r="H2463" s="28" t="s">
        <v>174</v>
      </c>
      <c r="I2463" s="28" t="s">
        <v>174</v>
      </c>
      <c r="J2463" s="30" t="s">
        <v>174</v>
      </c>
      <c r="K2463" s="28" t="s">
        <v>415</v>
      </c>
      <c r="L2463" s="31">
        <v>43952</v>
      </c>
      <c r="M2463" s="28">
        <v>5</v>
      </c>
      <c r="N2463" s="32" t="s">
        <v>191</v>
      </c>
      <c r="O2463" s="28" t="s">
        <v>953</v>
      </c>
      <c r="P2463" s="28" t="s">
        <v>5719</v>
      </c>
      <c r="Q2463" s="28" t="s">
        <v>5709</v>
      </c>
      <c r="R2463" s="28" t="s">
        <v>3970</v>
      </c>
    </row>
    <row r="2464" spans="1:18" hidden="1">
      <c r="A2464" s="28">
        <v>11</v>
      </c>
      <c r="B2464" s="29" t="s">
        <v>169</v>
      </c>
      <c r="C2464" s="29" t="s">
        <v>181</v>
      </c>
      <c r="D2464" s="29" t="s">
        <v>182</v>
      </c>
      <c r="E2464" s="29" t="s">
        <v>172</v>
      </c>
      <c r="F2464" s="28" t="s">
        <v>5664</v>
      </c>
      <c r="G2464" s="28" t="s">
        <v>5664</v>
      </c>
      <c r="H2464" s="28" t="s">
        <v>174</v>
      </c>
      <c r="I2464" s="28" t="s">
        <v>174</v>
      </c>
      <c r="J2464" s="30" t="s">
        <v>174</v>
      </c>
      <c r="K2464" s="28" t="s">
        <v>183</v>
      </c>
      <c r="L2464" s="31">
        <v>43983</v>
      </c>
      <c r="M2464" s="28">
        <v>6</v>
      </c>
      <c r="N2464" s="32" t="s">
        <v>184</v>
      </c>
      <c r="O2464" s="28" t="s">
        <v>953</v>
      </c>
      <c r="P2464" s="28" t="s">
        <v>5720</v>
      </c>
      <c r="Q2464" s="28" t="s">
        <v>5709</v>
      </c>
      <c r="R2464" s="28" t="s">
        <v>3970</v>
      </c>
    </row>
    <row r="2465" spans="1:18" hidden="1">
      <c r="A2465" s="28">
        <v>11</v>
      </c>
      <c r="B2465" s="29" t="s">
        <v>169</v>
      </c>
      <c r="C2465" s="29" t="s">
        <v>181</v>
      </c>
      <c r="D2465" s="29" t="s">
        <v>182</v>
      </c>
      <c r="E2465" s="29" t="s">
        <v>172</v>
      </c>
      <c r="F2465" s="28" t="s">
        <v>5664</v>
      </c>
      <c r="G2465" s="28" t="s">
        <v>5664</v>
      </c>
      <c r="H2465" s="28" t="s">
        <v>174</v>
      </c>
      <c r="I2465" s="28" t="s">
        <v>174</v>
      </c>
      <c r="J2465" s="30" t="s">
        <v>174</v>
      </c>
      <c r="K2465" s="28" t="s">
        <v>218</v>
      </c>
      <c r="L2465" s="31">
        <v>44044</v>
      </c>
      <c r="M2465" s="28">
        <v>8</v>
      </c>
      <c r="N2465" s="32" t="s">
        <v>184</v>
      </c>
      <c r="O2465" s="28" t="s">
        <v>953</v>
      </c>
      <c r="P2465" s="28" t="s">
        <v>5721</v>
      </c>
      <c r="Q2465" s="28" t="s">
        <v>5709</v>
      </c>
      <c r="R2465" s="28" t="s">
        <v>3970</v>
      </c>
    </row>
    <row r="2466" spans="1:18" hidden="1">
      <c r="A2466" s="28">
        <v>11</v>
      </c>
      <c r="B2466" s="29" t="s">
        <v>169</v>
      </c>
      <c r="C2466" s="29" t="s">
        <v>181</v>
      </c>
      <c r="D2466" s="29" t="s">
        <v>182</v>
      </c>
      <c r="E2466" s="29" t="s">
        <v>172</v>
      </c>
      <c r="F2466" s="28" t="s">
        <v>5664</v>
      </c>
      <c r="G2466" s="28" t="s">
        <v>5664</v>
      </c>
      <c r="H2466" s="28" t="s">
        <v>174</v>
      </c>
      <c r="I2466" s="28" t="s">
        <v>174</v>
      </c>
      <c r="J2466" s="30" t="s">
        <v>174</v>
      </c>
      <c r="K2466" s="28" t="s">
        <v>430</v>
      </c>
      <c r="L2466" s="31">
        <v>44105</v>
      </c>
      <c r="M2466" s="28">
        <v>10</v>
      </c>
      <c r="N2466" s="32" t="s">
        <v>191</v>
      </c>
      <c r="O2466" s="28" t="s">
        <v>953</v>
      </c>
      <c r="P2466" s="28" t="s">
        <v>5722</v>
      </c>
      <c r="Q2466" s="28" t="s">
        <v>5709</v>
      </c>
      <c r="R2466" s="28" t="s">
        <v>3970</v>
      </c>
    </row>
    <row r="2467" spans="1:18" hidden="1">
      <c r="A2467" s="28">
        <v>11</v>
      </c>
      <c r="B2467" s="29" t="s">
        <v>169</v>
      </c>
      <c r="C2467" s="29" t="s">
        <v>181</v>
      </c>
      <c r="D2467" s="29" t="s">
        <v>182</v>
      </c>
      <c r="E2467" s="29" t="s">
        <v>172</v>
      </c>
      <c r="F2467" s="28" t="s">
        <v>5664</v>
      </c>
      <c r="G2467" s="28" t="s">
        <v>5664</v>
      </c>
      <c r="H2467" s="28" t="s">
        <v>174</v>
      </c>
      <c r="I2467" s="28" t="s">
        <v>174</v>
      </c>
      <c r="J2467" s="30" t="s">
        <v>174</v>
      </c>
      <c r="K2467" s="28" t="s">
        <v>430</v>
      </c>
      <c r="L2467" s="31">
        <v>44105</v>
      </c>
      <c r="M2467" s="28">
        <v>10</v>
      </c>
      <c r="N2467" s="32" t="s">
        <v>191</v>
      </c>
      <c r="O2467" s="28" t="s">
        <v>953</v>
      </c>
      <c r="P2467" s="28" t="s">
        <v>5723</v>
      </c>
      <c r="Q2467" s="28" t="s">
        <v>5709</v>
      </c>
      <c r="R2467" s="28" t="s">
        <v>3970</v>
      </c>
    </row>
    <row r="2468" spans="1:18" hidden="1">
      <c r="A2468" s="28">
        <v>11</v>
      </c>
      <c r="B2468" s="29" t="s">
        <v>169</v>
      </c>
      <c r="C2468" s="29" t="s">
        <v>181</v>
      </c>
      <c r="D2468" s="29" t="s">
        <v>182</v>
      </c>
      <c r="E2468" s="29" t="s">
        <v>172</v>
      </c>
      <c r="F2468" s="28" t="s">
        <v>5664</v>
      </c>
      <c r="G2468" s="28" t="s">
        <v>5664</v>
      </c>
      <c r="H2468" s="28" t="s">
        <v>174</v>
      </c>
      <c r="I2468" s="28" t="s">
        <v>174</v>
      </c>
      <c r="J2468" s="30" t="s">
        <v>174</v>
      </c>
      <c r="K2468" s="28" t="s">
        <v>962</v>
      </c>
      <c r="L2468" s="31">
        <v>44348</v>
      </c>
      <c r="M2468" s="28">
        <v>6</v>
      </c>
      <c r="N2468" s="32" t="s">
        <v>184</v>
      </c>
      <c r="O2468" s="28" t="s">
        <v>953</v>
      </c>
      <c r="P2468" s="28" t="s">
        <v>5724</v>
      </c>
      <c r="Q2468" s="28" t="s">
        <v>5709</v>
      </c>
      <c r="R2468" s="28" t="s">
        <v>3970</v>
      </c>
    </row>
    <row r="2469" spans="1:18" hidden="1">
      <c r="A2469" s="28">
        <v>11</v>
      </c>
      <c r="B2469" s="29" t="s">
        <v>169</v>
      </c>
      <c r="C2469" s="29" t="s">
        <v>181</v>
      </c>
      <c r="D2469" s="29" t="s">
        <v>182</v>
      </c>
      <c r="E2469" s="29" t="s">
        <v>172</v>
      </c>
      <c r="F2469" s="28" t="s">
        <v>5664</v>
      </c>
      <c r="G2469" s="28" t="s">
        <v>5664</v>
      </c>
      <c r="H2469" s="28" t="s">
        <v>174</v>
      </c>
      <c r="I2469" s="28" t="s">
        <v>174</v>
      </c>
      <c r="J2469" s="30" t="s">
        <v>174</v>
      </c>
      <c r="K2469" s="28" t="s">
        <v>2131</v>
      </c>
      <c r="L2469" s="31">
        <v>44531</v>
      </c>
      <c r="M2469" s="28">
        <v>12</v>
      </c>
      <c r="N2469" s="32" t="s">
        <v>176</v>
      </c>
      <c r="O2469" s="28" t="s">
        <v>953</v>
      </c>
      <c r="P2469" s="28" t="s">
        <v>5725</v>
      </c>
      <c r="Q2469" s="28" t="s">
        <v>5709</v>
      </c>
      <c r="R2469" s="28" t="s">
        <v>3970</v>
      </c>
    </row>
    <row r="2470" spans="1:18" hidden="1">
      <c r="A2470" s="28">
        <v>11</v>
      </c>
      <c r="B2470" s="29" t="s">
        <v>169</v>
      </c>
      <c r="C2470" s="29" t="s">
        <v>181</v>
      </c>
      <c r="D2470" s="29" t="s">
        <v>182</v>
      </c>
      <c r="E2470" s="29" t="s">
        <v>172</v>
      </c>
      <c r="F2470" s="28" t="s">
        <v>5664</v>
      </c>
      <c r="G2470" s="28" t="s">
        <v>5664</v>
      </c>
      <c r="H2470" s="28" t="s">
        <v>174</v>
      </c>
      <c r="I2470" s="28" t="s">
        <v>174</v>
      </c>
      <c r="J2470" s="30" t="s">
        <v>174</v>
      </c>
      <c r="K2470" s="28" t="s">
        <v>2131</v>
      </c>
      <c r="L2470" s="31">
        <v>44531</v>
      </c>
      <c r="M2470" s="28">
        <v>12</v>
      </c>
      <c r="N2470" s="32" t="s">
        <v>176</v>
      </c>
      <c r="O2470" s="28" t="s">
        <v>953</v>
      </c>
      <c r="P2470" s="28" t="s">
        <v>5726</v>
      </c>
      <c r="Q2470" s="28" t="s">
        <v>5709</v>
      </c>
      <c r="R2470" s="28" t="s">
        <v>3970</v>
      </c>
    </row>
    <row r="2471" spans="1:18" hidden="1">
      <c r="A2471" s="28">
        <v>11</v>
      </c>
      <c r="B2471" s="29" t="s">
        <v>169</v>
      </c>
      <c r="C2471" s="29" t="s">
        <v>181</v>
      </c>
      <c r="D2471" s="29" t="s">
        <v>189</v>
      </c>
      <c r="E2471" s="29" t="s">
        <v>172</v>
      </c>
      <c r="F2471" s="28" t="s">
        <v>5664</v>
      </c>
      <c r="G2471" s="28" t="s">
        <v>5664</v>
      </c>
      <c r="H2471" s="28" t="s">
        <v>174</v>
      </c>
      <c r="I2471" s="28" t="s">
        <v>174</v>
      </c>
      <c r="J2471" s="30" t="s">
        <v>174</v>
      </c>
      <c r="K2471" s="28" t="s">
        <v>2736</v>
      </c>
      <c r="L2471" s="31">
        <v>42248</v>
      </c>
      <c r="M2471" s="28">
        <v>9</v>
      </c>
      <c r="N2471" s="32" t="s">
        <v>191</v>
      </c>
      <c r="O2471" s="28" t="s">
        <v>953</v>
      </c>
      <c r="P2471" s="28" t="s">
        <v>5727</v>
      </c>
      <c r="Q2471" s="28" t="s">
        <v>5709</v>
      </c>
      <c r="R2471" s="28" t="s">
        <v>3970</v>
      </c>
    </row>
    <row r="2472" spans="1:18" hidden="1">
      <c r="A2472" s="28">
        <v>11</v>
      </c>
      <c r="B2472" s="29" t="s">
        <v>169</v>
      </c>
      <c r="C2472" s="29" t="s">
        <v>181</v>
      </c>
      <c r="D2472" s="29" t="s">
        <v>189</v>
      </c>
      <c r="E2472" s="29" t="s">
        <v>172</v>
      </c>
      <c r="F2472" s="28" t="s">
        <v>5664</v>
      </c>
      <c r="G2472" s="28" t="s">
        <v>5664</v>
      </c>
      <c r="H2472" s="28" t="s">
        <v>174</v>
      </c>
      <c r="I2472" s="28" t="s">
        <v>174</v>
      </c>
      <c r="J2472" s="30" t="s">
        <v>174</v>
      </c>
      <c r="K2472" s="28" t="s">
        <v>243</v>
      </c>
      <c r="L2472" s="31">
        <v>42461</v>
      </c>
      <c r="M2472" s="28">
        <v>4</v>
      </c>
      <c r="N2472" s="32" t="s">
        <v>191</v>
      </c>
      <c r="O2472" s="28" t="s">
        <v>953</v>
      </c>
      <c r="P2472" s="28" t="s">
        <v>5728</v>
      </c>
      <c r="Q2472" s="28" t="s">
        <v>5709</v>
      </c>
      <c r="R2472" s="28" t="s">
        <v>3970</v>
      </c>
    </row>
    <row r="2473" spans="1:18" hidden="1">
      <c r="A2473" s="28">
        <v>11</v>
      </c>
      <c r="B2473" s="29" t="s">
        <v>169</v>
      </c>
      <c r="C2473" s="29" t="s">
        <v>181</v>
      </c>
      <c r="D2473" s="29" t="s">
        <v>189</v>
      </c>
      <c r="E2473" s="29" t="s">
        <v>172</v>
      </c>
      <c r="F2473" s="28" t="s">
        <v>5664</v>
      </c>
      <c r="G2473" s="28" t="s">
        <v>5664</v>
      </c>
      <c r="H2473" s="28" t="s">
        <v>174</v>
      </c>
      <c r="I2473" s="28" t="s">
        <v>174</v>
      </c>
      <c r="J2473" s="30" t="s">
        <v>174</v>
      </c>
      <c r="K2473" s="28" t="s">
        <v>243</v>
      </c>
      <c r="L2473" s="31">
        <v>42461</v>
      </c>
      <c r="M2473" s="28">
        <v>4</v>
      </c>
      <c r="N2473" s="32" t="s">
        <v>191</v>
      </c>
      <c r="O2473" s="28" t="s">
        <v>953</v>
      </c>
      <c r="P2473" s="28" t="s">
        <v>5729</v>
      </c>
      <c r="Q2473" s="28" t="s">
        <v>5709</v>
      </c>
      <c r="R2473" s="28" t="s">
        <v>3970</v>
      </c>
    </row>
    <row r="2474" spans="1:18" hidden="1">
      <c r="A2474" s="28">
        <v>11</v>
      </c>
      <c r="B2474" s="29" t="s">
        <v>169</v>
      </c>
      <c r="C2474" s="29" t="s">
        <v>181</v>
      </c>
      <c r="D2474" s="29" t="s">
        <v>189</v>
      </c>
      <c r="E2474" s="29" t="s">
        <v>172</v>
      </c>
      <c r="F2474" s="28" t="s">
        <v>5664</v>
      </c>
      <c r="G2474" s="28" t="s">
        <v>5664</v>
      </c>
      <c r="H2474" s="28" t="s">
        <v>174</v>
      </c>
      <c r="I2474" s="28" t="s">
        <v>174</v>
      </c>
      <c r="J2474" s="30" t="s">
        <v>174</v>
      </c>
      <c r="K2474" s="28" t="s">
        <v>489</v>
      </c>
      <c r="L2474" s="31">
        <v>42491</v>
      </c>
      <c r="M2474" s="28">
        <v>5</v>
      </c>
      <c r="N2474" s="32" t="s">
        <v>191</v>
      </c>
      <c r="O2474" s="28" t="s">
        <v>953</v>
      </c>
      <c r="P2474" s="28" t="s">
        <v>5730</v>
      </c>
      <c r="Q2474" s="28" t="s">
        <v>5709</v>
      </c>
      <c r="R2474" s="28" t="s">
        <v>3970</v>
      </c>
    </row>
    <row r="2475" spans="1:18" hidden="1">
      <c r="A2475" s="28">
        <v>11</v>
      </c>
      <c r="B2475" s="29" t="s">
        <v>169</v>
      </c>
      <c r="C2475" s="29" t="s">
        <v>181</v>
      </c>
      <c r="D2475" s="29" t="s">
        <v>189</v>
      </c>
      <c r="E2475" s="29" t="s">
        <v>172</v>
      </c>
      <c r="F2475" s="28" t="s">
        <v>5664</v>
      </c>
      <c r="G2475" s="28" t="s">
        <v>5664</v>
      </c>
      <c r="H2475" s="28" t="s">
        <v>174</v>
      </c>
      <c r="I2475" s="28" t="s">
        <v>174</v>
      </c>
      <c r="J2475" s="30" t="s">
        <v>174</v>
      </c>
      <c r="K2475" s="28" t="s">
        <v>651</v>
      </c>
      <c r="L2475" s="31">
        <v>42644</v>
      </c>
      <c r="M2475" s="28">
        <v>10</v>
      </c>
      <c r="N2475" s="32" t="s">
        <v>191</v>
      </c>
      <c r="O2475" s="28" t="s">
        <v>953</v>
      </c>
      <c r="P2475" s="28" t="s">
        <v>5731</v>
      </c>
      <c r="Q2475" s="28" t="s">
        <v>5709</v>
      </c>
      <c r="R2475" s="28" t="s">
        <v>3970</v>
      </c>
    </row>
    <row r="2476" spans="1:18" hidden="1">
      <c r="A2476" s="28">
        <v>11</v>
      </c>
      <c r="B2476" s="29" t="s">
        <v>169</v>
      </c>
      <c r="C2476" s="29" t="s">
        <v>181</v>
      </c>
      <c r="D2476" s="29" t="s">
        <v>189</v>
      </c>
      <c r="E2476" s="29" t="s">
        <v>172</v>
      </c>
      <c r="F2476" s="28" t="s">
        <v>5664</v>
      </c>
      <c r="G2476" s="28" t="s">
        <v>5664</v>
      </c>
      <c r="H2476" s="28" t="s">
        <v>174</v>
      </c>
      <c r="I2476" s="28" t="s">
        <v>174</v>
      </c>
      <c r="J2476" s="30" t="s">
        <v>174</v>
      </c>
      <c r="K2476" s="28" t="s">
        <v>212</v>
      </c>
      <c r="L2476" s="31">
        <v>43313</v>
      </c>
      <c r="M2476" s="28">
        <v>8</v>
      </c>
      <c r="N2476" s="32" t="s">
        <v>184</v>
      </c>
      <c r="O2476" s="28" t="s">
        <v>953</v>
      </c>
      <c r="P2476" s="28" t="s">
        <v>5732</v>
      </c>
      <c r="Q2476" s="28" t="s">
        <v>5709</v>
      </c>
      <c r="R2476" s="28" t="s">
        <v>3970</v>
      </c>
    </row>
    <row r="2477" spans="1:18" hidden="1">
      <c r="A2477" s="28">
        <v>11</v>
      </c>
      <c r="B2477" s="29" t="s">
        <v>169</v>
      </c>
      <c r="C2477" s="29" t="s">
        <v>181</v>
      </c>
      <c r="D2477" s="29" t="s">
        <v>189</v>
      </c>
      <c r="E2477" s="29" t="s">
        <v>172</v>
      </c>
      <c r="F2477" s="28" t="s">
        <v>5664</v>
      </c>
      <c r="G2477" s="28" t="s">
        <v>5664</v>
      </c>
      <c r="H2477" s="28" t="s">
        <v>174</v>
      </c>
      <c r="I2477" s="28" t="s">
        <v>174</v>
      </c>
      <c r="J2477" s="30" t="s">
        <v>174</v>
      </c>
      <c r="K2477" s="28" t="s">
        <v>293</v>
      </c>
      <c r="L2477" s="31">
        <v>43374</v>
      </c>
      <c r="M2477" s="28">
        <v>10</v>
      </c>
      <c r="N2477" s="32" t="s">
        <v>191</v>
      </c>
      <c r="O2477" s="28" t="s">
        <v>953</v>
      </c>
      <c r="P2477" s="28" t="s">
        <v>5733</v>
      </c>
      <c r="Q2477" s="28" t="s">
        <v>5709</v>
      </c>
      <c r="R2477" s="28" t="s">
        <v>3970</v>
      </c>
    </row>
    <row r="2478" spans="1:18" hidden="1">
      <c r="A2478" s="28">
        <v>11</v>
      </c>
      <c r="B2478" s="29" t="s">
        <v>169</v>
      </c>
      <c r="C2478" s="29" t="s">
        <v>181</v>
      </c>
      <c r="D2478" s="29" t="s">
        <v>189</v>
      </c>
      <c r="E2478" s="29" t="s">
        <v>172</v>
      </c>
      <c r="F2478" s="28" t="s">
        <v>5664</v>
      </c>
      <c r="G2478" s="28" t="s">
        <v>5664</v>
      </c>
      <c r="H2478" s="28" t="s">
        <v>174</v>
      </c>
      <c r="I2478" s="28" t="s">
        <v>174</v>
      </c>
      <c r="J2478" s="30" t="s">
        <v>174</v>
      </c>
      <c r="K2478" s="28" t="s">
        <v>2336</v>
      </c>
      <c r="L2478" s="31">
        <v>43405</v>
      </c>
      <c r="M2478" s="28">
        <v>11</v>
      </c>
      <c r="N2478" s="32" t="s">
        <v>191</v>
      </c>
      <c r="O2478" s="28" t="s">
        <v>953</v>
      </c>
      <c r="P2478" s="28" t="s">
        <v>5734</v>
      </c>
      <c r="Q2478" s="28" t="s">
        <v>5709</v>
      </c>
      <c r="R2478" s="28" t="s">
        <v>3970</v>
      </c>
    </row>
    <row r="2479" spans="1:18" hidden="1">
      <c r="A2479" s="28">
        <v>11</v>
      </c>
      <c r="B2479" s="29" t="s">
        <v>169</v>
      </c>
      <c r="C2479" s="29" t="s">
        <v>181</v>
      </c>
      <c r="D2479" s="29" t="s">
        <v>189</v>
      </c>
      <c r="E2479" s="29" t="s">
        <v>172</v>
      </c>
      <c r="F2479" s="28" t="s">
        <v>5664</v>
      </c>
      <c r="G2479" s="28" t="s">
        <v>5664</v>
      </c>
      <c r="H2479" s="28" t="s">
        <v>174</v>
      </c>
      <c r="I2479" s="28" t="s">
        <v>174</v>
      </c>
      <c r="J2479" s="30" t="s">
        <v>174</v>
      </c>
      <c r="K2479" s="28" t="s">
        <v>361</v>
      </c>
      <c r="L2479" s="31">
        <v>43435</v>
      </c>
      <c r="M2479" s="28">
        <v>12</v>
      </c>
      <c r="N2479" s="32" t="s">
        <v>176</v>
      </c>
      <c r="O2479" s="28" t="s">
        <v>953</v>
      </c>
      <c r="P2479" s="28" t="s">
        <v>5735</v>
      </c>
      <c r="Q2479" s="28" t="s">
        <v>5709</v>
      </c>
      <c r="R2479" s="28" t="s">
        <v>3970</v>
      </c>
    </row>
    <row r="2480" spans="1:18" hidden="1">
      <c r="A2480" s="28">
        <v>11</v>
      </c>
      <c r="B2480" s="29" t="s">
        <v>169</v>
      </c>
      <c r="C2480" s="29" t="s">
        <v>181</v>
      </c>
      <c r="D2480" s="29" t="s">
        <v>189</v>
      </c>
      <c r="E2480" s="29" t="s">
        <v>172</v>
      </c>
      <c r="F2480" s="28" t="s">
        <v>5664</v>
      </c>
      <c r="G2480" s="28" t="s">
        <v>5664</v>
      </c>
      <c r="H2480" s="28" t="s">
        <v>174</v>
      </c>
      <c r="I2480" s="28" t="s">
        <v>174</v>
      </c>
      <c r="J2480" s="30" t="s">
        <v>174</v>
      </c>
      <c r="K2480" s="28" t="s">
        <v>844</v>
      </c>
      <c r="L2480" s="31">
        <v>43586</v>
      </c>
      <c r="M2480" s="28">
        <v>5</v>
      </c>
      <c r="N2480" s="32" t="s">
        <v>191</v>
      </c>
      <c r="O2480" s="28" t="s">
        <v>953</v>
      </c>
      <c r="P2480" s="28" t="s">
        <v>5736</v>
      </c>
      <c r="Q2480" s="28" t="s">
        <v>5709</v>
      </c>
      <c r="R2480" s="28" t="s">
        <v>3970</v>
      </c>
    </row>
    <row r="2481" spans="1:18" hidden="1">
      <c r="A2481" s="28">
        <v>11</v>
      </c>
      <c r="B2481" s="29" t="s">
        <v>169</v>
      </c>
      <c r="C2481" s="29" t="s">
        <v>181</v>
      </c>
      <c r="D2481" s="29" t="s">
        <v>189</v>
      </c>
      <c r="E2481" s="29" t="s">
        <v>172</v>
      </c>
      <c r="F2481" s="28" t="s">
        <v>5664</v>
      </c>
      <c r="G2481" s="28" t="s">
        <v>5664</v>
      </c>
      <c r="H2481" s="28" t="s">
        <v>174</v>
      </c>
      <c r="I2481" s="28" t="s">
        <v>174</v>
      </c>
      <c r="J2481" s="30" t="s">
        <v>174</v>
      </c>
      <c r="K2481" s="28" t="s">
        <v>844</v>
      </c>
      <c r="L2481" s="31">
        <v>43586</v>
      </c>
      <c r="M2481" s="28">
        <v>5</v>
      </c>
      <c r="N2481" s="32" t="s">
        <v>191</v>
      </c>
      <c r="O2481" s="28" t="s">
        <v>953</v>
      </c>
      <c r="P2481" s="28" t="s">
        <v>5737</v>
      </c>
      <c r="Q2481" s="28" t="s">
        <v>5709</v>
      </c>
      <c r="R2481" s="28" t="s">
        <v>3970</v>
      </c>
    </row>
    <row r="2482" spans="1:18" hidden="1">
      <c r="A2482" s="28">
        <v>11</v>
      </c>
      <c r="B2482" s="29" t="s">
        <v>169</v>
      </c>
      <c r="C2482" s="29" t="s">
        <v>181</v>
      </c>
      <c r="D2482" s="29" t="s">
        <v>189</v>
      </c>
      <c r="E2482" s="29" t="s">
        <v>172</v>
      </c>
      <c r="F2482" s="28" t="s">
        <v>5664</v>
      </c>
      <c r="G2482" s="28" t="s">
        <v>5664</v>
      </c>
      <c r="H2482" s="28" t="s">
        <v>174</v>
      </c>
      <c r="I2482" s="28" t="s">
        <v>174</v>
      </c>
      <c r="J2482" s="30" t="s">
        <v>174</v>
      </c>
      <c r="K2482" s="28" t="s">
        <v>424</v>
      </c>
      <c r="L2482" s="31">
        <v>43678</v>
      </c>
      <c r="M2482" s="28">
        <v>8</v>
      </c>
      <c r="N2482" s="32" t="s">
        <v>184</v>
      </c>
      <c r="O2482" s="28" t="s">
        <v>953</v>
      </c>
      <c r="P2482" s="28" t="s">
        <v>5738</v>
      </c>
      <c r="Q2482" s="28" t="s">
        <v>5709</v>
      </c>
      <c r="R2482" s="28" t="s">
        <v>3970</v>
      </c>
    </row>
    <row r="2483" spans="1:18" hidden="1">
      <c r="A2483" s="28">
        <v>11</v>
      </c>
      <c r="B2483" s="29" t="s">
        <v>169</v>
      </c>
      <c r="C2483" s="29" t="s">
        <v>181</v>
      </c>
      <c r="D2483" s="29" t="s">
        <v>189</v>
      </c>
      <c r="E2483" s="29" t="s">
        <v>172</v>
      </c>
      <c r="F2483" s="28" t="s">
        <v>5664</v>
      </c>
      <c r="G2483" s="28" t="s">
        <v>5664</v>
      </c>
      <c r="H2483" s="28" t="s">
        <v>174</v>
      </c>
      <c r="I2483" s="28" t="s">
        <v>174</v>
      </c>
      <c r="J2483" s="30" t="s">
        <v>174</v>
      </c>
      <c r="K2483" s="28" t="s">
        <v>397</v>
      </c>
      <c r="L2483" s="31">
        <v>43739</v>
      </c>
      <c r="M2483" s="28">
        <v>10</v>
      </c>
      <c r="N2483" s="32" t="s">
        <v>191</v>
      </c>
      <c r="O2483" s="28" t="s">
        <v>953</v>
      </c>
      <c r="P2483" s="28" t="s">
        <v>5739</v>
      </c>
      <c r="Q2483" s="28" t="s">
        <v>5709</v>
      </c>
      <c r="R2483" s="28" t="s">
        <v>3970</v>
      </c>
    </row>
    <row r="2484" spans="1:18" hidden="1">
      <c r="A2484" s="28">
        <v>11</v>
      </c>
      <c r="B2484" s="29" t="s">
        <v>169</v>
      </c>
      <c r="C2484" s="29" t="s">
        <v>181</v>
      </c>
      <c r="D2484" s="29" t="s">
        <v>189</v>
      </c>
      <c r="E2484" s="29" t="s">
        <v>172</v>
      </c>
      <c r="F2484" s="28" t="s">
        <v>5664</v>
      </c>
      <c r="G2484" s="28" t="s">
        <v>5664</v>
      </c>
      <c r="H2484" s="28" t="s">
        <v>174</v>
      </c>
      <c r="I2484" s="28" t="s">
        <v>174</v>
      </c>
      <c r="J2484" s="30" t="s">
        <v>174</v>
      </c>
      <c r="K2484" s="28" t="s">
        <v>479</v>
      </c>
      <c r="L2484" s="31">
        <v>43770</v>
      </c>
      <c r="M2484" s="28">
        <v>11</v>
      </c>
      <c r="N2484" s="32" t="s">
        <v>191</v>
      </c>
      <c r="O2484" s="28" t="s">
        <v>953</v>
      </c>
      <c r="P2484" s="28" t="s">
        <v>5740</v>
      </c>
      <c r="Q2484" s="28" t="s">
        <v>5709</v>
      </c>
      <c r="R2484" s="28" t="s">
        <v>3970</v>
      </c>
    </row>
    <row r="2485" spans="1:18" hidden="1">
      <c r="A2485" s="28">
        <v>11</v>
      </c>
      <c r="B2485" s="29" t="s">
        <v>169</v>
      </c>
      <c r="C2485" s="29" t="s">
        <v>181</v>
      </c>
      <c r="D2485" s="29" t="s">
        <v>189</v>
      </c>
      <c r="E2485" s="29" t="s">
        <v>172</v>
      </c>
      <c r="F2485" s="28" t="s">
        <v>5664</v>
      </c>
      <c r="G2485" s="28" t="s">
        <v>5664</v>
      </c>
      <c r="H2485" s="28" t="s">
        <v>174</v>
      </c>
      <c r="I2485" s="28" t="s">
        <v>174</v>
      </c>
      <c r="J2485" s="30" t="s">
        <v>174</v>
      </c>
      <c r="K2485" s="28" t="s">
        <v>504</v>
      </c>
      <c r="L2485" s="31">
        <v>43922</v>
      </c>
      <c r="M2485" s="28">
        <v>4</v>
      </c>
      <c r="N2485" s="32" t="s">
        <v>191</v>
      </c>
      <c r="O2485" s="28" t="s">
        <v>953</v>
      </c>
      <c r="P2485" s="28" t="s">
        <v>5741</v>
      </c>
      <c r="Q2485" s="28" t="s">
        <v>5709</v>
      </c>
      <c r="R2485" s="28" t="s">
        <v>3970</v>
      </c>
    </row>
    <row r="2486" spans="1:18" hidden="1">
      <c r="A2486" s="28">
        <v>11</v>
      </c>
      <c r="B2486" s="29" t="s">
        <v>169</v>
      </c>
      <c r="C2486" s="29" t="s">
        <v>181</v>
      </c>
      <c r="D2486" s="29" t="s">
        <v>189</v>
      </c>
      <c r="E2486" s="29" t="s">
        <v>172</v>
      </c>
      <c r="F2486" s="28" t="s">
        <v>5664</v>
      </c>
      <c r="G2486" s="28" t="s">
        <v>5664</v>
      </c>
      <c r="H2486" s="28" t="s">
        <v>174</v>
      </c>
      <c r="I2486" s="28" t="s">
        <v>174</v>
      </c>
      <c r="J2486" s="30" t="s">
        <v>174</v>
      </c>
      <c r="K2486" s="28" t="s">
        <v>218</v>
      </c>
      <c r="L2486" s="31">
        <v>44044</v>
      </c>
      <c r="M2486" s="28">
        <v>8</v>
      </c>
      <c r="N2486" s="32" t="s">
        <v>184</v>
      </c>
      <c r="O2486" s="28" t="s">
        <v>953</v>
      </c>
      <c r="P2486" s="28" t="s">
        <v>5742</v>
      </c>
      <c r="Q2486" s="28" t="s">
        <v>5709</v>
      </c>
      <c r="R2486" s="28" t="s">
        <v>3970</v>
      </c>
    </row>
    <row r="2487" spans="1:18" hidden="1">
      <c r="A2487" s="28">
        <v>11</v>
      </c>
      <c r="B2487" s="29" t="s">
        <v>169</v>
      </c>
      <c r="C2487" s="29" t="s">
        <v>181</v>
      </c>
      <c r="D2487" s="29" t="s">
        <v>189</v>
      </c>
      <c r="E2487" s="29" t="s">
        <v>172</v>
      </c>
      <c r="F2487" s="28" t="s">
        <v>5664</v>
      </c>
      <c r="G2487" s="28" t="s">
        <v>5664</v>
      </c>
      <c r="H2487" s="28" t="s">
        <v>174</v>
      </c>
      <c r="I2487" s="28" t="s">
        <v>174</v>
      </c>
      <c r="J2487" s="30" t="s">
        <v>174</v>
      </c>
      <c r="K2487" s="28" t="s">
        <v>430</v>
      </c>
      <c r="L2487" s="31">
        <v>44105</v>
      </c>
      <c r="M2487" s="28">
        <v>10</v>
      </c>
      <c r="N2487" s="32" t="s">
        <v>191</v>
      </c>
      <c r="O2487" s="28" t="s">
        <v>953</v>
      </c>
      <c r="P2487" s="28" t="s">
        <v>5743</v>
      </c>
      <c r="Q2487" s="28" t="s">
        <v>5709</v>
      </c>
      <c r="R2487" s="28" t="s">
        <v>3970</v>
      </c>
    </row>
    <row r="2488" spans="1:18" hidden="1">
      <c r="A2488" s="28">
        <v>11</v>
      </c>
      <c r="B2488" s="29" t="s">
        <v>169</v>
      </c>
      <c r="C2488" s="29" t="s">
        <v>181</v>
      </c>
      <c r="D2488" s="29" t="s">
        <v>189</v>
      </c>
      <c r="E2488" s="29" t="s">
        <v>172</v>
      </c>
      <c r="F2488" s="28" t="s">
        <v>5664</v>
      </c>
      <c r="G2488" s="28" t="s">
        <v>5664</v>
      </c>
      <c r="H2488" s="28" t="s">
        <v>174</v>
      </c>
      <c r="I2488" s="28" t="s">
        <v>174</v>
      </c>
      <c r="J2488" s="30" t="s">
        <v>174</v>
      </c>
      <c r="K2488" s="28" t="s">
        <v>823</v>
      </c>
      <c r="L2488" s="31">
        <v>44136</v>
      </c>
      <c r="M2488" s="28">
        <v>11</v>
      </c>
      <c r="N2488" s="32" t="s">
        <v>191</v>
      </c>
      <c r="O2488" s="28" t="s">
        <v>953</v>
      </c>
      <c r="P2488" s="28" t="s">
        <v>5744</v>
      </c>
      <c r="Q2488" s="28" t="s">
        <v>5709</v>
      </c>
      <c r="R2488" s="28" t="s">
        <v>3970</v>
      </c>
    </row>
    <row r="2489" spans="1:18" hidden="1">
      <c r="A2489" s="28">
        <v>11</v>
      </c>
      <c r="B2489" s="29" t="s">
        <v>169</v>
      </c>
      <c r="C2489" s="29" t="s">
        <v>181</v>
      </c>
      <c r="D2489" s="29" t="s">
        <v>189</v>
      </c>
      <c r="E2489" s="29" t="s">
        <v>172</v>
      </c>
      <c r="F2489" s="28" t="s">
        <v>5664</v>
      </c>
      <c r="G2489" s="28" t="s">
        <v>5664</v>
      </c>
      <c r="H2489" s="28" t="s">
        <v>174</v>
      </c>
      <c r="I2489" s="28" t="s">
        <v>174</v>
      </c>
      <c r="J2489" s="30" t="s">
        <v>174</v>
      </c>
      <c r="K2489" s="28" t="s">
        <v>554</v>
      </c>
      <c r="L2489" s="31">
        <v>44317</v>
      </c>
      <c r="M2489" s="28">
        <v>5</v>
      </c>
      <c r="N2489" s="32" t="s">
        <v>191</v>
      </c>
      <c r="O2489" s="28" t="s">
        <v>953</v>
      </c>
      <c r="P2489" s="28" t="s">
        <v>5745</v>
      </c>
      <c r="Q2489" s="28" t="s">
        <v>5709</v>
      </c>
      <c r="R2489" s="28" t="s">
        <v>3970</v>
      </c>
    </row>
    <row r="2490" spans="1:18" hidden="1">
      <c r="A2490" s="28">
        <v>11</v>
      </c>
      <c r="B2490" s="29" t="s">
        <v>169</v>
      </c>
      <c r="C2490" s="29" t="s">
        <v>181</v>
      </c>
      <c r="D2490" s="29" t="s">
        <v>189</v>
      </c>
      <c r="E2490" s="29" t="s">
        <v>172</v>
      </c>
      <c r="F2490" s="28" t="s">
        <v>5664</v>
      </c>
      <c r="G2490" s="28" t="s">
        <v>5664</v>
      </c>
      <c r="H2490" s="28" t="s">
        <v>174</v>
      </c>
      <c r="I2490" s="28" t="s">
        <v>174</v>
      </c>
      <c r="J2490" s="30" t="s">
        <v>174</v>
      </c>
      <c r="K2490" s="28" t="s">
        <v>962</v>
      </c>
      <c r="L2490" s="31">
        <v>44348</v>
      </c>
      <c r="M2490" s="28">
        <v>6</v>
      </c>
      <c r="N2490" s="32" t="s">
        <v>184</v>
      </c>
      <c r="O2490" s="28" t="s">
        <v>953</v>
      </c>
      <c r="P2490" s="28" t="s">
        <v>5746</v>
      </c>
      <c r="Q2490" s="28" t="s">
        <v>5709</v>
      </c>
      <c r="R2490" s="28" t="s">
        <v>3970</v>
      </c>
    </row>
    <row r="2491" spans="1:18" hidden="1">
      <c r="A2491" s="28">
        <v>11</v>
      </c>
      <c r="B2491" s="29" t="s">
        <v>169</v>
      </c>
      <c r="C2491" s="29" t="s">
        <v>181</v>
      </c>
      <c r="D2491" s="29" t="s">
        <v>189</v>
      </c>
      <c r="E2491" s="29" t="s">
        <v>172</v>
      </c>
      <c r="F2491" s="28" t="s">
        <v>5664</v>
      </c>
      <c r="G2491" s="28" t="s">
        <v>5664</v>
      </c>
      <c r="H2491" s="28" t="s">
        <v>174</v>
      </c>
      <c r="I2491" s="28" t="s">
        <v>174</v>
      </c>
      <c r="J2491" s="30" t="s">
        <v>174</v>
      </c>
      <c r="K2491" s="28" t="s">
        <v>670</v>
      </c>
      <c r="L2491" s="31">
        <v>44501</v>
      </c>
      <c r="M2491" s="28">
        <v>11</v>
      </c>
      <c r="N2491" s="32" t="s">
        <v>191</v>
      </c>
      <c r="O2491" s="28" t="s">
        <v>953</v>
      </c>
      <c r="P2491" s="28" t="s">
        <v>5747</v>
      </c>
      <c r="Q2491" s="28" t="s">
        <v>5709</v>
      </c>
      <c r="R2491" s="28" t="s">
        <v>3970</v>
      </c>
    </row>
    <row r="2492" spans="1:18" hidden="1">
      <c r="A2492" s="28">
        <v>2</v>
      </c>
      <c r="B2492" s="29" t="s">
        <v>240</v>
      </c>
      <c r="C2492" s="29" t="s">
        <v>241</v>
      </c>
      <c r="D2492" s="29" t="s">
        <v>252</v>
      </c>
      <c r="E2492" s="29" t="s">
        <v>172</v>
      </c>
      <c r="F2492" s="28" t="s">
        <v>5664</v>
      </c>
      <c r="G2492" s="28" t="s">
        <v>5664</v>
      </c>
      <c r="H2492" s="28" t="s">
        <v>174</v>
      </c>
      <c r="I2492" s="28" t="s">
        <v>174</v>
      </c>
      <c r="J2492" s="30" t="s">
        <v>174</v>
      </c>
      <c r="K2492" s="28" t="s">
        <v>405</v>
      </c>
      <c r="L2492" s="31">
        <v>43221</v>
      </c>
      <c r="M2492" s="28">
        <v>5</v>
      </c>
      <c r="N2492" s="32" t="s">
        <v>191</v>
      </c>
      <c r="O2492" s="28" t="s">
        <v>185</v>
      </c>
      <c r="P2492" s="28" t="s">
        <v>5748</v>
      </c>
      <c r="Q2492" s="28" t="s">
        <v>5749</v>
      </c>
      <c r="R2492" s="28" t="s">
        <v>5750</v>
      </c>
    </row>
    <row r="2493" spans="1:18" hidden="1">
      <c r="A2493" s="28">
        <v>5</v>
      </c>
      <c r="B2493" s="29" t="s">
        <v>349</v>
      </c>
      <c r="C2493" s="29" t="s">
        <v>350</v>
      </c>
      <c r="D2493" s="29" t="s">
        <v>716</v>
      </c>
      <c r="E2493" s="29" t="s">
        <v>172</v>
      </c>
      <c r="F2493" s="28" t="s">
        <v>5664</v>
      </c>
      <c r="G2493" s="28" t="s">
        <v>5664</v>
      </c>
      <c r="H2493" s="28" t="s">
        <v>174</v>
      </c>
      <c r="I2493" s="28" t="s">
        <v>174</v>
      </c>
      <c r="J2493" s="30" t="s">
        <v>174</v>
      </c>
      <c r="K2493" s="28" t="s">
        <v>460</v>
      </c>
      <c r="L2493" s="31">
        <v>42675</v>
      </c>
      <c r="M2493" s="28">
        <v>11</v>
      </c>
      <c r="N2493" s="32" t="s">
        <v>191</v>
      </c>
      <c r="O2493" s="28" t="s">
        <v>953</v>
      </c>
      <c r="P2493" s="28" t="s">
        <v>5751</v>
      </c>
      <c r="Q2493" s="28" t="s">
        <v>5752</v>
      </c>
      <c r="R2493" s="28" t="s">
        <v>5753</v>
      </c>
    </row>
    <row r="2494" spans="1:18" hidden="1">
      <c r="A2494" s="28">
        <v>5</v>
      </c>
      <c r="B2494" s="29" t="s">
        <v>349</v>
      </c>
      <c r="C2494" s="29" t="s">
        <v>350</v>
      </c>
      <c r="D2494" s="29" t="s">
        <v>725</v>
      </c>
      <c r="E2494" s="29" t="s">
        <v>172</v>
      </c>
      <c r="F2494" s="28" t="s">
        <v>5664</v>
      </c>
      <c r="G2494" s="28" t="s">
        <v>5664</v>
      </c>
      <c r="H2494" s="28" t="s">
        <v>174</v>
      </c>
      <c r="I2494" s="28" t="s">
        <v>174</v>
      </c>
      <c r="J2494" s="30" t="s">
        <v>174</v>
      </c>
      <c r="K2494" s="28" t="s">
        <v>2131</v>
      </c>
      <c r="L2494" s="31">
        <v>44531</v>
      </c>
      <c r="M2494" s="28">
        <v>12</v>
      </c>
      <c r="N2494" s="32" t="s">
        <v>176</v>
      </c>
      <c r="O2494" s="28" t="s">
        <v>204</v>
      </c>
      <c r="P2494" s="28" t="s">
        <v>5754</v>
      </c>
      <c r="Q2494" s="28" t="s">
        <v>5755</v>
      </c>
      <c r="R2494" s="28" t="s">
        <v>5756</v>
      </c>
    </row>
    <row r="2495" spans="1:18" hidden="1">
      <c r="A2495" s="28">
        <v>9</v>
      </c>
      <c r="B2495" s="29" t="s">
        <v>1992</v>
      </c>
      <c r="C2495" s="29" t="s">
        <v>1998</v>
      </c>
      <c r="D2495" s="29" t="s">
        <v>1999</v>
      </c>
      <c r="E2495" s="29" t="s">
        <v>374</v>
      </c>
      <c r="F2495" s="28" t="s">
        <v>5664</v>
      </c>
      <c r="G2495" s="28" t="s">
        <v>5664</v>
      </c>
      <c r="H2495" s="28" t="s">
        <v>174</v>
      </c>
      <c r="I2495" s="28" t="s">
        <v>174</v>
      </c>
      <c r="J2495" s="30" t="s">
        <v>174</v>
      </c>
      <c r="K2495" s="28" t="s">
        <v>271</v>
      </c>
      <c r="L2495" s="31">
        <v>42856</v>
      </c>
      <c r="M2495" s="28">
        <v>5</v>
      </c>
      <c r="N2495" s="32" t="s">
        <v>191</v>
      </c>
      <c r="O2495" s="28" t="s">
        <v>794</v>
      </c>
      <c r="P2495" s="28" t="s">
        <v>5757</v>
      </c>
      <c r="Q2495" s="28" t="s">
        <v>5758</v>
      </c>
      <c r="R2495" s="28" t="s">
        <v>5759</v>
      </c>
    </row>
    <row r="2496" spans="1:18" hidden="1">
      <c r="A2496" s="28">
        <v>1</v>
      </c>
      <c r="B2496" s="29" t="s">
        <v>379</v>
      </c>
      <c r="C2496" s="29" t="s">
        <v>388</v>
      </c>
      <c r="D2496" s="29" t="s">
        <v>389</v>
      </c>
      <c r="E2496" s="29" t="s">
        <v>172</v>
      </c>
      <c r="F2496" s="28" t="s">
        <v>5760</v>
      </c>
      <c r="G2496" s="28" t="s">
        <v>5760</v>
      </c>
      <c r="H2496" s="28" t="s">
        <v>174</v>
      </c>
      <c r="I2496" s="28" t="s">
        <v>174</v>
      </c>
      <c r="J2496" s="30" t="s">
        <v>174</v>
      </c>
      <c r="K2496" s="28" t="s">
        <v>232</v>
      </c>
      <c r="L2496" s="31">
        <v>42522</v>
      </c>
      <c r="M2496" s="28">
        <v>6</v>
      </c>
      <c r="N2496" s="32" t="s">
        <v>184</v>
      </c>
      <c r="O2496" s="28" t="s">
        <v>2975</v>
      </c>
      <c r="P2496" s="28" t="s">
        <v>5761</v>
      </c>
      <c r="Q2496" s="28" t="s">
        <v>5762</v>
      </c>
      <c r="R2496" s="28" t="s">
        <v>5763</v>
      </c>
    </row>
    <row r="2497" spans="1:18" hidden="1">
      <c r="A2497" s="28">
        <v>10</v>
      </c>
      <c r="B2497" s="29" t="s">
        <v>1215</v>
      </c>
      <c r="C2497" s="29" t="s">
        <v>1216</v>
      </c>
      <c r="D2497" s="29" t="s">
        <v>1217</v>
      </c>
      <c r="E2497" s="29" t="s">
        <v>374</v>
      </c>
      <c r="F2497" s="28" t="s">
        <v>5760</v>
      </c>
      <c r="G2497" s="28" t="s">
        <v>5760</v>
      </c>
      <c r="H2497" s="28" t="s">
        <v>174</v>
      </c>
      <c r="I2497" s="28" t="s">
        <v>174</v>
      </c>
      <c r="J2497" s="30" t="s">
        <v>174</v>
      </c>
      <c r="K2497" s="28" t="s">
        <v>257</v>
      </c>
      <c r="L2497" s="31">
        <v>42552</v>
      </c>
      <c r="M2497" s="28">
        <v>7</v>
      </c>
      <c r="N2497" s="32" t="s">
        <v>184</v>
      </c>
      <c r="O2497" s="28" t="s">
        <v>4126</v>
      </c>
      <c r="P2497" s="28" t="s">
        <v>5764</v>
      </c>
      <c r="Q2497" s="28" t="s">
        <v>5765</v>
      </c>
      <c r="R2497" s="28" t="s">
        <v>5766</v>
      </c>
    </row>
    <row r="2498" spans="1:18" hidden="1">
      <c r="A2498" s="28">
        <v>11</v>
      </c>
      <c r="B2498" s="29" t="s">
        <v>169</v>
      </c>
      <c r="C2498" s="29" t="s">
        <v>1280</v>
      </c>
      <c r="D2498" s="29" t="s">
        <v>1286</v>
      </c>
      <c r="E2498" s="29" t="s">
        <v>172</v>
      </c>
      <c r="F2498" s="28" t="s">
        <v>5760</v>
      </c>
      <c r="G2498" s="28" t="s">
        <v>5760</v>
      </c>
      <c r="H2498" s="28" t="s">
        <v>174</v>
      </c>
      <c r="I2498" s="28" t="s">
        <v>174</v>
      </c>
      <c r="J2498" s="30" t="s">
        <v>174</v>
      </c>
      <c r="K2498" s="28" t="s">
        <v>479</v>
      </c>
      <c r="L2498" s="31">
        <v>43770</v>
      </c>
      <c r="M2498" s="28">
        <v>11</v>
      </c>
      <c r="N2498" s="32" t="s">
        <v>191</v>
      </c>
      <c r="O2498" s="28" t="s">
        <v>3093</v>
      </c>
      <c r="P2498" s="28" t="s">
        <v>5767</v>
      </c>
      <c r="Q2498" s="28" t="s">
        <v>5768</v>
      </c>
      <c r="R2498" s="28" t="s">
        <v>5769</v>
      </c>
    </row>
    <row r="2499" spans="1:18" hidden="1">
      <c r="A2499" s="28">
        <v>11</v>
      </c>
      <c r="B2499" s="29" t="s">
        <v>169</v>
      </c>
      <c r="C2499" s="29" t="s">
        <v>181</v>
      </c>
      <c r="D2499" s="29" t="s">
        <v>189</v>
      </c>
      <c r="E2499" s="29" t="s">
        <v>172</v>
      </c>
      <c r="F2499" s="28" t="s">
        <v>5760</v>
      </c>
      <c r="G2499" s="28" t="s">
        <v>5760</v>
      </c>
      <c r="H2499" s="28" t="s">
        <v>174</v>
      </c>
      <c r="I2499" s="28" t="s">
        <v>174</v>
      </c>
      <c r="J2499" s="30" t="s">
        <v>174</v>
      </c>
      <c r="K2499" s="28" t="s">
        <v>263</v>
      </c>
      <c r="L2499" s="31">
        <v>42430</v>
      </c>
      <c r="M2499" s="28">
        <v>3</v>
      </c>
      <c r="N2499" s="32" t="s">
        <v>191</v>
      </c>
      <c r="O2499" s="28" t="s">
        <v>3093</v>
      </c>
      <c r="P2499" s="28" t="s">
        <v>5770</v>
      </c>
      <c r="Q2499" s="28" t="s">
        <v>5771</v>
      </c>
      <c r="R2499" s="28" t="s">
        <v>5772</v>
      </c>
    </row>
    <row r="2500" spans="1:18" hidden="1">
      <c r="A2500" s="28">
        <v>11</v>
      </c>
      <c r="B2500" s="29" t="s">
        <v>169</v>
      </c>
      <c r="C2500" s="29" t="s">
        <v>181</v>
      </c>
      <c r="D2500" s="29" t="s">
        <v>189</v>
      </c>
      <c r="E2500" s="29" t="s">
        <v>172</v>
      </c>
      <c r="F2500" s="28" t="s">
        <v>5760</v>
      </c>
      <c r="G2500" s="28" t="s">
        <v>5760</v>
      </c>
      <c r="H2500" s="28" t="s">
        <v>174</v>
      </c>
      <c r="I2500" s="28" t="s">
        <v>174</v>
      </c>
      <c r="J2500" s="30" t="s">
        <v>174</v>
      </c>
      <c r="K2500" s="28" t="s">
        <v>5773</v>
      </c>
      <c r="L2500" s="31">
        <v>42887</v>
      </c>
      <c r="M2500" s="28">
        <v>6</v>
      </c>
      <c r="N2500" s="32" t="s">
        <v>184</v>
      </c>
      <c r="O2500" s="28" t="s">
        <v>204</v>
      </c>
      <c r="P2500" s="28" t="s">
        <v>5774</v>
      </c>
      <c r="Q2500" s="28" t="s">
        <v>5775</v>
      </c>
      <c r="R2500" s="28" t="s">
        <v>5776</v>
      </c>
    </row>
    <row r="2501" spans="1:18" hidden="1">
      <c r="A2501" s="28">
        <v>11</v>
      </c>
      <c r="B2501" s="29" t="s">
        <v>169</v>
      </c>
      <c r="C2501" s="29" t="s">
        <v>181</v>
      </c>
      <c r="D2501" s="29" t="s">
        <v>189</v>
      </c>
      <c r="E2501" s="29" t="s">
        <v>172</v>
      </c>
      <c r="F2501" s="28" t="s">
        <v>5760</v>
      </c>
      <c r="G2501" s="28" t="s">
        <v>5760</v>
      </c>
      <c r="H2501" s="28" t="s">
        <v>174</v>
      </c>
      <c r="I2501" s="28" t="s">
        <v>174</v>
      </c>
      <c r="J2501" s="30" t="s">
        <v>174</v>
      </c>
      <c r="K2501" s="28" t="s">
        <v>844</v>
      </c>
      <c r="L2501" s="31">
        <v>43586</v>
      </c>
      <c r="M2501" s="28">
        <v>5</v>
      </c>
      <c r="N2501" s="32" t="s">
        <v>191</v>
      </c>
      <c r="O2501" s="28" t="s">
        <v>4126</v>
      </c>
      <c r="P2501" s="28" t="s">
        <v>5777</v>
      </c>
      <c r="Q2501" s="28" t="s">
        <v>5778</v>
      </c>
      <c r="R2501" s="28" t="s">
        <v>5772</v>
      </c>
    </row>
    <row r="2502" spans="1:18" hidden="1">
      <c r="A2502" s="28">
        <v>11</v>
      </c>
      <c r="B2502" s="29" t="s">
        <v>169</v>
      </c>
      <c r="C2502" s="29" t="s">
        <v>181</v>
      </c>
      <c r="D2502" s="29" t="s">
        <v>189</v>
      </c>
      <c r="E2502" s="29" t="s">
        <v>172</v>
      </c>
      <c r="F2502" s="28" t="s">
        <v>5760</v>
      </c>
      <c r="G2502" s="28" t="s">
        <v>5760</v>
      </c>
      <c r="H2502" s="28" t="s">
        <v>174</v>
      </c>
      <c r="I2502" s="28" t="s">
        <v>174</v>
      </c>
      <c r="J2502" s="30" t="s">
        <v>174</v>
      </c>
      <c r="K2502" s="28" t="s">
        <v>504</v>
      </c>
      <c r="L2502" s="31">
        <v>43922</v>
      </c>
      <c r="M2502" s="28">
        <v>4</v>
      </c>
      <c r="N2502" s="32" t="s">
        <v>191</v>
      </c>
      <c r="O2502" s="28" t="s">
        <v>4126</v>
      </c>
      <c r="P2502" s="28" t="s">
        <v>5779</v>
      </c>
      <c r="Q2502" s="28" t="s">
        <v>5780</v>
      </c>
      <c r="R2502" s="28" t="s">
        <v>5772</v>
      </c>
    </row>
    <row r="2503" spans="1:18" hidden="1">
      <c r="A2503" s="28">
        <v>11</v>
      </c>
      <c r="B2503" s="29" t="s">
        <v>169</v>
      </c>
      <c r="C2503" s="29" t="s">
        <v>181</v>
      </c>
      <c r="D2503" s="29" t="s">
        <v>189</v>
      </c>
      <c r="E2503" s="29" t="s">
        <v>172</v>
      </c>
      <c r="F2503" s="28" t="s">
        <v>5760</v>
      </c>
      <c r="G2503" s="28" t="s">
        <v>5760</v>
      </c>
      <c r="H2503" s="28" t="s">
        <v>174</v>
      </c>
      <c r="I2503" s="28" t="s">
        <v>174</v>
      </c>
      <c r="J2503" s="30" t="s">
        <v>174</v>
      </c>
      <c r="K2503" s="28" t="s">
        <v>183</v>
      </c>
      <c r="L2503" s="31">
        <v>43983</v>
      </c>
      <c r="M2503" s="28">
        <v>6</v>
      </c>
      <c r="N2503" s="32" t="s">
        <v>184</v>
      </c>
      <c r="O2503" s="28" t="s">
        <v>204</v>
      </c>
      <c r="P2503" s="28" t="s">
        <v>5781</v>
      </c>
      <c r="Q2503" s="28" t="s">
        <v>5782</v>
      </c>
      <c r="R2503" s="28" t="s">
        <v>5772</v>
      </c>
    </row>
    <row r="2504" spans="1:18" hidden="1">
      <c r="A2504" s="28">
        <v>12</v>
      </c>
      <c r="B2504" s="29" t="s">
        <v>195</v>
      </c>
      <c r="C2504" s="29" t="s">
        <v>196</v>
      </c>
      <c r="D2504" s="29" t="s">
        <v>197</v>
      </c>
      <c r="E2504" s="29" t="s">
        <v>172</v>
      </c>
      <c r="F2504" s="28" t="s">
        <v>5760</v>
      </c>
      <c r="G2504" s="28" t="s">
        <v>5760</v>
      </c>
      <c r="H2504" s="28" t="s">
        <v>174</v>
      </c>
      <c r="I2504" s="28" t="s">
        <v>174</v>
      </c>
      <c r="J2504" s="30" t="s">
        <v>174</v>
      </c>
      <c r="K2504" s="28" t="s">
        <v>651</v>
      </c>
      <c r="L2504" s="31">
        <v>42644</v>
      </c>
      <c r="M2504" s="28">
        <v>10</v>
      </c>
      <c r="N2504" s="32" t="s">
        <v>191</v>
      </c>
      <c r="O2504" s="28" t="s">
        <v>2975</v>
      </c>
      <c r="P2504" s="28" t="s">
        <v>5783</v>
      </c>
      <c r="Q2504" s="28" t="s">
        <v>5784</v>
      </c>
      <c r="R2504" s="28" t="s">
        <v>5785</v>
      </c>
    </row>
    <row r="2505" spans="1:18" hidden="1">
      <c r="A2505" s="28">
        <v>12</v>
      </c>
      <c r="B2505" s="29" t="s">
        <v>195</v>
      </c>
      <c r="C2505" s="29" t="s">
        <v>196</v>
      </c>
      <c r="D2505" s="29" t="s">
        <v>197</v>
      </c>
      <c r="E2505" s="29" t="s">
        <v>172</v>
      </c>
      <c r="F2505" s="28" t="s">
        <v>5760</v>
      </c>
      <c r="G2505" s="28" t="s">
        <v>5760</v>
      </c>
      <c r="H2505" s="28" t="s">
        <v>174</v>
      </c>
      <c r="I2505" s="28" t="s">
        <v>174</v>
      </c>
      <c r="J2505" s="30" t="s">
        <v>174</v>
      </c>
      <c r="K2505" s="28" t="s">
        <v>651</v>
      </c>
      <c r="L2505" s="31">
        <v>42644</v>
      </c>
      <c r="M2505" s="28">
        <v>10</v>
      </c>
      <c r="N2505" s="32" t="s">
        <v>191</v>
      </c>
      <c r="O2505" s="28" t="s">
        <v>2975</v>
      </c>
      <c r="P2505" s="28" t="s">
        <v>5786</v>
      </c>
      <c r="Q2505" s="28" t="s">
        <v>5787</v>
      </c>
      <c r="R2505" s="28" t="s">
        <v>5788</v>
      </c>
    </row>
    <row r="2506" spans="1:18" hidden="1">
      <c r="A2506" s="28">
        <v>12</v>
      </c>
      <c r="B2506" s="29" t="s">
        <v>195</v>
      </c>
      <c r="C2506" s="29" t="s">
        <v>230</v>
      </c>
      <c r="D2506" s="29" t="s">
        <v>231</v>
      </c>
      <c r="E2506" s="29" t="s">
        <v>172</v>
      </c>
      <c r="F2506" s="28" t="s">
        <v>5760</v>
      </c>
      <c r="G2506" s="28" t="s">
        <v>5760</v>
      </c>
      <c r="H2506" s="28" t="s">
        <v>174</v>
      </c>
      <c r="I2506" s="28" t="s">
        <v>174</v>
      </c>
      <c r="J2506" s="30" t="s">
        <v>174</v>
      </c>
      <c r="K2506" s="28" t="s">
        <v>243</v>
      </c>
      <c r="L2506" s="31">
        <v>42461</v>
      </c>
      <c r="M2506" s="28">
        <v>4</v>
      </c>
      <c r="N2506" s="32" t="s">
        <v>191</v>
      </c>
      <c r="O2506" s="28" t="s">
        <v>2975</v>
      </c>
      <c r="P2506" s="28" t="s">
        <v>5789</v>
      </c>
      <c r="Q2506" s="28" t="s">
        <v>5790</v>
      </c>
      <c r="R2506" s="28" t="s">
        <v>5791</v>
      </c>
    </row>
    <row r="2507" spans="1:18" hidden="1">
      <c r="A2507" s="28">
        <v>12</v>
      </c>
      <c r="B2507" s="29" t="s">
        <v>195</v>
      </c>
      <c r="C2507" s="29" t="s">
        <v>230</v>
      </c>
      <c r="D2507" s="29" t="s">
        <v>231</v>
      </c>
      <c r="E2507" s="29" t="s">
        <v>172</v>
      </c>
      <c r="F2507" s="28" t="s">
        <v>5760</v>
      </c>
      <c r="G2507" s="28" t="s">
        <v>5760</v>
      </c>
      <c r="H2507" s="28" t="s">
        <v>174</v>
      </c>
      <c r="I2507" s="28" t="s">
        <v>174</v>
      </c>
      <c r="J2507" s="30" t="s">
        <v>174</v>
      </c>
      <c r="K2507" s="28" t="s">
        <v>198</v>
      </c>
      <c r="L2507" s="31">
        <v>42767</v>
      </c>
      <c r="M2507" s="28">
        <v>2</v>
      </c>
      <c r="N2507" s="32" t="s">
        <v>176</v>
      </c>
      <c r="O2507" s="28" t="s">
        <v>4126</v>
      </c>
      <c r="P2507" s="28" t="s">
        <v>5792</v>
      </c>
      <c r="Q2507" s="28" t="s">
        <v>5793</v>
      </c>
      <c r="R2507" s="28" t="s">
        <v>5794</v>
      </c>
    </row>
    <row r="2508" spans="1:18" hidden="1">
      <c r="A2508" s="28">
        <v>12</v>
      </c>
      <c r="B2508" s="29" t="s">
        <v>195</v>
      </c>
      <c r="C2508" s="29" t="s">
        <v>230</v>
      </c>
      <c r="D2508" s="29" t="s">
        <v>231</v>
      </c>
      <c r="E2508" s="29" t="s">
        <v>172</v>
      </c>
      <c r="F2508" s="28" t="s">
        <v>5760</v>
      </c>
      <c r="G2508" s="28" t="s">
        <v>5760</v>
      </c>
      <c r="H2508" s="28" t="s">
        <v>174</v>
      </c>
      <c r="I2508" s="28" t="s">
        <v>174</v>
      </c>
      <c r="J2508" s="30" t="s">
        <v>174</v>
      </c>
      <c r="K2508" s="28" t="s">
        <v>289</v>
      </c>
      <c r="L2508" s="31">
        <v>42795</v>
      </c>
      <c r="M2508" s="28">
        <v>3</v>
      </c>
      <c r="N2508" s="32" t="s">
        <v>191</v>
      </c>
      <c r="O2508" s="28" t="s">
        <v>4126</v>
      </c>
      <c r="P2508" s="28" t="s">
        <v>5795</v>
      </c>
      <c r="Q2508" s="28" t="s">
        <v>5796</v>
      </c>
      <c r="R2508" s="28" t="s">
        <v>5797</v>
      </c>
    </row>
    <row r="2509" spans="1:18" hidden="1">
      <c r="A2509" s="28">
        <v>12</v>
      </c>
      <c r="B2509" s="29" t="s">
        <v>195</v>
      </c>
      <c r="C2509" s="29" t="s">
        <v>230</v>
      </c>
      <c r="D2509" s="29" t="s">
        <v>231</v>
      </c>
      <c r="E2509" s="29" t="s">
        <v>172</v>
      </c>
      <c r="F2509" s="28" t="s">
        <v>5760</v>
      </c>
      <c r="G2509" s="28" t="s">
        <v>5760</v>
      </c>
      <c r="H2509" s="28" t="s">
        <v>174</v>
      </c>
      <c r="I2509" s="28" t="s">
        <v>174</v>
      </c>
      <c r="J2509" s="30" t="s">
        <v>174</v>
      </c>
      <c r="K2509" s="28" t="s">
        <v>464</v>
      </c>
      <c r="L2509" s="31">
        <v>42887</v>
      </c>
      <c r="M2509" s="28">
        <v>6</v>
      </c>
      <c r="N2509" s="32" t="s">
        <v>184</v>
      </c>
      <c r="O2509" s="28" t="s">
        <v>204</v>
      </c>
      <c r="P2509" s="28" t="s">
        <v>5798</v>
      </c>
      <c r="Q2509" s="28" t="s">
        <v>5799</v>
      </c>
      <c r="R2509" s="28" t="s">
        <v>5800</v>
      </c>
    </row>
    <row r="2510" spans="1:18" hidden="1">
      <c r="A2510" s="28">
        <v>12</v>
      </c>
      <c r="B2510" s="29" t="s">
        <v>195</v>
      </c>
      <c r="C2510" s="29" t="s">
        <v>230</v>
      </c>
      <c r="D2510" s="29" t="s">
        <v>231</v>
      </c>
      <c r="E2510" s="29" t="s">
        <v>172</v>
      </c>
      <c r="F2510" s="28" t="s">
        <v>5760</v>
      </c>
      <c r="G2510" s="28" t="s">
        <v>5760</v>
      </c>
      <c r="H2510" s="28" t="s">
        <v>174</v>
      </c>
      <c r="I2510" s="28" t="s">
        <v>174</v>
      </c>
      <c r="J2510" s="30" t="s">
        <v>174</v>
      </c>
      <c r="K2510" s="28" t="s">
        <v>742</v>
      </c>
      <c r="L2510" s="31">
        <v>42948</v>
      </c>
      <c r="M2510" s="28">
        <v>8</v>
      </c>
      <c r="N2510" s="32" t="s">
        <v>184</v>
      </c>
      <c r="O2510" s="28" t="s">
        <v>204</v>
      </c>
      <c r="P2510" s="28" t="s">
        <v>5801</v>
      </c>
      <c r="Q2510" s="28" t="s">
        <v>5799</v>
      </c>
      <c r="R2510" s="28" t="s">
        <v>5800</v>
      </c>
    </row>
    <row r="2511" spans="1:18" hidden="1">
      <c r="A2511" s="28">
        <v>12</v>
      </c>
      <c r="B2511" s="29" t="s">
        <v>195</v>
      </c>
      <c r="C2511" s="29" t="s">
        <v>230</v>
      </c>
      <c r="D2511" s="29" t="s">
        <v>231</v>
      </c>
      <c r="E2511" s="29" t="s">
        <v>172</v>
      </c>
      <c r="F2511" s="28" t="s">
        <v>5760</v>
      </c>
      <c r="G2511" s="28" t="s">
        <v>5760</v>
      </c>
      <c r="H2511" s="28" t="s">
        <v>174</v>
      </c>
      <c r="I2511" s="28" t="s">
        <v>174</v>
      </c>
      <c r="J2511" s="30" t="s">
        <v>174</v>
      </c>
      <c r="K2511" s="28" t="s">
        <v>678</v>
      </c>
      <c r="L2511" s="31">
        <v>43344</v>
      </c>
      <c r="M2511" s="28">
        <v>9</v>
      </c>
      <c r="N2511" s="32" t="s">
        <v>191</v>
      </c>
      <c r="O2511" s="28" t="s">
        <v>4126</v>
      </c>
      <c r="P2511" s="28" t="s">
        <v>5802</v>
      </c>
      <c r="Q2511" s="28" t="s">
        <v>5803</v>
      </c>
      <c r="R2511" s="28" t="s">
        <v>5804</v>
      </c>
    </row>
    <row r="2512" spans="1:18" hidden="1">
      <c r="A2512" s="28">
        <v>12</v>
      </c>
      <c r="B2512" s="29" t="s">
        <v>195</v>
      </c>
      <c r="C2512" s="29" t="s">
        <v>230</v>
      </c>
      <c r="D2512" s="29" t="s">
        <v>231</v>
      </c>
      <c r="E2512" s="29" t="s">
        <v>172</v>
      </c>
      <c r="F2512" s="28" t="s">
        <v>5760</v>
      </c>
      <c r="G2512" s="28" t="s">
        <v>5760</v>
      </c>
      <c r="H2512" s="28" t="s">
        <v>174</v>
      </c>
      <c r="I2512" s="28" t="s">
        <v>174</v>
      </c>
      <c r="J2512" s="30" t="s">
        <v>174</v>
      </c>
      <c r="K2512" s="28" t="s">
        <v>678</v>
      </c>
      <c r="L2512" s="31">
        <v>43344</v>
      </c>
      <c r="M2512" s="28">
        <v>9</v>
      </c>
      <c r="N2512" s="32" t="s">
        <v>191</v>
      </c>
      <c r="O2512" s="28" t="s">
        <v>204</v>
      </c>
      <c r="P2512" s="28" t="s">
        <v>5805</v>
      </c>
      <c r="Q2512" s="28" t="s">
        <v>5806</v>
      </c>
      <c r="R2512" s="28" t="s">
        <v>5807</v>
      </c>
    </row>
    <row r="2513" spans="1:18" hidden="1">
      <c r="A2513" s="28">
        <v>12</v>
      </c>
      <c r="B2513" s="29" t="s">
        <v>195</v>
      </c>
      <c r="C2513" s="29" t="s">
        <v>230</v>
      </c>
      <c r="D2513" s="29" t="s">
        <v>231</v>
      </c>
      <c r="E2513" s="29" t="s">
        <v>172</v>
      </c>
      <c r="F2513" s="28" t="s">
        <v>5760</v>
      </c>
      <c r="G2513" s="28" t="s">
        <v>5760</v>
      </c>
      <c r="H2513" s="28" t="s">
        <v>174</v>
      </c>
      <c r="I2513" s="28" t="s">
        <v>174</v>
      </c>
      <c r="J2513" s="30" t="s">
        <v>174</v>
      </c>
      <c r="K2513" s="28" t="s">
        <v>293</v>
      </c>
      <c r="L2513" s="31">
        <v>43374</v>
      </c>
      <c r="M2513" s="28">
        <v>10</v>
      </c>
      <c r="N2513" s="32" t="s">
        <v>191</v>
      </c>
      <c r="O2513" s="28" t="s">
        <v>2054</v>
      </c>
      <c r="P2513" s="28" t="s">
        <v>5808</v>
      </c>
      <c r="Q2513" s="28" t="s">
        <v>5809</v>
      </c>
      <c r="R2513" s="28" t="s">
        <v>5810</v>
      </c>
    </row>
    <row r="2514" spans="1:18" hidden="1">
      <c r="A2514" s="28">
        <v>12</v>
      </c>
      <c r="B2514" s="29" t="s">
        <v>195</v>
      </c>
      <c r="C2514" s="29" t="s">
        <v>230</v>
      </c>
      <c r="D2514" s="29" t="s">
        <v>231</v>
      </c>
      <c r="E2514" s="29" t="s">
        <v>172</v>
      </c>
      <c r="F2514" s="28" t="s">
        <v>5760</v>
      </c>
      <c r="G2514" s="28" t="s">
        <v>5760</v>
      </c>
      <c r="H2514" s="28" t="s">
        <v>174</v>
      </c>
      <c r="I2514" s="28" t="s">
        <v>174</v>
      </c>
      <c r="J2514" s="30" t="s">
        <v>174</v>
      </c>
      <c r="K2514" s="28" t="s">
        <v>844</v>
      </c>
      <c r="L2514" s="31">
        <v>43586</v>
      </c>
      <c r="M2514" s="28">
        <v>5</v>
      </c>
      <c r="N2514" s="32" t="s">
        <v>191</v>
      </c>
      <c r="O2514" s="28" t="s">
        <v>2975</v>
      </c>
      <c r="P2514" s="28" t="s">
        <v>5811</v>
      </c>
      <c r="Q2514" s="28" t="s">
        <v>5790</v>
      </c>
      <c r="R2514" s="28" t="s">
        <v>5791</v>
      </c>
    </row>
    <row r="2515" spans="1:18" hidden="1">
      <c r="A2515" s="28">
        <v>12</v>
      </c>
      <c r="B2515" s="29" t="s">
        <v>195</v>
      </c>
      <c r="C2515" s="29" t="s">
        <v>230</v>
      </c>
      <c r="D2515" s="29" t="s">
        <v>231</v>
      </c>
      <c r="E2515" s="29" t="s">
        <v>172</v>
      </c>
      <c r="F2515" s="28" t="s">
        <v>5760</v>
      </c>
      <c r="G2515" s="28" t="s">
        <v>5760</v>
      </c>
      <c r="H2515" s="28" t="s">
        <v>174</v>
      </c>
      <c r="I2515" s="28" t="s">
        <v>174</v>
      </c>
      <c r="J2515" s="30" t="s">
        <v>174</v>
      </c>
      <c r="K2515" s="28" t="s">
        <v>236</v>
      </c>
      <c r="L2515" s="31">
        <v>43617</v>
      </c>
      <c r="M2515" s="28">
        <v>6</v>
      </c>
      <c r="N2515" s="32" t="s">
        <v>184</v>
      </c>
      <c r="O2515" s="28" t="s">
        <v>4126</v>
      </c>
      <c r="P2515" s="28" t="s">
        <v>5812</v>
      </c>
      <c r="Q2515" s="28" t="s">
        <v>5793</v>
      </c>
      <c r="R2515" s="28" t="s">
        <v>5794</v>
      </c>
    </row>
    <row r="2516" spans="1:18" hidden="1">
      <c r="A2516" s="28">
        <v>2</v>
      </c>
      <c r="B2516" s="29" t="s">
        <v>240</v>
      </c>
      <c r="C2516" s="29" t="s">
        <v>241</v>
      </c>
      <c r="D2516" s="29" t="s">
        <v>509</v>
      </c>
      <c r="E2516" s="29" t="s">
        <v>172</v>
      </c>
      <c r="F2516" s="28" t="s">
        <v>5760</v>
      </c>
      <c r="G2516" s="28" t="s">
        <v>5760</v>
      </c>
      <c r="H2516" s="28" t="s">
        <v>174</v>
      </c>
      <c r="I2516" s="28" t="s">
        <v>174</v>
      </c>
      <c r="J2516" s="30" t="s">
        <v>174</v>
      </c>
      <c r="K2516" s="28" t="s">
        <v>175</v>
      </c>
      <c r="L2516" s="31">
        <v>42339</v>
      </c>
      <c r="M2516" s="28">
        <v>12</v>
      </c>
      <c r="N2516" s="32" t="s">
        <v>176</v>
      </c>
      <c r="O2516" s="28" t="s">
        <v>2054</v>
      </c>
      <c r="P2516" s="28" t="s">
        <v>5813</v>
      </c>
      <c r="Q2516" s="28" t="s">
        <v>5814</v>
      </c>
      <c r="R2516" s="28" t="s">
        <v>5815</v>
      </c>
    </row>
    <row r="2517" spans="1:18" hidden="1">
      <c r="A2517" s="28">
        <v>2</v>
      </c>
      <c r="B2517" s="29" t="s">
        <v>240</v>
      </c>
      <c r="C2517" s="29" t="s">
        <v>276</v>
      </c>
      <c r="D2517" s="29" t="s">
        <v>282</v>
      </c>
      <c r="E2517" s="29" t="s">
        <v>172</v>
      </c>
      <c r="F2517" s="28" t="s">
        <v>5760</v>
      </c>
      <c r="G2517" s="28" t="s">
        <v>5760</v>
      </c>
      <c r="H2517" s="28" t="s">
        <v>174</v>
      </c>
      <c r="I2517" s="28" t="s">
        <v>174</v>
      </c>
      <c r="J2517" s="30" t="s">
        <v>174</v>
      </c>
      <c r="K2517" s="28" t="s">
        <v>248</v>
      </c>
      <c r="L2517" s="31">
        <v>43070</v>
      </c>
      <c r="M2517" s="28">
        <v>12</v>
      </c>
      <c r="N2517" s="32" t="s">
        <v>176</v>
      </c>
      <c r="O2517" s="28" t="s">
        <v>3093</v>
      </c>
      <c r="P2517" s="28" t="s">
        <v>5816</v>
      </c>
      <c r="Q2517" s="28" t="s">
        <v>5817</v>
      </c>
      <c r="R2517" s="28" t="s">
        <v>5818</v>
      </c>
    </row>
    <row r="2518" spans="1:18" hidden="1">
      <c r="A2518" s="28">
        <v>2</v>
      </c>
      <c r="B2518" s="29" t="s">
        <v>240</v>
      </c>
      <c r="C2518" s="29" t="s">
        <v>276</v>
      </c>
      <c r="D2518" s="29" t="s">
        <v>282</v>
      </c>
      <c r="E2518" s="29" t="s">
        <v>172</v>
      </c>
      <c r="F2518" s="28" t="s">
        <v>5760</v>
      </c>
      <c r="G2518" s="28" t="s">
        <v>5760</v>
      </c>
      <c r="H2518" s="28" t="s">
        <v>174</v>
      </c>
      <c r="I2518" s="28" t="s">
        <v>174</v>
      </c>
      <c r="J2518" s="30" t="s">
        <v>174</v>
      </c>
      <c r="K2518" s="28" t="s">
        <v>248</v>
      </c>
      <c r="L2518" s="31">
        <v>43070</v>
      </c>
      <c r="M2518" s="28">
        <v>12</v>
      </c>
      <c r="N2518" s="32" t="s">
        <v>176</v>
      </c>
      <c r="O2518" s="28" t="s">
        <v>3093</v>
      </c>
      <c r="P2518" s="28" t="s">
        <v>5819</v>
      </c>
      <c r="Q2518" s="28" t="s">
        <v>5817</v>
      </c>
      <c r="R2518" s="28" t="s">
        <v>5818</v>
      </c>
    </row>
    <row r="2519" spans="1:18" hidden="1">
      <c r="A2519" s="28">
        <v>2</v>
      </c>
      <c r="B2519" s="29" t="s">
        <v>240</v>
      </c>
      <c r="C2519" s="29" t="s">
        <v>276</v>
      </c>
      <c r="D2519" s="29" t="s">
        <v>282</v>
      </c>
      <c r="E2519" s="29" t="s">
        <v>172</v>
      </c>
      <c r="F2519" s="28" t="s">
        <v>5760</v>
      </c>
      <c r="G2519" s="28" t="s">
        <v>5760</v>
      </c>
      <c r="H2519" s="28" t="s">
        <v>174</v>
      </c>
      <c r="I2519" s="28" t="s">
        <v>174</v>
      </c>
      <c r="J2519" s="30" t="s">
        <v>174</v>
      </c>
      <c r="K2519" s="28" t="s">
        <v>214</v>
      </c>
      <c r="L2519" s="31">
        <v>43466</v>
      </c>
      <c r="M2519" s="28">
        <v>1</v>
      </c>
      <c r="N2519" s="32" t="s">
        <v>176</v>
      </c>
      <c r="O2519" s="28" t="s">
        <v>3093</v>
      </c>
      <c r="P2519" s="28" t="s">
        <v>5820</v>
      </c>
      <c r="Q2519" s="28" t="s">
        <v>5817</v>
      </c>
      <c r="R2519" s="28" t="s">
        <v>5818</v>
      </c>
    </row>
    <row r="2520" spans="1:18" hidden="1">
      <c r="A2520" s="28">
        <v>2</v>
      </c>
      <c r="B2520" s="29" t="s">
        <v>240</v>
      </c>
      <c r="C2520" s="29" t="s">
        <v>276</v>
      </c>
      <c r="D2520" s="29" t="s">
        <v>282</v>
      </c>
      <c r="E2520" s="29" t="s">
        <v>172</v>
      </c>
      <c r="F2520" s="28" t="s">
        <v>5760</v>
      </c>
      <c r="G2520" s="28" t="s">
        <v>5760</v>
      </c>
      <c r="H2520" s="28" t="s">
        <v>174</v>
      </c>
      <c r="I2520" s="28" t="s">
        <v>174</v>
      </c>
      <c r="J2520" s="30" t="s">
        <v>174</v>
      </c>
      <c r="K2520" s="28" t="s">
        <v>1136</v>
      </c>
      <c r="L2520" s="31">
        <v>43497</v>
      </c>
      <c r="M2520" s="28">
        <v>2</v>
      </c>
      <c r="N2520" s="32" t="s">
        <v>176</v>
      </c>
      <c r="O2520" s="28" t="s">
        <v>3093</v>
      </c>
      <c r="P2520" s="28" t="s">
        <v>5821</v>
      </c>
      <c r="Q2520" s="28" t="s">
        <v>5817</v>
      </c>
      <c r="R2520" s="28" t="s">
        <v>5818</v>
      </c>
    </row>
    <row r="2521" spans="1:18" hidden="1">
      <c r="A2521" s="28">
        <v>4</v>
      </c>
      <c r="B2521" s="29" t="s">
        <v>306</v>
      </c>
      <c r="C2521" s="29" t="s">
        <v>312</v>
      </c>
      <c r="D2521" s="29" t="s">
        <v>313</v>
      </c>
      <c r="E2521" s="29" t="s">
        <v>172</v>
      </c>
      <c r="F2521" s="28" t="s">
        <v>5760</v>
      </c>
      <c r="G2521" s="28" t="s">
        <v>5760</v>
      </c>
      <c r="H2521" s="28" t="s">
        <v>174</v>
      </c>
      <c r="I2521" s="28" t="s">
        <v>174</v>
      </c>
      <c r="J2521" s="30" t="s">
        <v>174</v>
      </c>
      <c r="K2521" s="28" t="s">
        <v>267</v>
      </c>
      <c r="L2521" s="31">
        <v>42583</v>
      </c>
      <c r="M2521" s="28">
        <v>8</v>
      </c>
      <c r="N2521" s="32" t="s">
        <v>184</v>
      </c>
      <c r="O2521" s="28" t="s">
        <v>4126</v>
      </c>
      <c r="P2521" s="28" t="s">
        <v>5822</v>
      </c>
      <c r="Q2521" s="28" t="s">
        <v>5823</v>
      </c>
      <c r="R2521" s="28" t="s">
        <v>5824</v>
      </c>
    </row>
    <row r="2522" spans="1:18" hidden="1">
      <c r="A2522" s="28">
        <v>4</v>
      </c>
      <c r="B2522" s="29" t="s">
        <v>306</v>
      </c>
      <c r="C2522" s="29" t="s">
        <v>312</v>
      </c>
      <c r="D2522" s="29" t="s">
        <v>313</v>
      </c>
      <c r="E2522" s="29" t="s">
        <v>172</v>
      </c>
      <c r="F2522" s="28" t="s">
        <v>5760</v>
      </c>
      <c r="G2522" s="28" t="s">
        <v>5760</v>
      </c>
      <c r="H2522" s="28" t="s">
        <v>174</v>
      </c>
      <c r="I2522" s="28" t="s">
        <v>174</v>
      </c>
      <c r="J2522" s="30" t="s">
        <v>174</v>
      </c>
      <c r="K2522" s="28" t="s">
        <v>678</v>
      </c>
      <c r="L2522" s="31">
        <v>43344</v>
      </c>
      <c r="M2522" s="28">
        <v>9</v>
      </c>
      <c r="N2522" s="32" t="s">
        <v>191</v>
      </c>
      <c r="O2522" s="28" t="s">
        <v>4126</v>
      </c>
      <c r="P2522" s="28" t="s">
        <v>5825</v>
      </c>
      <c r="Q2522" s="28" t="s">
        <v>5826</v>
      </c>
      <c r="R2522" s="28" t="s">
        <v>5827</v>
      </c>
    </row>
    <row r="2523" spans="1:18" hidden="1">
      <c r="A2523" s="28">
        <v>4</v>
      </c>
      <c r="B2523" s="29" t="s">
        <v>306</v>
      </c>
      <c r="C2523" s="29" t="s">
        <v>312</v>
      </c>
      <c r="D2523" s="29" t="s">
        <v>313</v>
      </c>
      <c r="E2523" s="29" t="s">
        <v>172</v>
      </c>
      <c r="F2523" s="28" t="s">
        <v>5760</v>
      </c>
      <c r="G2523" s="28" t="s">
        <v>5760</v>
      </c>
      <c r="H2523" s="28" t="s">
        <v>174</v>
      </c>
      <c r="I2523" s="28" t="s">
        <v>174</v>
      </c>
      <c r="J2523" s="30" t="s">
        <v>174</v>
      </c>
      <c r="K2523" s="28" t="s">
        <v>411</v>
      </c>
      <c r="L2523" s="31">
        <v>43556</v>
      </c>
      <c r="M2523" s="28">
        <v>4</v>
      </c>
      <c r="N2523" s="32" t="s">
        <v>191</v>
      </c>
      <c r="O2523" s="28" t="s">
        <v>4126</v>
      </c>
      <c r="P2523" s="28" t="s">
        <v>5828</v>
      </c>
      <c r="Q2523" s="28" t="s">
        <v>5826</v>
      </c>
      <c r="R2523" s="28" t="s">
        <v>5827</v>
      </c>
    </row>
    <row r="2524" spans="1:18" hidden="1">
      <c r="A2524" s="28">
        <v>4</v>
      </c>
      <c r="B2524" s="29" t="s">
        <v>306</v>
      </c>
      <c r="C2524" s="29" t="s">
        <v>312</v>
      </c>
      <c r="D2524" s="29" t="s">
        <v>313</v>
      </c>
      <c r="E2524" s="29" t="s">
        <v>172</v>
      </c>
      <c r="F2524" s="28" t="s">
        <v>5760</v>
      </c>
      <c r="G2524" s="28" t="s">
        <v>5760</v>
      </c>
      <c r="H2524" s="28" t="s">
        <v>174</v>
      </c>
      <c r="I2524" s="28" t="s">
        <v>174</v>
      </c>
      <c r="J2524" s="30" t="s">
        <v>174</v>
      </c>
      <c r="K2524" s="28" t="s">
        <v>844</v>
      </c>
      <c r="L2524" s="31">
        <v>43586</v>
      </c>
      <c r="M2524" s="28">
        <v>5</v>
      </c>
      <c r="N2524" s="32" t="s">
        <v>191</v>
      </c>
      <c r="O2524" s="28" t="s">
        <v>2054</v>
      </c>
      <c r="P2524" s="28" t="s">
        <v>5829</v>
      </c>
      <c r="Q2524" s="28" t="s">
        <v>5830</v>
      </c>
      <c r="R2524" s="28" t="s">
        <v>5831</v>
      </c>
    </row>
    <row r="2525" spans="1:18" hidden="1">
      <c r="A2525" s="28">
        <v>4</v>
      </c>
      <c r="B2525" s="29" t="s">
        <v>306</v>
      </c>
      <c r="C2525" s="29" t="s">
        <v>312</v>
      </c>
      <c r="D2525" s="29" t="s">
        <v>313</v>
      </c>
      <c r="E2525" s="29" t="s">
        <v>172</v>
      </c>
      <c r="F2525" s="28" t="s">
        <v>5760</v>
      </c>
      <c r="G2525" s="28" t="s">
        <v>5760</v>
      </c>
      <c r="H2525" s="28" t="s">
        <v>174</v>
      </c>
      <c r="I2525" s="28" t="s">
        <v>174</v>
      </c>
      <c r="J2525" s="30" t="s">
        <v>174</v>
      </c>
      <c r="K2525" s="28" t="s">
        <v>424</v>
      </c>
      <c r="L2525" s="31">
        <v>43678</v>
      </c>
      <c r="M2525" s="28">
        <v>8</v>
      </c>
      <c r="N2525" s="32" t="s">
        <v>184</v>
      </c>
      <c r="O2525" s="28" t="s">
        <v>2054</v>
      </c>
      <c r="P2525" s="28" t="s">
        <v>5832</v>
      </c>
      <c r="Q2525" s="28" t="s">
        <v>5833</v>
      </c>
      <c r="R2525" s="28" t="s">
        <v>5834</v>
      </c>
    </row>
    <row r="2526" spans="1:18" hidden="1">
      <c r="A2526" s="28">
        <v>4</v>
      </c>
      <c r="B2526" s="29" t="s">
        <v>306</v>
      </c>
      <c r="C2526" s="29" t="s">
        <v>312</v>
      </c>
      <c r="D2526" s="29" t="s">
        <v>313</v>
      </c>
      <c r="E2526" s="29" t="s">
        <v>172</v>
      </c>
      <c r="F2526" s="28" t="s">
        <v>5760</v>
      </c>
      <c r="G2526" s="28" t="s">
        <v>5760</v>
      </c>
      <c r="H2526" s="28" t="s">
        <v>174</v>
      </c>
      <c r="I2526" s="28" t="s">
        <v>174</v>
      </c>
      <c r="J2526" s="30" t="s">
        <v>174</v>
      </c>
      <c r="K2526" s="28" t="s">
        <v>430</v>
      </c>
      <c r="L2526" s="31">
        <v>44105</v>
      </c>
      <c r="M2526" s="28">
        <v>10</v>
      </c>
      <c r="N2526" s="32" t="s">
        <v>191</v>
      </c>
      <c r="O2526" s="28" t="s">
        <v>4126</v>
      </c>
      <c r="P2526" s="28" t="s">
        <v>5835</v>
      </c>
      <c r="Q2526" s="28" t="s">
        <v>5826</v>
      </c>
      <c r="R2526" s="28" t="s">
        <v>5827</v>
      </c>
    </row>
    <row r="2527" spans="1:18" hidden="1">
      <c r="A2527" s="28">
        <v>4</v>
      </c>
      <c r="B2527" s="29" t="s">
        <v>306</v>
      </c>
      <c r="C2527" s="29" t="s">
        <v>1776</v>
      </c>
      <c r="D2527" s="29" t="s">
        <v>2666</v>
      </c>
      <c r="E2527" s="29" t="s">
        <v>172</v>
      </c>
      <c r="F2527" s="28" t="s">
        <v>5760</v>
      </c>
      <c r="G2527" s="28" t="s">
        <v>5760</v>
      </c>
      <c r="H2527" s="28" t="s">
        <v>174</v>
      </c>
      <c r="I2527" s="28" t="s">
        <v>174</v>
      </c>
      <c r="J2527" s="30" t="s">
        <v>174</v>
      </c>
      <c r="K2527" s="28" t="s">
        <v>198</v>
      </c>
      <c r="L2527" s="31">
        <v>42767</v>
      </c>
      <c r="M2527" s="28">
        <v>2</v>
      </c>
      <c r="N2527" s="32" t="s">
        <v>176</v>
      </c>
      <c r="O2527" s="28" t="s">
        <v>4126</v>
      </c>
      <c r="P2527" s="28" t="s">
        <v>5836</v>
      </c>
      <c r="Q2527" s="28" t="s">
        <v>5837</v>
      </c>
      <c r="R2527" s="28" t="s">
        <v>5838</v>
      </c>
    </row>
    <row r="2528" spans="1:18" hidden="1">
      <c r="A2528" s="28">
        <v>4</v>
      </c>
      <c r="B2528" s="29" t="s">
        <v>306</v>
      </c>
      <c r="C2528" s="29" t="s">
        <v>649</v>
      </c>
      <c r="D2528" s="29" t="s">
        <v>650</v>
      </c>
      <c r="E2528" s="29" t="s">
        <v>172</v>
      </c>
      <c r="F2528" s="28" t="s">
        <v>5760</v>
      </c>
      <c r="G2528" s="28" t="s">
        <v>5760</v>
      </c>
      <c r="H2528" s="28" t="s">
        <v>174</v>
      </c>
      <c r="I2528" s="28" t="s">
        <v>174</v>
      </c>
      <c r="J2528" s="30" t="s">
        <v>174</v>
      </c>
      <c r="K2528" s="28" t="s">
        <v>730</v>
      </c>
      <c r="L2528" s="31">
        <v>44166</v>
      </c>
      <c r="M2528" s="28">
        <v>12</v>
      </c>
      <c r="N2528" s="32" t="s">
        <v>176</v>
      </c>
      <c r="O2528" s="28" t="s">
        <v>204</v>
      </c>
      <c r="P2528" s="28" t="s">
        <v>5839</v>
      </c>
      <c r="Q2528" s="28" t="s">
        <v>5840</v>
      </c>
      <c r="R2528" s="28" t="s">
        <v>5841</v>
      </c>
    </row>
    <row r="2529" spans="1:18" hidden="1">
      <c r="A2529" s="28">
        <v>4</v>
      </c>
      <c r="B2529" s="29" t="s">
        <v>306</v>
      </c>
      <c r="C2529" s="29" t="s">
        <v>333</v>
      </c>
      <c r="D2529" s="29" t="s">
        <v>334</v>
      </c>
      <c r="E2529" s="29" t="s">
        <v>172</v>
      </c>
      <c r="F2529" s="28" t="s">
        <v>5760</v>
      </c>
      <c r="G2529" s="28" t="s">
        <v>5760</v>
      </c>
      <c r="H2529" s="28" t="s">
        <v>174</v>
      </c>
      <c r="I2529" s="28" t="s">
        <v>174</v>
      </c>
      <c r="J2529" s="30" t="s">
        <v>174</v>
      </c>
      <c r="K2529" s="28" t="s">
        <v>587</v>
      </c>
      <c r="L2529" s="31">
        <v>42736</v>
      </c>
      <c r="M2529" s="28">
        <v>1</v>
      </c>
      <c r="N2529" s="32" t="s">
        <v>176</v>
      </c>
      <c r="O2529" s="28" t="s">
        <v>2054</v>
      </c>
      <c r="P2529" s="28" t="s">
        <v>5842</v>
      </c>
      <c r="Q2529" s="28" t="s">
        <v>5843</v>
      </c>
      <c r="R2529" s="28" t="s">
        <v>5844</v>
      </c>
    </row>
    <row r="2530" spans="1:18" hidden="1">
      <c r="A2530" s="28">
        <v>4</v>
      </c>
      <c r="B2530" s="29" t="s">
        <v>306</v>
      </c>
      <c r="C2530" s="29" t="s">
        <v>333</v>
      </c>
      <c r="D2530" s="29" t="s">
        <v>673</v>
      </c>
      <c r="E2530" s="29" t="s">
        <v>172</v>
      </c>
      <c r="F2530" s="28" t="s">
        <v>5760</v>
      </c>
      <c r="G2530" s="28" t="s">
        <v>5760</v>
      </c>
      <c r="H2530" s="28" t="s">
        <v>174</v>
      </c>
      <c r="I2530" s="28" t="s">
        <v>174</v>
      </c>
      <c r="J2530" s="30" t="s">
        <v>174</v>
      </c>
      <c r="K2530" s="28" t="s">
        <v>391</v>
      </c>
      <c r="L2530" s="31">
        <v>42370</v>
      </c>
      <c r="M2530" s="28">
        <v>1</v>
      </c>
      <c r="N2530" s="32" t="s">
        <v>176</v>
      </c>
      <c r="O2530" s="28" t="s">
        <v>2054</v>
      </c>
      <c r="P2530" s="28" t="s">
        <v>5845</v>
      </c>
      <c r="Q2530" s="28" t="s">
        <v>5846</v>
      </c>
      <c r="R2530" s="28" t="s">
        <v>5844</v>
      </c>
    </row>
    <row r="2531" spans="1:18" hidden="1">
      <c r="A2531" s="28">
        <v>5</v>
      </c>
      <c r="B2531" s="29" t="s">
        <v>349</v>
      </c>
      <c r="C2531" s="29" t="s">
        <v>350</v>
      </c>
      <c r="D2531" s="29" t="s">
        <v>714</v>
      </c>
      <c r="E2531" s="29" t="s">
        <v>172</v>
      </c>
      <c r="F2531" s="28" t="s">
        <v>5760</v>
      </c>
      <c r="G2531" s="28" t="s">
        <v>5760</v>
      </c>
      <c r="H2531" s="28" t="s">
        <v>174</v>
      </c>
      <c r="I2531" s="28" t="s">
        <v>174</v>
      </c>
      <c r="J2531" s="30" t="s">
        <v>174</v>
      </c>
      <c r="K2531" s="28" t="s">
        <v>401</v>
      </c>
      <c r="L2531" s="31">
        <v>42705</v>
      </c>
      <c r="M2531" s="28">
        <v>12</v>
      </c>
      <c r="N2531" s="32" t="s">
        <v>176</v>
      </c>
      <c r="O2531" s="28" t="s">
        <v>3093</v>
      </c>
      <c r="P2531" s="28" t="s">
        <v>5847</v>
      </c>
      <c r="Q2531" s="28" t="s">
        <v>5848</v>
      </c>
      <c r="R2531" s="28" t="s">
        <v>5849</v>
      </c>
    </row>
    <row r="2532" spans="1:18" hidden="1">
      <c r="A2532" s="28">
        <v>5</v>
      </c>
      <c r="B2532" s="29" t="s">
        <v>349</v>
      </c>
      <c r="C2532" s="29" t="s">
        <v>350</v>
      </c>
      <c r="D2532" s="29" t="s">
        <v>725</v>
      </c>
      <c r="E2532" s="29" t="s">
        <v>172</v>
      </c>
      <c r="F2532" s="28" t="s">
        <v>5760</v>
      </c>
      <c r="G2532" s="28" t="s">
        <v>5760</v>
      </c>
      <c r="H2532" s="28" t="s">
        <v>174</v>
      </c>
      <c r="I2532" s="28" t="s">
        <v>174</v>
      </c>
      <c r="J2532" s="30" t="s">
        <v>174</v>
      </c>
      <c r="K2532" s="28" t="s">
        <v>232</v>
      </c>
      <c r="L2532" s="31">
        <v>42522</v>
      </c>
      <c r="M2532" s="28">
        <v>6</v>
      </c>
      <c r="N2532" s="32" t="s">
        <v>184</v>
      </c>
      <c r="O2532" s="28" t="s">
        <v>2537</v>
      </c>
      <c r="P2532" s="28" t="s">
        <v>5850</v>
      </c>
      <c r="Q2532" s="28" t="s">
        <v>5851</v>
      </c>
      <c r="R2532" s="28" t="s">
        <v>3012</v>
      </c>
    </row>
    <row r="2533" spans="1:18" hidden="1">
      <c r="A2533" s="28">
        <v>5</v>
      </c>
      <c r="B2533" s="29" t="s">
        <v>349</v>
      </c>
      <c r="C2533" s="29" t="s">
        <v>350</v>
      </c>
      <c r="D2533" s="29" t="s">
        <v>725</v>
      </c>
      <c r="E2533" s="29" t="s">
        <v>172</v>
      </c>
      <c r="F2533" s="28" t="s">
        <v>5760</v>
      </c>
      <c r="G2533" s="28" t="s">
        <v>5760</v>
      </c>
      <c r="H2533" s="28" t="s">
        <v>174</v>
      </c>
      <c r="I2533" s="28" t="s">
        <v>174</v>
      </c>
      <c r="J2533" s="30" t="s">
        <v>174</v>
      </c>
      <c r="K2533" s="28" t="s">
        <v>678</v>
      </c>
      <c r="L2533" s="31">
        <v>43344</v>
      </c>
      <c r="M2533" s="28">
        <v>9</v>
      </c>
      <c r="N2533" s="32" t="s">
        <v>191</v>
      </c>
      <c r="O2533" s="28" t="s">
        <v>3685</v>
      </c>
      <c r="P2533" s="28" t="s">
        <v>5852</v>
      </c>
      <c r="Q2533" s="28" t="s">
        <v>5853</v>
      </c>
      <c r="R2533" s="28" t="s">
        <v>5854</v>
      </c>
    </row>
    <row r="2534" spans="1:18" hidden="1">
      <c r="A2534" s="28">
        <v>5</v>
      </c>
      <c r="B2534" s="29" t="s">
        <v>349</v>
      </c>
      <c r="C2534" s="29" t="s">
        <v>355</v>
      </c>
      <c r="D2534" s="29" t="s">
        <v>360</v>
      </c>
      <c r="E2534" s="29" t="s">
        <v>172</v>
      </c>
      <c r="F2534" s="28" t="s">
        <v>5760</v>
      </c>
      <c r="G2534" s="28" t="s">
        <v>5760</v>
      </c>
      <c r="H2534" s="28" t="s">
        <v>174</v>
      </c>
      <c r="I2534" s="28" t="s">
        <v>174</v>
      </c>
      <c r="J2534" s="30" t="s">
        <v>174</v>
      </c>
      <c r="K2534" s="28" t="s">
        <v>489</v>
      </c>
      <c r="L2534" s="31">
        <v>42491</v>
      </c>
      <c r="M2534" s="28">
        <v>5</v>
      </c>
      <c r="N2534" s="32" t="s">
        <v>191</v>
      </c>
      <c r="O2534" s="28" t="s">
        <v>4126</v>
      </c>
      <c r="P2534" s="28" t="s">
        <v>5855</v>
      </c>
      <c r="Q2534" s="28" t="s">
        <v>5856</v>
      </c>
      <c r="R2534" s="28" t="s">
        <v>3101</v>
      </c>
    </row>
    <row r="2535" spans="1:18" hidden="1">
      <c r="A2535" s="28">
        <v>5</v>
      </c>
      <c r="B2535" s="29" t="s">
        <v>349</v>
      </c>
      <c r="C2535" s="29" t="s">
        <v>355</v>
      </c>
      <c r="D2535" s="29" t="s">
        <v>360</v>
      </c>
      <c r="E2535" s="29" t="s">
        <v>172</v>
      </c>
      <c r="F2535" s="28" t="s">
        <v>5760</v>
      </c>
      <c r="G2535" s="28" t="s">
        <v>5760</v>
      </c>
      <c r="H2535" s="28" t="s">
        <v>174</v>
      </c>
      <c r="I2535" s="28" t="s">
        <v>174</v>
      </c>
      <c r="J2535" s="30" t="s">
        <v>174</v>
      </c>
      <c r="K2535" s="28" t="s">
        <v>232</v>
      </c>
      <c r="L2535" s="31">
        <v>42522</v>
      </c>
      <c r="M2535" s="28">
        <v>6</v>
      </c>
      <c r="N2535" s="32" t="s">
        <v>184</v>
      </c>
      <c r="O2535" s="28" t="s">
        <v>4126</v>
      </c>
      <c r="P2535" s="28" t="s">
        <v>5857</v>
      </c>
      <c r="Q2535" s="28" t="s">
        <v>5858</v>
      </c>
      <c r="R2535" s="28" t="s">
        <v>3101</v>
      </c>
    </row>
    <row r="2536" spans="1:18" hidden="1">
      <c r="A2536" s="28">
        <v>5</v>
      </c>
      <c r="B2536" s="29" t="s">
        <v>349</v>
      </c>
      <c r="C2536" s="29" t="s">
        <v>355</v>
      </c>
      <c r="D2536" s="29" t="s">
        <v>360</v>
      </c>
      <c r="E2536" s="29" t="s">
        <v>172</v>
      </c>
      <c r="F2536" s="28" t="s">
        <v>5760</v>
      </c>
      <c r="G2536" s="28" t="s">
        <v>5760</v>
      </c>
      <c r="H2536" s="28" t="s">
        <v>174</v>
      </c>
      <c r="I2536" s="28" t="s">
        <v>174</v>
      </c>
      <c r="J2536" s="30" t="s">
        <v>174</v>
      </c>
      <c r="K2536" s="28" t="s">
        <v>335</v>
      </c>
      <c r="L2536" s="31">
        <v>42614</v>
      </c>
      <c r="M2536" s="28">
        <v>9</v>
      </c>
      <c r="N2536" s="32" t="s">
        <v>191</v>
      </c>
      <c r="O2536" s="28" t="s">
        <v>2054</v>
      </c>
      <c r="P2536" s="28" t="s">
        <v>5859</v>
      </c>
      <c r="Q2536" s="28" t="s">
        <v>5860</v>
      </c>
      <c r="R2536" s="28" t="s">
        <v>5861</v>
      </c>
    </row>
    <row r="2537" spans="1:18" hidden="1">
      <c r="A2537" s="28">
        <v>5</v>
      </c>
      <c r="B2537" s="29" t="s">
        <v>349</v>
      </c>
      <c r="C2537" s="29" t="s">
        <v>355</v>
      </c>
      <c r="D2537" s="29" t="s">
        <v>360</v>
      </c>
      <c r="E2537" s="29" t="s">
        <v>172</v>
      </c>
      <c r="F2537" s="28" t="s">
        <v>5760</v>
      </c>
      <c r="G2537" s="28" t="s">
        <v>5760</v>
      </c>
      <c r="H2537" s="28" t="s">
        <v>174</v>
      </c>
      <c r="I2537" s="28" t="s">
        <v>174</v>
      </c>
      <c r="J2537" s="30" t="s">
        <v>174</v>
      </c>
      <c r="K2537" s="28" t="s">
        <v>335</v>
      </c>
      <c r="L2537" s="31">
        <v>42614</v>
      </c>
      <c r="M2537" s="28">
        <v>9</v>
      </c>
      <c r="N2537" s="32" t="s">
        <v>191</v>
      </c>
      <c r="O2537" s="28" t="s">
        <v>2054</v>
      </c>
      <c r="P2537" s="28" t="s">
        <v>5862</v>
      </c>
      <c r="Q2537" s="28" t="s">
        <v>5863</v>
      </c>
      <c r="R2537" s="28" t="s">
        <v>5864</v>
      </c>
    </row>
    <row r="2538" spans="1:18" hidden="1">
      <c r="A2538" s="28">
        <v>5</v>
      </c>
      <c r="B2538" s="29" t="s">
        <v>349</v>
      </c>
      <c r="C2538" s="29" t="s">
        <v>355</v>
      </c>
      <c r="D2538" s="29" t="s">
        <v>360</v>
      </c>
      <c r="E2538" s="29" t="s">
        <v>172</v>
      </c>
      <c r="F2538" s="28" t="s">
        <v>5760</v>
      </c>
      <c r="G2538" s="28" t="s">
        <v>5760</v>
      </c>
      <c r="H2538" s="28" t="s">
        <v>174</v>
      </c>
      <c r="I2538" s="28" t="s">
        <v>174</v>
      </c>
      <c r="J2538" s="30" t="s">
        <v>174</v>
      </c>
      <c r="K2538" s="28" t="s">
        <v>460</v>
      </c>
      <c r="L2538" s="31">
        <v>42675</v>
      </c>
      <c r="M2538" s="28">
        <v>11</v>
      </c>
      <c r="N2538" s="32" t="s">
        <v>191</v>
      </c>
      <c r="O2538" s="28" t="s">
        <v>2054</v>
      </c>
      <c r="P2538" s="28" t="s">
        <v>5865</v>
      </c>
      <c r="Q2538" s="28" t="s">
        <v>5866</v>
      </c>
      <c r="R2538" s="28" t="s">
        <v>5867</v>
      </c>
    </row>
    <row r="2539" spans="1:18" hidden="1">
      <c r="A2539" s="28">
        <v>5</v>
      </c>
      <c r="B2539" s="29" t="s">
        <v>349</v>
      </c>
      <c r="C2539" s="29" t="s">
        <v>355</v>
      </c>
      <c r="D2539" s="29" t="s">
        <v>360</v>
      </c>
      <c r="E2539" s="29" t="s">
        <v>172</v>
      </c>
      <c r="F2539" s="28" t="s">
        <v>5760</v>
      </c>
      <c r="G2539" s="28" t="s">
        <v>5760</v>
      </c>
      <c r="H2539" s="28" t="s">
        <v>174</v>
      </c>
      <c r="I2539" s="28" t="s">
        <v>174</v>
      </c>
      <c r="J2539" s="30" t="s">
        <v>174</v>
      </c>
      <c r="K2539" s="28" t="s">
        <v>460</v>
      </c>
      <c r="L2539" s="31">
        <v>42675</v>
      </c>
      <c r="M2539" s="28">
        <v>11</v>
      </c>
      <c r="N2539" s="32" t="s">
        <v>191</v>
      </c>
      <c r="O2539" s="28" t="s">
        <v>3093</v>
      </c>
      <c r="P2539" s="28" t="s">
        <v>5868</v>
      </c>
      <c r="Q2539" s="28" t="s">
        <v>5869</v>
      </c>
      <c r="R2539" s="28" t="s">
        <v>5854</v>
      </c>
    </row>
    <row r="2540" spans="1:18" hidden="1">
      <c r="A2540" s="28">
        <v>5</v>
      </c>
      <c r="B2540" s="29" t="s">
        <v>349</v>
      </c>
      <c r="C2540" s="29" t="s">
        <v>355</v>
      </c>
      <c r="D2540" s="29" t="s">
        <v>360</v>
      </c>
      <c r="E2540" s="29" t="s">
        <v>172</v>
      </c>
      <c r="F2540" s="28" t="s">
        <v>5760</v>
      </c>
      <c r="G2540" s="28" t="s">
        <v>5760</v>
      </c>
      <c r="H2540" s="28" t="s">
        <v>174</v>
      </c>
      <c r="I2540" s="28" t="s">
        <v>174</v>
      </c>
      <c r="J2540" s="30" t="s">
        <v>174</v>
      </c>
      <c r="K2540" s="28" t="s">
        <v>496</v>
      </c>
      <c r="L2540" s="31">
        <v>42917</v>
      </c>
      <c r="M2540" s="28">
        <v>7</v>
      </c>
      <c r="N2540" s="32" t="s">
        <v>184</v>
      </c>
      <c r="O2540" s="28" t="s">
        <v>2975</v>
      </c>
      <c r="P2540" s="28" t="s">
        <v>5870</v>
      </c>
      <c r="Q2540" s="28" t="s">
        <v>5871</v>
      </c>
      <c r="R2540" s="28" t="s">
        <v>5867</v>
      </c>
    </row>
    <row r="2541" spans="1:18" hidden="1">
      <c r="A2541" s="28">
        <v>5</v>
      </c>
      <c r="B2541" s="29" t="s">
        <v>349</v>
      </c>
      <c r="C2541" s="29" t="s">
        <v>355</v>
      </c>
      <c r="D2541" s="29" t="s">
        <v>360</v>
      </c>
      <c r="E2541" s="29" t="s">
        <v>172</v>
      </c>
      <c r="F2541" s="28" t="s">
        <v>5760</v>
      </c>
      <c r="G2541" s="28" t="s">
        <v>5760</v>
      </c>
      <c r="H2541" s="28" t="s">
        <v>174</v>
      </c>
      <c r="I2541" s="28" t="s">
        <v>174</v>
      </c>
      <c r="J2541" s="30" t="s">
        <v>174</v>
      </c>
      <c r="K2541" s="28" t="s">
        <v>496</v>
      </c>
      <c r="L2541" s="31">
        <v>42917</v>
      </c>
      <c r="M2541" s="28">
        <v>7</v>
      </c>
      <c r="N2541" s="32" t="s">
        <v>184</v>
      </c>
      <c r="O2541" s="28" t="s">
        <v>3093</v>
      </c>
      <c r="P2541" s="28" t="s">
        <v>5872</v>
      </c>
      <c r="Q2541" s="28" t="s">
        <v>5873</v>
      </c>
      <c r="R2541" s="28" t="s">
        <v>5854</v>
      </c>
    </row>
    <row r="2542" spans="1:18" hidden="1">
      <c r="A2542" s="28">
        <v>5</v>
      </c>
      <c r="B2542" s="29" t="s">
        <v>349</v>
      </c>
      <c r="C2542" s="29" t="s">
        <v>355</v>
      </c>
      <c r="D2542" s="29" t="s">
        <v>360</v>
      </c>
      <c r="E2542" s="29" t="s">
        <v>172</v>
      </c>
      <c r="F2542" s="28" t="s">
        <v>5760</v>
      </c>
      <c r="G2542" s="28" t="s">
        <v>5760</v>
      </c>
      <c r="H2542" s="28" t="s">
        <v>174</v>
      </c>
      <c r="I2542" s="28" t="s">
        <v>174</v>
      </c>
      <c r="J2542" s="30" t="s">
        <v>174</v>
      </c>
      <c r="K2542" s="28" t="s">
        <v>5874</v>
      </c>
      <c r="L2542" s="31">
        <v>42948</v>
      </c>
      <c r="M2542" s="28">
        <v>8</v>
      </c>
      <c r="N2542" s="32" t="s">
        <v>184</v>
      </c>
      <c r="O2542" s="28" t="s">
        <v>2975</v>
      </c>
      <c r="P2542" s="28" t="s">
        <v>5875</v>
      </c>
      <c r="Q2542" s="28" t="s">
        <v>5876</v>
      </c>
      <c r="R2542" s="28" t="s">
        <v>5867</v>
      </c>
    </row>
    <row r="2543" spans="1:18" hidden="1">
      <c r="A2543" s="28">
        <v>5</v>
      </c>
      <c r="B2543" s="29" t="s">
        <v>349</v>
      </c>
      <c r="C2543" s="29" t="s">
        <v>355</v>
      </c>
      <c r="D2543" s="29" t="s">
        <v>360</v>
      </c>
      <c r="E2543" s="29" t="s">
        <v>172</v>
      </c>
      <c r="F2543" s="28" t="s">
        <v>5760</v>
      </c>
      <c r="G2543" s="28" t="s">
        <v>5760</v>
      </c>
      <c r="H2543" s="28" t="s">
        <v>174</v>
      </c>
      <c r="I2543" s="28" t="s">
        <v>174</v>
      </c>
      <c r="J2543" s="30" t="s">
        <v>174</v>
      </c>
      <c r="K2543" s="28" t="s">
        <v>361</v>
      </c>
      <c r="L2543" s="31">
        <v>43435</v>
      </c>
      <c r="M2543" s="28">
        <v>12</v>
      </c>
      <c r="N2543" s="32" t="s">
        <v>176</v>
      </c>
      <c r="O2543" s="28" t="s">
        <v>3852</v>
      </c>
      <c r="P2543" s="28" t="s">
        <v>5877</v>
      </c>
      <c r="Q2543" s="28" t="s">
        <v>5878</v>
      </c>
      <c r="R2543" s="28" t="s">
        <v>5815</v>
      </c>
    </row>
    <row r="2544" spans="1:18" hidden="1">
      <c r="A2544" s="28">
        <v>5</v>
      </c>
      <c r="B2544" s="29" t="s">
        <v>349</v>
      </c>
      <c r="C2544" s="29" t="s">
        <v>355</v>
      </c>
      <c r="D2544" s="29" t="s">
        <v>360</v>
      </c>
      <c r="E2544" s="29" t="s">
        <v>172</v>
      </c>
      <c r="F2544" s="28" t="s">
        <v>5760</v>
      </c>
      <c r="G2544" s="28" t="s">
        <v>5760</v>
      </c>
      <c r="H2544" s="28" t="s">
        <v>174</v>
      </c>
      <c r="I2544" s="28" t="s">
        <v>174</v>
      </c>
      <c r="J2544" s="30" t="s">
        <v>174</v>
      </c>
      <c r="K2544" s="28" t="s">
        <v>411</v>
      </c>
      <c r="L2544" s="31">
        <v>43556</v>
      </c>
      <c r="M2544" s="28">
        <v>4</v>
      </c>
      <c r="N2544" s="32" t="s">
        <v>191</v>
      </c>
      <c r="O2544" s="28" t="s">
        <v>4126</v>
      </c>
      <c r="P2544" s="28" t="s">
        <v>5879</v>
      </c>
      <c r="Q2544" s="28" t="s">
        <v>5880</v>
      </c>
      <c r="R2544" s="28" t="s">
        <v>3101</v>
      </c>
    </row>
    <row r="2545" spans="1:18" hidden="1">
      <c r="A2545" s="28">
        <v>5</v>
      </c>
      <c r="B2545" s="29" t="s">
        <v>349</v>
      </c>
      <c r="C2545" s="29" t="s">
        <v>355</v>
      </c>
      <c r="D2545" s="29" t="s">
        <v>360</v>
      </c>
      <c r="E2545" s="29" t="s">
        <v>172</v>
      </c>
      <c r="F2545" s="28" t="s">
        <v>5760</v>
      </c>
      <c r="G2545" s="28" t="s">
        <v>5760</v>
      </c>
      <c r="H2545" s="28" t="s">
        <v>174</v>
      </c>
      <c r="I2545" s="28" t="s">
        <v>174</v>
      </c>
      <c r="J2545" s="30" t="s">
        <v>174</v>
      </c>
      <c r="K2545" s="28" t="s">
        <v>397</v>
      </c>
      <c r="L2545" s="31">
        <v>43739</v>
      </c>
      <c r="M2545" s="28">
        <v>10</v>
      </c>
      <c r="N2545" s="32" t="s">
        <v>191</v>
      </c>
      <c r="O2545" s="28" t="s">
        <v>2975</v>
      </c>
      <c r="P2545" s="28" t="s">
        <v>5881</v>
      </c>
      <c r="Q2545" s="28" t="s">
        <v>5882</v>
      </c>
      <c r="R2545" s="28" t="s">
        <v>5867</v>
      </c>
    </row>
    <row r="2546" spans="1:18" hidden="1">
      <c r="A2546" s="28">
        <v>1</v>
      </c>
      <c r="B2546" s="29" t="s">
        <v>379</v>
      </c>
      <c r="C2546" s="29" t="s">
        <v>1048</v>
      </c>
      <c r="D2546" s="29" t="s">
        <v>1049</v>
      </c>
      <c r="E2546" s="29" t="s">
        <v>172</v>
      </c>
      <c r="F2546" s="28" t="s">
        <v>5883</v>
      </c>
      <c r="G2546" s="28" t="s">
        <v>5883</v>
      </c>
      <c r="H2546" s="28" t="s">
        <v>174</v>
      </c>
      <c r="I2546" s="28" t="s">
        <v>174</v>
      </c>
      <c r="J2546" s="30" t="s">
        <v>174</v>
      </c>
      <c r="K2546" s="28" t="s">
        <v>198</v>
      </c>
      <c r="L2546" s="31">
        <v>42767</v>
      </c>
      <c r="M2546" s="28">
        <v>2</v>
      </c>
      <c r="N2546" s="32" t="s">
        <v>176</v>
      </c>
      <c r="O2546" s="28" t="s">
        <v>204</v>
      </c>
      <c r="P2546" s="28" t="s">
        <v>5884</v>
      </c>
      <c r="Q2546" s="28" t="s">
        <v>5885</v>
      </c>
      <c r="R2546" s="28" t="s">
        <v>5886</v>
      </c>
    </row>
    <row r="2547" spans="1:18" hidden="1">
      <c r="A2547" s="28">
        <v>1</v>
      </c>
      <c r="B2547" s="29" t="s">
        <v>379</v>
      </c>
      <c r="C2547" s="29" t="s">
        <v>1048</v>
      </c>
      <c r="D2547" s="29" t="s">
        <v>1057</v>
      </c>
      <c r="E2547" s="29" t="s">
        <v>172</v>
      </c>
      <c r="F2547" s="28" t="s">
        <v>5883</v>
      </c>
      <c r="G2547" s="28" t="s">
        <v>5883</v>
      </c>
      <c r="H2547" s="28" t="s">
        <v>174</v>
      </c>
      <c r="I2547" s="28" t="s">
        <v>174</v>
      </c>
      <c r="J2547" s="30" t="s">
        <v>174</v>
      </c>
      <c r="K2547" s="28" t="s">
        <v>3544</v>
      </c>
      <c r="L2547" s="31">
        <v>42125</v>
      </c>
      <c r="M2547" s="28">
        <v>5</v>
      </c>
      <c r="N2547" s="32" t="s">
        <v>191</v>
      </c>
      <c r="O2547" s="28" t="s">
        <v>185</v>
      </c>
      <c r="P2547" s="28" t="s">
        <v>5887</v>
      </c>
      <c r="Q2547" s="28" t="s">
        <v>5888</v>
      </c>
      <c r="R2547" s="28" t="s">
        <v>5889</v>
      </c>
    </row>
    <row r="2548" spans="1:18" hidden="1">
      <c r="A2548" s="28">
        <v>1</v>
      </c>
      <c r="B2548" s="29" t="s">
        <v>379</v>
      </c>
      <c r="C2548" s="29" t="s">
        <v>1048</v>
      </c>
      <c r="D2548" s="29" t="s">
        <v>1057</v>
      </c>
      <c r="E2548" s="29" t="s">
        <v>172</v>
      </c>
      <c r="F2548" s="28" t="s">
        <v>5883</v>
      </c>
      <c r="G2548" s="28" t="s">
        <v>5883</v>
      </c>
      <c r="H2548" s="28" t="s">
        <v>174</v>
      </c>
      <c r="I2548" s="28" t="s">
        <v>174</v>
      </c>
      <c r="J2548" s="30" t="s">
        <v>174</v>
      </c>
      <c r="K2548" s="28" t="s">
        <v>243</v>
      </c>
      <c r="L2548" s="31">
        <v>42461</v>
      </c>
      <c r="M2548" s="28">
        <v>4</v>
      </c>
      <c r="N2548" s="32" t="s">
        <v>191</v>
      </c>
      <c r="O2548" s="28" t="s">
        <v>185</v>
      </c>
      <c r="P2548" s="28" t="s">
        <v>5890</v>
      </c>
      <c r="Q2548" s="28" t="s">
        <v>5891</v>
      </c>
      <c r="R2548" s="28" t="s">
        <v>5892</v>
      </c>
    </row>
    <row r="2549" spans="1:18" hidden="1">
      <c r="A2549" s="28">
        <v>1</v>
      </c>
      <c r="B2549" s="29" t="s">
        <v>379</v>
      </c>
      <c r="C2549" s="29" t="s">
        <v>1048</v>
      </c>
      <c r="D2549" s="29" t="s">
        <v>1057</v>
      </c>
      <c r="E2549" s="29" t="s">
        <v>172</v>
      </c>
      <c r="F2549" s="28" t="s">
        <v>5883</v>
      </c>
      <c r="G2549" s="28" t="s">
        <v>5883</v>
      </c>
      <c r="H2549" s="28" t="s">
        <v>174</v>
      </c>
      <c r="I2549" s="28" t="s">
        <v>174</v>
      </c>
      <c r="J2549" s="30" t="s">
        <v>174</v>
      </c>
      <c r="K2549" s="28" t="s">
        <v>232</v>
      </c>
      <c r="L2549" s="31">
        <v>42522</v>
      </c>
      <c r="M2549" s="28">
        <v>6</v>
      </c>
      <c r="N2549" s="32" t="s">
        <v>184</v>
      </c>
      <c r="O2549" s="28" t="s">
        <v>204</v>
      </c>
      <c r="P2549" s="28" t="s">
        <v>5893</v>
      </c>
      <c r="Q2549" s="28" t="s">
        <v>1076</v>
      </c>
      <c r="R2549" s="28" t="s">
        <v>5894</v>
      </c>
    </row>
    <row r="2550" spans="1:18" hidden="1">
      <c r="A2550" s="28">
        <v>1</v>
      </c>
      <c r="B2550" s="29" t="s">
        <v>379</v>
      </c>
      <c r="C2550" s="29" t="s">
        <v>1048</v>
      </c>
      <c r="D2550" s="29" t="s">
        <v>1057</v>
      </c>
      <c r="E2550" s="29" t="s">
        <v>172</v>
      </c>
      <c r="F2550" s="28" t="s">
        <v>5883</v>
      </c>
      <c r="G2550" s="28" t="s">
        <v>5883</v>
      </c>
      <c r="H2550" s="28" t="s">
        <v>174</v>
      </c>
      <c r="I2550" s="28" t="s">
        <v>174</v>
      </c>
      <c r="J2550" s="30" t="s">
        <v>174</v>
      </c>
      <c r="K2550" s="28" t="s">
        <v>335</v>
      </c>
      <c r="L2550" s="31">
        <v>42614</v>
      </c>
      <c r="M2550" s="28">
        <v>9</v>
      </c>
      <c r="N2550" s="32" t="s">
        <v>191</v>
      </c>
      <c r="O2550" s="28" t="s">
        <v>204</v>
      </c>
      <c r="P2550" s="28" t="s">
        <v>5895</v>
      </c>
      <c r="Q2550" s="28" t="s">
        <v>1076</v>
      </c>
      <c r="R2550" s="28" t="s">
        <v>5894</v>
      </c>
    </row>
    <row r="2551" spans="1:18" hidden="1">
      <c r="A2551" s="28">
        <v>1</v>
      </c>
      <c r="B2551" s="29" t="s">
        <v>379</v>
      </c>
      <c r="C2551" s="29" t="s">
        <v>1048</v>
      </c>
      <c r="D2551" s="29" t="s">
        <v>1057</v>
      </c>
      <c r="E2551" s="29" t="s">
        <v>172</v>
      </c>
      <c r="F2551" s="28" t="s">
        <v>5883</v>
      </c>
      <c r="G2551" s="28" t="s">
        <v>5883</v>
      </c>
      <c r="H2551" s="28" t="s">
        <v>174</v>
      </c>
      <c r="I2551" s="28" t="s">
        <v>174</v>
      </c>
      <c r="J2551" s="30" t="s">
        <v>174</v>
      </c>
      <c r="K2551" s="28" t="s">
        <v>208</v>
      </c>
      <c r="L2551" s="31">
        <v>43101</v>
      </c>
      <c r="M2551" s="28">
        <v>1</v>
      </c>
      <c r="N2551" s="32" t="s">
        <v>176</v>
      </c>
      <c r="O2551" s="28" t="s">
        <v>1060</v>
      </c>
      <c r="P2551" s="28" t="s">
        <v>5896</v>
      </c>
      <c r="Q2551" s="28" t="s">
        <v>5897</v>
      </c>
      <c r="R2551" s="28" t="s">
        <v>5898</v>
      </c>
    </row>
    <row r="2552" spans="1:18" hidden="1">
      <c r="A2552" s="28">
        <v>1</v>
      </c>
      <c r="B2552" s="29" t="s">
        <v>379</v>
      </c>
      <c r="C2552" s="29" t="s">
        <v>1048</v>
      </c>
      <c r="D2552" s="29" t="s">
        <v>1057</v>
      </c>
      <c r="E2552" s="29" t="s">
        <v>172</v>
      </c>
      <c r="F2552" s="28" t="s">
        <v>5883</v>
      </c>
      <c r="G2552" s="28" t="s">
        <v>5883</v>
      </c>
      <c r="H2552" s="28" t="s">
        <v>174</v>
      </c>
      <c r="I2552" s="28" t="s">
        <v>174</v>
      </c>
      <c r="J2552" s="30" t="s">
        <v>174</v>
      </c>
      <c r="K2552" s="28" t="s">
        <v>415</v>
      </c>
      <c r="L2552" s="31">
        <v>43952</v>
      </c>
      <c r="M2552" s="28">
        <v>5</v>
      </c>
      <c r="N2552" s="32" t="s">
        <v>191</v>
      </c>
      <c r="O2552" s="28" t="s">
        <v>204</v>
      </c>
      <c r="P2552" s="28" t="s">
        <v>5899</v>
      </c>
      <c r="Q2552" s="28" t="s">
        <v>1076</v>
      </c>
      <c r="R2552" s="28" t="s">
        <v>5894</v>
      </c>
    </row>
    <row r="2553" spans="1:18" hidden="1">
      <c r="A2553" s="28">
        <v>1</v>
      </c>
      <c r="B2553" s="29" t="s">
        <v>379</v>
      </c>
      <c r="C2553" s="29" t="s">
        <v>1048</v>
      </c>
      <c r="D2553" s="29" t="s">
        <v>1057</v>
      </c>
      <c r="E2553" s="29" t="s">
        <v>172</v>
      </c>
      <c r="F2553" s="28" t="s">
        <v>5883</v>
      </c>
      <c r="G2553" s="28" t="s">
        <v>5883</v>
      </c>
      <c r="H2553" s="28" t="s">
        <v>174</v>
      </c>
      <c r="I2553" s="28" t="s">
        <v>174</v>
      </c>
      <c r="J2553" s="30" t="s">
        <v>174</v>
      </c>
      <c r="K2553" s="28" t="s">
        <v>183</v>
      </c>
      <c r="L2553" s="31">
        <v>43983</v>
      </c>
      <c r="M2553" s="28">
        <v>6</v>
      </c>
      <c r="N2553" s="32" t="s">
        <v>184</v>
      </c>
      <c r="O2553" s="28" t="s">
        <v>185</v>
      </c>
      <c r="P2553" s="28" t="s">
        <v>5900</v>
      </c>
      <c r="Q2553" s="28" t="s">
        <v>5901</v>
      </c>
      <c r="R2553" s="28" t="s">
        <v>5902</v>
      </c>
    </row>
    <row r="2554" spans="1:18" hidden="1">
      <c r="A2554" s="28">
        <v>1</v>
      </c>
      <c r="B2554" s="29" t="s">
        <v>379</v>
      </c>
      <c r="C2554" s="29" t="s">
        <v>1048</v>
      </c>
      <c r="D2554" s="29" t="s">
        <v>1057</v>
      </c>
      <c r="E2554" s="29" t="s">
        <v>172</v>
      </c>
      <c r="F2554" s="28" t="s">
        <v>5883</v>
      </c>
      <c r="G2554" s="28" t="s">
        <v>5883</v>
      </c>
      <c r="H2554" s="28" t="s">
        <v>174</v>
      </c>
      <c r="I2554" s="28" t="s">
        <v>174</v>
      </c>
      <c r="J2554" s="30" t="s">
        <v>174</v>
      </c>
      <c r="K2554" s="28" t="s">
        <v>643</v>
      </c>
      <c r="L2554" s="31">
        <v>44013</v>
      </c>
      <c r="M2554" s="28">
        <v>7</v>
      </c>
      <c r="N2554" s="32" t="s">
        <v>184</v>
      </c>
      <c r="O2554" s="28" t="s">
        <v>177</v>
      </c>
      <c r="P2554" s="28" t="s">
        <v>5903</v>
      </c>
      <c r="Q2554" s="28" t="s">
        <v>5904</v>
      </c>
      <c r="R2554" s="28" t="s">
        <v>5905</v>
      </c>
    </row>
    <row r="2555" spans="1:18" hidden="1">
      <c r="A2555" s="28">
        <v>1</v>
      </c>
      <c r="B2555" s="29" t="s">
        <v>379</v>
      </c>
      <c r="C2555" s="29" t="s">
        <v>1048</v>
      </c>
      <c r="D2555" s="29" t="s">
        <v>1057</v>
      </c>
      <c r="E2555" s="29" t="s">
        <v>172</v>
      </c>
      <c r="F2555" s="28" t="s">
        <v>5883</v>
      </c>
      <c r="G2555" s="28" t="s">
        <v>5883</v>
      </c>
      <c r="H2555" s="28" t="s">
        <v>174</v>
      </c>
      <c r="I2555" s="28" t="s">
        <v>174</v>
      </c>
      <c r="J2555" s="30" t="s">
        <v>174</v>
      </c>
      <c r="K2555" s="28" t="s">
        <v>730</v>
      </c>
      <c r="L2555" s="31">
        <v>44166</v>
      </c>
      <c r="M2555" s="28">
        <v>12</v>
      </c>
      <c r="N2555" s="32" t="s">
        <v>176</v>
      </c>
      <c r="O2555" s="28" t="s">
        <v>204</v>
      </c>
      <c r="P2555" s="28" t="s">
        <v>5906</v>
      </c>
      <c r="Q2555" s="28" t="s">
        <v>1076</v>
      </c>
      <c r="R2555" s="28" t="s">
        <v>5894</v>
      </c>
    </row>
    <row r="2556" spans="1:18" hidden="1">
      <c r="A2556" s="28">
        <v>1</v>
      </c>
      <c r="B2556" s="29" t="s">
        <v>379</v>
      </c>
      <c r="C2556" s="29" t="s">
        <v>1048</v>
      </c>
      <c r="D2556" s="29" t="s">
        <v>1074</v>
      </c>
      <c r="E2556" s="29" t="s">
        <v>172</v>
      </c>
      <c r="F2556" s="28" t="s">
        <v>5883</v>
      </c>
      <c r="G2556" s="28" t="s">
        <v>5883</v>
      </c>
      <c r="H2556" s="28" t="s">
        <v>174</v>
      </c>
      <c r="I2556" s="28" t="s">
        <v>174</v>
      </c>
      <c r="J2556" s="30" t="s">
        <v>174</v>
      </c>
      <c r="K2556" s="28" t="s">
        <v>263</v>
      </c>
      <c r="L2556" s="31">
        <v>42430</v>
      </c>
      <c r="M2556" s="28">
        <v>3</v>
      </c>
      <c r="N2556" s="32" t="s">
        <v>191</v>
      </c>
      <c r="O2556" s="28" t="s">
        <v>204</v>
      </c>
      <c r="P2556" s="28" t="s">
        <v>5907</v>
      </c>
      <c r="Q2556" s="28" t="s">
        <v>1076</v>
      </c>
      <c r="R2556" s="28" t="s">
        <v>5908</v>
      </c>
    </row>
    <row r="2557" spans="1:18" hidden="1">
      <c r="A2557" s="28">
        <v>1</v>
      </c>
      <c r="B2557" s="29" t="s">
        <v>379</v>
      </c>
      <c r="C2557" s="29" t="s">
        <v>1048</v>
      </c>
      <c r="D2557" s="29" t="s">
        <v>1074</v>
      </c>
      <c r="E2557" s="29" t="s">
        <v>172</v>
      </c>
      <c r="F2557" s="28" t="s">
        <v>5883</v>
      </c>
      <c r="G2557" s="28" t="s">
        <v>5883</v>
      </c>
      <c r="H2557" s="28" t="s">
        <v>174</v>
      </c>
      <c r="I2557" s="28" t="s">
        <v>174</v>
      </c>
      <c r="J2557" s="30" t="s">
        <v>174</v>
      </c>
      <c r="K2557" s="28" t="s">
        <v>651</v>
      </c>
      <c r="L2557" s="31">
        <v>42644</v>
      </c>
      <c r="M2557" s="28">
        <v>10</v>
      </c>
      <c r="N2557" s="32" t="s">
        <v>191</v>
      </c>
      <c r="O2557" s="28" t="s">
        <v>1060</v>
      </c>
      <c r="P2557" s="28" t="s">
        <v>5909</v>
      </c>
      <c r="Q2557" s="28" t="s">
        <v>5910</v>
      </c>
      <c r="R2557" s="28" t="s">
        <v>5911</v>
      </c>
    </row>
    <row r="2558" spans="1:18" hidden="1">
      <c r="A2558" s="28">
        <v>1</v>
      </c>
      <c r="B2558" s="29" t="s">
        <v>379</v>
      </c>
      <c r="C2558" s="29" t="s">
        <v>1048</v>
      </c>
      <c r="D2558" s="29" t="s">
        <v>1074</v>
      </c>
      <c r="E2558" s="29" t="s">
        <v>172</v>
      </c>
      <c r="F2558" s="28" t="s">
        <v>5883</v>
      </c>
      <c r="G2558" s="28" t="s">
        <v>5883</v>
      </c>
      <c r="H2558" s="28" t="s">
        <v>174</v>
      </c>
      <c r="I2558" s="28" t="s">
        <v>174</v>
      </c>
      <c r="J2558" s="30" t="s">
        <v>174</v>
      </c>
      <c r="K2558" s="28" t="s">
        <v>460</v>
      </c>
      <c r="L2558" s="31">
        <v>42675</v>
      </c>
      <c r="M2558" s="28">
        <v>11</v>
      </c>
      <c r="N2558" s="32" t="s">
        <v>191</v>
      </c>
      <c r="O2558" s="28" t="s">
        <v>1060</v>
      </c>
      <c r="P2558" s="28" t="s">
        <v>5912</v>
      </c>
      <c r="Q2558" s="28" t="s">
        <v>5910</v>
      </c>
      <c r="R2558" s="28" t="s">
        <v>5911</v>
      </c>
    </row>
    <row r="2559" spans="1:18" hidden="1">
      <c r="A2559" s="28">
        <v>1</v>
      </c>
      <c r="B2559" s="29" t="s">
        <v>379</v>
      </c>
      <c r="C2559" s="29" t="s">
        <v>1048</v>
      </c>
      <c r="D2559" s="29" t="s">
        <v>1074</v>
      </c>
      <c r="E2559" s="29" t="s">
        <v>172</v>
      </c>
      <c r="F2559" s="28" t="s">
        <v>5883</v>
      </c>
      <c r="G2559" s="28" t="s">
        <v>5883</v>
      </c>
      <c r="H2559" s="28" t="s">
        <v>174</v>
      </c>
      <c r="I2559" s="28" t="s">
        <v>174</v>
      </c>
      <c r="J2559" s="30" t="s">
        <v>174</v>
      </c>
      <c r="K2559" s="28" t="s">
        <v>813</v>
      </c>
      <c r="L2559" s="31">
        <v>43009</v>
      </c>
      <c r="M2559" s="28">
        <v>10</v>
      </c>
      <c r="N2559" s="32" t="s">
        <v>191</v>
      </c>
      <c r="O2559" s="28" t="s">
        <v>953</v>
      </c>
      <c r="P2559" s="28" t="s">
        <v>5913</v>
      </c>
      <c r="Q2559" s="28" t="s">
        <v>5914</v>
      </c>
      <c r="R2559" s="28" t="s">
        <v>5915</v>
      </c>
    </row>
    <row r="2560" spans="1:18" hidden="1">
      <c r="A2560" s="28">
        <v>1</v>
      </c>
      <c r="B2560" s="29" t="s">
        <v>379</v>
      </c>
      <c r="C2560" s="29" t="s">
        <v>1048</v>
      </c>
      <c r="D2560" s="29" t="s">
        <v>1074</v>
      </c>
      <c r="E2560" s="29" t="s">
        <v>172</v>
      </c>
      <c r="F2560" s="28" t="s">
        <v>5883</v>
      </c>
      <c r="G2560" s="28" t="s">
        <v>5883</v>
      </c>
      <c r="H2560" s="28" t="s">
        <v>174</v>
      </c>
      <c r="I2560" s="28" t="s">
        <v>174</v>
      </c>
      <c r="J2560" s="30" t="s">
        <v>174</v>
      </c>
      <c r="K2560" s="28" t="s">
        <v>475</v>
      </c>
      <c r="L2560" s="31">
        <v>43191</v>
      </c>
      <c r="M2560" s="28">
        <v>4</v>
      </c>
      <c r="N2560" s="32" t="s">
        <v>191</v>
      </c>
      <c r="O2560" s="28" t="s">
        <v>204</v>
      </c>
      <c r="P2560" s="28" t="s">
        <v>5916</v>
      </c>
      <c r="Q2560" s="28" t="s">
        <v>5917</v>
      </c>
      <c r="R2560" s="28" t="s">
        <v>5908</v>
      </c>
    </row>
    <row r="2561" spans="1:18" hidden="1">
      <c r="A2561" s="28">
        <v>1</v>
      </c>
      <c r="B2561" s="29" t="s">
        <v>379</v>
      </c>
      <c r="C2561" s="29" t="s">
        <v>1048</v>
      </c>
      <c r="D2561" s="29" t="s">
        <v>1074</v>
      </c>
      <c r="E2561" s="29" t="s">
        <v>172</v>
      </c>
      <c r="F2561" s="28" t="s">
        <v>5883</v>
      </c>
      <c r="G2561" s="28" t="s">
        <v>5883</v>
      </c>
      <c r="H2561" s="28" t="s">
        <v>174</v>
      </c>
      <c r="I2561" s="28" t="s">
        <v>174</v>
      </c>
      <c r="J2561" s="30" t="s">
        <v>174</v>
      </c>
      <c r="K2561" s="28" t="s">
        <v>405</v>
      </c>
      <c r="L2561" s="31">
        <v>43221</v>
      </c>
      <c r="M2561" s="28">
        <v>5</v>
      </c>
      <c r="N2561" s="32" t="s">
        <v>191</v>
      </c>
      <c r="O2561" s="28" t="s">
        <v>204</v>
      </c>
      <c r="P2561" s="28" t="s">
        <v>5918</v>
      </c>
      <c r="Q2561" s="28" t="s">
        <v>5917</v>
      </c>
      <c r="R2561" s="28" t="s">
        <v>5908</v>
      </c>
    </row>
    <row r="2562" spans="1:18" hidden="1">
      <c r="A2562" s="28">
        <v>1</v>
      </c>
      <c r="B2562" s="29" t="s">
        <v>379</v>
      </c>
      <c r="C2562" s="29" t="s">
        <v>1048</v>
      </c>
      <c r="D2562" s="29" t="s">
        <v>1074</v>
      </c>
      <c r="E2562" s="29" t="s">
        <v>172</v>
      </c>
      <c r="F2562" s="28" t="s">
        <v>5883</v>
      </c>
      <c r="G2562" s="28" t="s">
        <v>5883</v>
      </c>
      <c r="H2562" s="28" t="s">
        <v>174</v>
      </c>
      <c r="I2562" s="28" t="s">
        <v>174</v>
      </c>
      <c r="J2562" s="30" t="s">
        <v>174</v>
      </c>
      <c r="K2562" s="28" t="s">
        <v>212</v>
      </c>
      <c r="L2562" s="31">
        <v>43313</v>
      </c>
      <c r="M2562" s="28">
        <v>8</v>
      </c>
      <c r="N2562" s="32" t="s">
        <v>184</v>
      </c>
      <c r="O2562" s="28" t="s">
        <v>1060</v>
      </c>
      <c r="P2562" s="28" t="s">
        <v>5919</v>
      </c>
      <c r="Q2562" s="28" t="s">
        <v>5910</v>
      </c>
      <c r="R2562" s="28" t="s">
        <v>5911</v>
      </c>
    </row>
    <row r="2563" spans="1:18" hidden="1">
      <c r="A2563" s="28">
        <v>1</v>
      </c>
      <c r="B2563" s="29" t="s">
        <v>379</v>
      </c>
      <c r="C2563" s="29" t="s">
        <v>1048</v>
      </c>
      <c r="D2563" s="29" t="s">
        <v>1074</v>
      </c>
      <c r="E2563" s="29" t="s">
        <v>172</v>
      </c>
      <c r="F2563" s="28" t="s">
        <v>5883</v>
      </c>
      <c r="G2563" s="28" t="s">
        <v>5883</v>
      </c>
      <c r="H2563" s="28" t="s">
        <v>174</v>
      </c>
      <c r="I2563" s="28" t="s">
        <v>174</v>
      </c>
      <c r="J2563" s="30" t="s">
        <v>174</v>
      </c>
      <c r="K2563" s="28" t="s">
        <v>678</v>
      </c>
      <c r="L2563" s="31">
        <v>43344</v>
      </c>
      <c r="M2563" s="28">
        <v>9</v>
      </c>
      <c r="N2563" s="32" t="s">
        <v>191</v>
      </c>
      <c r="O2563" s="28" t="s">
        <v>204</v>
      </c>
      <c r="P2563" s="28" t="s">
        <v>5920</v>
      </c>
      <c r="Q2563" s="28" t="s">
        <v>5921</v>
      </c>
      <c r="R2563" s="28" t="s">
        <v>5922</v>
      </c>
    </row>
    <row r="2564" spans="1:18" hidden="1">
      <c r="A2564" s="28">
        <v>1</v>
      </c>
      <c r="B2564" s="29" t="s">
        <v>379</v>
      </c>
      <c r="C2564" s="29" t="s">
        <v>1048</v>
      </c>
      <c r="D2564" s="29" t="s">
        <v>1074</v>
      </c>
      <c r="E2564" s="29" t="s">
        <v>172</v>
      </c>
      <c r="F2564" s="28" t="s">
        <v>5883</v>
      </c>
      <c r="G2564" s="28" t="s">
        <v>5883</v>
      </c>
      <c r="H2564" s="28" t="s">
        <v>174</v>
      </c>
      <c r="I2564" s="28" t="s">
        <v>174</v>
      </c>
      <c r="J2564" s="30" t="s">
        <v>174</v>
      </c>
      <c r="K2564" s="28" t="s">
        <v>236</v>
      </c>
      <c r="L2564" s="31">
        <v>43617</v>
      </c>
      <c r="M2564" s="28">
        <v>6</v>
      </c>
      <c r="N2564" s="32" t="s">
        <v>184</v>
      </c>
      <c r="O2564" s="28" t="s">
        <v>953</v>
      </c>
      <c r="P2564" s="28" t="s">
        <v>5923</v>
      </c>
      <c r="Q2564" s="28" t="s">
        <v>5914</v>
      </c>
      <c r="R2564" s="28" t="s">
        <v>5924</v>
      </c>
    </row>
    <row r="2565" spans="1:18" hidden="1">
      <c r="A2565" s="28">
        <v>1</v>
      </c>
      <c r="B2565" s="29" t="s">
        <v>379</v>
      </c>
      <c r="C2565" s="29" t="s">
        <v>1048</v>
      </c>
      <c r="D2565" s="29" t="s">
        <v>1074</v>
      </c>
      <c r="E2565" s="29" t="s">
        <v>172</v>
      </c>
      <c r="F2565" s="28" t="s">
        <v>5883</v>
      </c>
      <c r="G2565" s="28" t="s">
        <v>5883</v>
      </c>
      <c r="H2565" s="28" t="s">
        <v>174</v>
      </c>
      <c r="I2565" s="28" t="s">
        <v>174</v>
      </c>
      <c r="J2565" s="30" t="s">
        <v>174</v>
      </c>
      <c r="K2565" s="28" t="s">
        <v>424</v>
      </c>
      <c r="L2565" s="31">
        <v>43678</v>
      </c>
      <c r="M2565" s="28">
        <v>8</v>
      </c>
      <c r="N2565" s="32" t="s">
        <v>184</v>
      </c>
      <c r="O2565" s="28" t="s">
        <v>204</v>
      </c>
      <c r="P2565" s="28" t="s">
        <v>5925</v>
      </c>
      <c r="Q2565" s="28" t="s">
        <v>5917</v>
      </c>
      <c r="R2565" s="28" t="s">
        <v>5908</v>
      </c>
    </row>
    <row r="2566" spans="1:18" hidden="1">
      <c r="A2566" s="28">
        <v>1</v>
      </c>
      <c r="B2566" s="29" t="s">
        <v>379</v>
      </c>
      <c r="C2566" s="29" t="s">
        <v>1048</v>
      </c>
      <c r="D2566" s="29" t="s">
        <v>1074</v>
      </c>
      <c r="E2566" s="29" t="s">
        <v>172</v>
      </c>
      <c r="F2566" s="28" t="s">
        <v>5883</v>
      </c>
      <c r="G2566" s="28" t="s">
        <v>5883</v>
      </c>
      <c r="H2566" s="28" t="s">
        <v>174</v>
      </c>
      <c r="I2566" s="28" t="s">
        <v>174</v>
      </c>
      <c r="J2566" s="30" t="s">
        <v>174</v>
      </c>
      <c r="K2566" s="28" t="s">
        <v>424</v>
      </c>
      <c r="L2566" s="31">
        <v>43678</v>
      </c>
      <c r="M2566" s="28">
        <v>8</v>
      </c>
      <c r="N2566" s="32" t="s">
        <v>184</v>
      </c>
      <c r="O2566" s="28" t="s">
        <v>204</v>
      </c>
      <c r="P2566" s="28" t="s">
        <v>5926</v>
      </c>
      <c r="Q2566" s="28" t="s">
        <v>5917</v>
      </c>
      <c r="R2566" s="28" t="s">
        <v>5927</v>
      </c>
    </row>
    <row r="2567" spans="1:18" hidden="1">
      <c r="A2567" s="28">
        <v>1</v>
      </c>
      <c r="B2567" s="29" t="s">
        <v>379</v>
      </c>
      <c r="C2567" s="29" t="s">
        <v>1048</v>
      </c>
      <c r="D2567" s="29" t="s">
        <v>1074</v>
      </c>
      <c r="E2567" s="29" t="s">
        <v>172</v>
      </c>
      <c r="F2567" s="28" t="s">
        <v>5883</v>
      </c>
      <c r="G2567" s="28" t="s">
        <v>5883</v>
      </c>
      <c r="H2567" s="28" t="s">
        <v>174</v>
      </c>
      <c r="I2567" s="28" t="s">
        <v>174</v>
      </c>
      <c r="J2567" s="30" t="s">
        <v>174</v>
      </c>
      <c r="K2567" s="28" t="s">
        <v>522</v>
      </c>
      <c r="L2567" s="31">
        <v>44256</v>
      </c>
      <c r="M2567" s="28">
        <v>3</v>
      </c>
      <c r="N2567" s="32" t="s">
        <v>191</v>
      </c>
      <c r="O2567" s="28" t="s">
        <v>204</v>
      </c>
      <c r="P2567" s="28" t="s">
        <v>5928</v>
      </c>
      <c r="Q2567" s="28" t="s">
        <v>1076</v>
      </c>
      <c r="R2567" s="28" t="s">
        <v>5908</v>
      </c>
    </row>
    <row r="2568" spans="1:18" hidden="1">
      <c r="A2568" s="28">
        <v>1</v>
      </c>
      <c r="B2568" s="29" t="s">
        <v>379</v>
      </c>
      <c r="C2568" s="29" t="s">
        <v>1048</v>
      </c>
      <c r="D2568" s="29" t="s">
        <v>2698</v>
      </c>
      <c r="E2568" s="29" t="s">
        <v>172</v>
      </c>
      <c r="F2568" s="28" t="s">
        <v>5883</v>
      </c>
      <c r="G2568" s="28" t="s">
        <v>5883</v>
      </c>
      <c r="H2568" s="28" t="s">
        <v>174</v>
      </c>
      <c r="I2568" s="28" t="s">
        <v>174</v>
      </c>
      <c r="J2568" s="30" t="s">
        <v>174</v>
      </c>
      <c r="K2568" s="28" t="s">
        <v>232</v>
      </c>
      <c r="L2568" s="31">
        <v>42522</v>
      </c>
      <c r="M2568" s="28">
        <v>6</v>
      </c>
      <c r="N2568" s="32" t="s">
        <v>184</v>
      </c>
      <c r="O2568" s="28" t="s">
        <v>204</v>
      </c>
      <c r="P2568" s="28" t="s">
        <v>5929</v>
      </c>
      <c r="Q2568" s="28" t="s">
        <v>1076</v>
      </c>
      <c r="R2568" s="28" t="s">
        <v>5930</v>
      </c>
    </row>
    <row r="2569" spans="1:18" hidden="1">
      <c r="A2569" s="28">
        <v>1</v>
      </c>
      <c r="B2569" s="29" t="s">
        <v>379</v>
      </c>
      <c r="C2569" s="29" t="s">
        <v>1048</v>
      </c>
      <c r="D2569" s="29" t="s">
        <v>2698</v>
      </c>
      <c r="E2569" s="29" t="s">
        <v>172</v>
      </c>
      <c r="F2569" s="28" t="s">
        <v>5883</v>
      </c>
      <c r="G2569" s="28" t="s">
        <v>5883</v>
      </c>
      <c r="H2569" s="28" t="s">
        <v>174</v>
      </c>
      <c r="I2569" s="28" t="s">
        <v>174</v>
      </c>
      <c r="J2569" s="30" t="s">
        <v>174</v>
      </c>
      <c r="K2569" s="28" t="s">
        <v>267</v>
      </c>
      <c r="L2569" s="31">
        <v>42583</v>
      </c>
      <c r="M2569" s="28">
        <v>8</v>
      </c>
      <c r="N2569" s="32" t="s">
        <v>184</v>
      </c>
      <c r="O2569" s="28" t="s">
        <v>794</v>
      </c>
      <c r="P2569" s="28" t="s">
        <v>5931</v>
      </c>
      <c r="Q2569" s="28" t="s">
        <v>5932</v>
      </c>
      <c r="R2569" s="28" t="s">
        <v>5933</v>
      </c>
    </row>
    <row r="2570" spans="1:18" hidden="1">
      <c r="A2570" s="28">
        <v>11</v>
      </c>
      <c r="B2570" s="29" t="s">
        <v>169</v>
      </c>
      <c r="C2570" s="29" t="s">
        <v>181</v>
      </c>
      <c r="D2570" s="29" t="s">
        <v>189</v>
      </c>
      <c r="E2570" s="29" t="s">
        <v>172</v>
      </c>
      <c r="F2570" s="28" t="s">
        <v>5883</v>
      </c>
      <c r="G2570" s="28" t="s">
        <v>5883</v>
      </c>
      <c r="H2570" s="28" t="s">
        <v>174</v>
      </c>
      <c r="I2570" s="28" t="s">
        <v>174</v>
      </c>
      <c r="J2570" s="30" t="s">
        <v>174</v>
      </c>
      <c r="K2570" s="28" t="s">
        <v>752</v>
      </c>
      <c r="L2570" s="31">
        <v>43709</v>
      </c>
      <c r="M2570" s="28">
        <v>9</v>
      </c>
      <c r="N2570" s="32" t="s">
        <v>191</v>
      </c>
      <c r="O2570" s="28" t="s">
        <v>204</v>
      </c>
      <c r="P2570" s="28" t="s">
        <v>5934</v>
      </c>
      <c r="Q2570" s="28" t="s">
        <v>5935</v>
      </c>
      <c r="R2570" s="28" t="s">
        <v>3859</v>
      </c>
    </row>
    <row r="2571" spans="1:18" hidden="1">
      <c r="A2571" s="28">
        <v>12</v>
      </c>
      <c r="B2571" s="29" t="s">
        <v>195</v>
      </c>
      <c r="C2571" s="29" t="s">
        <v>202</v>
      </c>
      <c r="D2571" s="29" t="s">
        <v>4543</v>
      </c>
      <c r="E2571" s="29" t="s">
        <v>172</v>
      </c>
      <c r="F2571" s="28" t="s">
        <v>5883</v>
      </c>
      <c r="G2571" s="28" t="s">
        <v>5883</v>
      </c>
      <c r="H2571" s="28" t="s">
        <v>174</v>
      </c>
      <c r="I2571" s="28" t="s">
        <v>174</v>
      </c>
      <c r="J2571" s="30" t="s">
        <v>174</v>
      </c>
      <c r="K2571" s="28" t="s">
        <v>504</v>
      </c>
      <c r="L2571" s="31">
        <v>43922</v>
      </c>
      <c r="M2571" s="28">
        <v>4</v>
      </c>
      <c r="N2571" s="32" t="s">
        <v>191</v>
      </c>
      <c r="O2571" s="28" t="s">
        <v>204</v>
      </c>
      <c r="P2571" s="28" t="s">
        <v>5936</v>
      </c>
      <c r="Q2571" s="28" t="s">
        <v>5937</v>
      </c>
      <c r="R2571" s="28" t="s">
        <v>5938</v>
      </c>
    </row>
    <row r="2572" spans="1:18" hidden="1">
      <c r="A2572" s="28">
        <v>12</v>
      </c>
      <c r="B2572" s="29" t="s">
        <v>195</v>
      </c>
      <c r="C2572" s="29" t="s">
        <v>230</v>
      </c>
      <c r="D2572" s="29" t="s">
        <v>231</v>
      </c>
      <c r="E2572" s="29" t="s">
        <v>172</v>
      </c>
      <c r="F2572" s="28" t="s">
        <v>5883</v>
      </c>
      <c r="G2572" s="28" t="s">
        <v>5883</v>
      </c>
      <c r="H2572" s="28" t="s">
        <v>174</v>
      </c>
      <c r="I2572" s="28" t="s">
        <v>174</v>
      </c>
      <c r="J2572" s="30" t="s">
        <v>174</v>
      </c>
      <c r="K2572" s="28" t="s">
        <v>483</v>
      </c>
      <c r="L2572" s="31">
        <v>44197</v>
      </c>
      <c r="M2572" s="28">
        <v>1</v>
      </c>
      <c r="N2572" s="32" t="s">
        <v>176</v>
      </c>
      <c r="O2572" s="28" t="s">
        <v>204</v>
      </c>
      <c r="P2572" s="28" t="s">
        <v>5939</v>
      </c>
      <c r="Q2572" s="28" t="s">
        <v>5940</v>
      </c>
      <c r="R2572" s="28" t="s">
        <v>5941</v>
      </c>
    </row>
    <row r="2573" spans="1:18" hidden="1">
      <c r="A2573" s="28">
        <v>2</v>
      </c>
      <c r="B2573" s="29" t="s">
        <v>240</v>
      </c>
      <c r="C2573" s="29" t="s">
        <v>241</v>
      </c>
      <c r="D2573" s="29" t="s">
        <v>509</v>
      </c>
      <c r="E2573" s="29" t="s">
        <v>172</v>
      </c>
      <c r="F2573" s="28" t="s">
        <v>5883</v>
      </c>
      <c r="G2573" s="28" t="s">
        <v>5883</v>
      </c>
      <c r="H2573" s="28" t="s">
        <v>174</v>
      </c>
      <c r="I2573" s="28" t="s">
        <v>174</v>
      </c>
      <c r="J2573" s="30" t="s">
        <v>174</v>
      </c>
      <c r="K2573" s="28" t="s">
        <v>683</v>
      </c>
      <c r="L2573" s="31">
        <v>43831</v>
      </c>
      <c r="M2573" s="28">
        <v>1</v>
      </c>
      <c r="N2573" s="32" t="s">
        <v>176</v>
      </c>
      <c r="O2573" s="28" t="s">
        <v>204</v>
      </c>
      <c r="P2573" s="28" t="s">
        <v>5942</v>
      </c>
      <c r="Q2573" s="28" t="s">
        <v>5943</v>
      </c>
      <c r="R2573" s="28" t="s">
        <v>5317</v>
      </c>
    </row>
    <row r="2574" spans="1:18" hidden="1">
      <c r="A2574" s="28">
        <v>2</v>
      </c>
      <c r="B2574" s="29" t="s">
        <v>240</v>
      </c>
      <c r="C2574" s="29" t="s">
        <v>276</v>
      </c>
      <c r="D2574" s="29" t="s">
        <v>277</v>
      </c>
      <c r="E2574" s="29" t="s">
        <v>172</v>
      </c>
      <c r="F2574" s="28" t="s">
        <v>5883</v>
      </c>
      <c r="G2574" s="28" t="s">
        <v>5883</v>
      </c>
      <c r="H2574" s="28" t="s">
        <v>174</v>
      </c>
      <c r="I2574" s="28" t="s">
        <v>174</v>
      </c>
      <c r="J2574" s="30" t="s">
        <v>174</v>
      </c>
      <c r="K2574" s="28" t="s">
        <v>214</v>
      </c>
      <c r="L2574" s="31">
        <v>43466</v>
      </c>
      <c r="M2574" s="28">
        <v>1</v>
      </c>
      <c r="N2574" s="32" t="s">
        <v>176</v>
      </c>
      <c r="O2574" s="28" t="s">
        <v>204</v>
      </c>
      <c r="P2574" s="28" t="s">
        <v>5944</v>
      </c>
      <c r="Q2574" s="28" t="s">
        <v>5945</v>
      </c>
      <c r="R2574" s="28" t="s">
        <v>5946</v>
      </c>
    </row>
    <row r="2575" spans="1:18" hidden="1">
      <c r="A2575" s="28">
        <v>9</v>
      </c>
      <c r="B2575" s="29" t="s">
        <v>1992</v>
      </c>
      <c r="C2575" s="29" t="s">
        <v>2003</v>
      </c>
      <c r="D2575" s="29" t="s">
        <v>2004</v>
      </c>
      <c r="E2575" s="29" t="s">
        <v>374</v>
      </c>
      <c r="F2575" s="28" t="s">
        <v>5883</v>
      </c>
      <c r="G2575" s="28" t="s">
        <v>5883</v>
      </c>
      <c r="H2575" s="28" t="s">
        <v>174</v>
      </c>
      <c r="I2575" s="28" t="s">
        <v>174</v>
      </c>
      <c r="J2575" s="30" t="s">
        <v>174</v>
      </c>
      <c r="K2575" s="28" t="s">
        <v>236</v>
      </c>
      <c r="L2575" s="31">
        <v>43617</v>
      </c>
      <c r="M2575" s="28">
        <v>6</v>
      </c>
      <c r="N2575" s="32" t="s">
        <v>184</v>
      </c>
      <c r="O2575" s="28" t="s">
        <v>204</v>
      </c>
      <c r="P2575" s="28" t="s">
        <v>5947</v>
      </c>
      <c r="Q2575" s="28" t="s">
        <v>5948</v>
      </c>
      <c r="R2575" s="28" t="s">
        <v>5949</v>
      </c>
    </row>
  </sheetData>
  <autoFilter ref="A1:R2575" xr:uid="{2C4B831E-F59B-EE4E-8D7F-3B9B8924C6CF}">
    <filterColumn colId="1">
      <filters>
        <filter val="3. 철골공사"/>
      </filters>
    </filterColumn>
    <sortState xmlns:xlrd2="http://schemas.microsoft.com/office/spreadsheetml/2017/richdata2" ref="A2:R2575">
      <sortCondition ref="F1:F2575"/>
    </sortState>
  </autoFilter>
  <phoneticPr fontId="2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F0B0-D088-1247-B80F-A0A64F8F15B0}">
  <dimension ref="A1:BM307"/>
  <sheetViews>
    <sheetView tabSelected="1" topLeftCell="Z1" zoomScale="75" zoomScaleNormal="75" workbookViewId="0">
      <pane ySplit="5" topLeftCell="A6" activePane="bottomLeft" state="frozen"/>
      <selection pane="bottomLeft" activeCell="AB7" sqref="AB7:AR7"/>
    </sheetView>
  </sheetViews>
  <sheetFormatPr baseColWidth="10" defaultRowHeight="25" customHeight="1"/>
  <cols>
    <col min="2" max="2" width="36.19921875" customWidth="1"/>
    <col min="3" max="3" width="14.3984375" customWidth="1"/>
    <col min="4" max="4" width="13.796875" customWidth="1"/>
    <col min="5" max="6" width="17.59765625" hidden="1" customWidth="1"/>
    <col min="7" max="7" width="8" customWidth="1"/>
    <col min="8" max="8" width="9.796875" customWidth="1"/>
    <col min="9" max="9" width="22.59765625" customWidth="1"/>
    <col min="10" max="10" width="15" customWidth="1"/>
    <col min="11" max="11" width="12.796875" customWidth="1"/>
    <col min="12" max="12" width="13.796875" customWidth="1"/>
    <col min="13" max="13" width="24.3984375" customWidth="1"/>
    <col min="14" max="14" width="12.59765625" customWidth="1"/>
    <col min="15" max="15" width="22" customWidth="1"/>
    <col min="16" max="16" width="39" customWidth="1"/>
    <col min="17" max="17" width="20.59765625" customWidth="1"/>
    <col min="18" max="18" width="36.796875" customWidth="1"/>
    <col min="19" max="19" width="36.19921875" customWidth="1"/>
    <col min="20" max="20" width="13.59765625" customWidth="1"/>
    <col min="22" max="22" width="45.59765625" customWidth="1"/>
    <col min="23" max="23" width="74.3984375" customWidth="1"/>
    <col min="24" max="24" width="39.3984375" customWidth="1"/>
    <col min="25" max="25" width="3" customWidth="1"/>
    <col min="26" max="26" width="39.3984375" customWidth="1"/>
    <col min="27" max="27" width="12.796875" customWidth="1"/>
    <col min="28" max="28" width="13" customWidth="1"/>
    <col min="29" max="29" width="31.796875" customWidth="1"/>
    <col min="30" max="30" width="43.19921875" customWidth="1"/>
    <col min="31" max="31" width="37.59765625" customWidth="1"/>
    <col min="32" max="33" width="8.59765625" customWidth="1"/>
    <col min="34" max="34" width="8.59765625" style="36" customWidth="1"/>
    <col min="35" max="37" width="9.59765625" customWidth="1"/>
    <col min="38" max="38" width="19" customWidth="1"/>
    <col min="39" max="39" width="13" customWidth="1"/>
    <col min="40" max="40" width="14.3984375" customWidth="1"/>
    <col min="41" max="41" width="15" style="36" customWidth="1"/>
    <col min="42" max="42" width="15" customWidth="1"/>
    <col min="43" max="44" width="13.59765625" customWidth="1"/>
    <col min="45" max="45" width="3.59765625" customWidth="1"/>
    <col min="46" max="46" width="17.59765625" customWidth="1"/>
    <col min="47" max="47" width="12.3984375" customWidth="1"/>
    <col min="48" max="49" width="13" customWidth="1"/>
    <col min="50" max="50" width="10.3984375" customWidth="1"/>
    <col min="51" max="52" width="13" customWidth="1"/>
    <col min="53" max="53" width="10.3984375" customWidth="1"/>
    <col min="54" max="54" width="2.3984375" hidden="1" customWidth="1"/>
    <col min="55" max="56" width="2.3984375" customWidth="1"/>
    <col min="57" max="57" width="15" hidden="1" customWidth="1"/>
    <col min="58" max="58" width="2.3984375" hidden="1" customWidth="1"/>
    <col min="59" max="60" width="15" hidden="1" customWidth="1"/>
    <col min="61" max="61" width="2.3984375" hidden="1" customWidth="1"/>
    <col min="62" max="64" width="15" hidden="1" customWidth="1"/>
    <col min="65" max="65" width="11" collapsed="1"/>
  </cols>
  <sheetData>
    <row r="1" spans="1:64" ht="25" customHeight="1">
      <c r="A1" s="171" t="s">
        <v>6060</v>
      </c>
    </row>
    <row r="2" spans="1:64" ht="25" customHeight="1">
      <c r="A2" s="14" t="s">
        <v>5988</v>
      </c>
      <c r="B2" s="254" t="s">
        <v>77</v>
      </c>
      <c r="C2" s="254"/>
      <c r="D2" s="254"/>
      <c r="I2" s="121" t="s">
        <v>6113</v>
      </c>
    </row>
    <row r="3" spans="1:64" ht="25" customHeight="1">
      <c r="A3" s="14" t="s">
        <v>5997</v>
      </c>
      <c r="B3" s="254" t="s">
        <v>65</v>
      </c>
      <c r="C3" s="254"/>
      <c r="D3" s="254"/>
    </row>
    <row r="4" spans="1:64" ht="25" customHeight="1">
      <c r="A4" s="14" t="s">
        <v>5987</v>
      </c>
      <c r="B4" s="255" t="s">
        <v>6061</v>
      </c>
      <c r="C4" s="255"/>
      <c r="D4" s="255"/>
      <c r="AL4" s="122" t="s">
        <v>6125</v>
      </c>
    </row>
    <row r="5" spans="1:64" ht="25" customHeight="1">
      <c r="I5" s="158" t="s">
        <v>6055</v>
      </c>
      <c r="O5" s="24" t="s">
        <v>6056</v>
      </c>
      <c r="T5" s="99"/>
      <c r="U5" s="99"/>
      <c r="V5" s="99"/>
      <c r="AB5" s="256" t="s">
        <v>5979</v>
      </c>
      <c r="AC5" s="256"/>
      <c r="AD5" s="256"/>
      <c r="AE5" s="256"/>
      <c r="AF5" s="256"/>
      <c r="AG5" s="256"/>
      <c r="AH5" s="256"/>
      <c r="AI5" s="256"/>
      <c r="AJ5" s="256"/>
      <c r="AK5" s="256"/>
      <c r="AL5" s="252" t="s">
        <v>6092</v>
      </c>
      <c r="AM5" s="253"/>
      <c r="AN5" s="253"/>
      <c r="AO5" s="253"/>
      <c r="AP5" s="253"/>
      <c r="AQ5" s="253"/>
      <c r="AR5" s="253"/>
    </row>
    <row r="6" spans="1:64" s="10" customFormat="1" ht="25" customHeight="1">
      <c r="A6" s="168" t="s">
        <v>5995</v>
      </c>
      <c r="B6" s="15"/>
      <c r="C6" s="15"/>
      <c r="D6" s="15"/>
      <c r="E6" s="15"/>
      <c r="F6" s="15"/>
      <c r="G6" s="15"/>
      <c r="H6" s="169" t="s">
        <v>6032</v>
      </c>
      <c r="M6" s="159" t="s">
        <v>6112</v>
      </c>
      <c r="O6" s="249" t="s">
        <v>141</v>
      </c>
      <c r="P6" s="249"/>
      <c r="Q6" s="249"/>
      <c r="R6" s="249"/>
      <c r="S6"/>
      <c r="U6" s="122" t="s">
        <v>5994</v>
      </c>
      <c r="V6"/>
      <c r="W6"/>
      <c r="X6" s="128" t="s">
        <v>5996</v>
      </c>
      <c r="Y6" s="128"/>
      <c r="Z6" s="128"/>
      <c r="AB6" s="251" t="s">
        <v>145</v>
      </c>
      <c r="AC6" s="251"/>
      <c r="AD6" s="251"/>
      <c r="AE6" s="251"/>
      <c r="AF6" s="251"/>
      <c r="AG6" s="251"/>
      <c r="AH6" s="251"/>
      <c r="AI6" s="251"/>
      <c r="AJ6" s="251"/>
      <c r="AK6" s="251"/>
      <c r="AL6" s="212" t="s">
        <v>6098</v>
      </c>
      <c r="AM6"/>
      <c r="AN6"/>
      <c r="AO6"/>
      <c r="AP6"/>
      <c r="AQ6"/>
      <c r="AR6"/>
      <c r="AS6"/>
      <c r="AT6" s="212" t="s">
        <v>6095</v>
      </c>
      <c r="AU6"/>
      <c r="AV6"/>
      <c r="AW6"/>
      <c r="AX6"/>
      <c r="AY6"/>
      <c r="AZ6"/>
      <c r="BA6"/>
      <c r="BB6"/>
      <c r="BC6"/>
      <c r="BD6"/>
      <c r="BE6"/>
      <c r="BF6"/>
      <c r="BG6"/>
      <c r="BH6"/>
      <c r="BI6"/>
      <c r="BJ6"/>
      <c r="BK6"/>
      <c r="BL6"/>
    </row>
    <row r="7" spans="1:64" ht="36" customHeight="1">
      <c r="A7" s="174" t="s">
        <v>5956</v>
      </c>
      <c r="B7" s="175" t="s">
        <v>5963</v>
      </c>
      <c r="C7" s="176" t="s">
        <v>6046</v>
      </c>
      <c r="D7" s="177" t="s">
        <v>5989</v>
      </c>
      <c r="E7" s="129" t="s">
        <v>6048</v>
      </c>
      <c r="F7" s="129" t="s">
        <v>6053</v>
      </c>
      <c r="G7" s="129"/>
      <c r="H7" s="164" t="s">
        <v>6033</v>
      </c>
      <c r="I7" s="163" t="s">
        <v>5999</v>
      </c>
      <c r="J7" s="163" t="s">
        <v>6049</v>
      </c>
      <c r="K7" s="163" t="s">
        <v>6051</v>
      </c>
      <c r="L7" s="163" t="s">
        <v>6050</v>
      </c>
      <c r="M7" s="163" t="s">
        <v>6000</v>
      </c>
      <c r="O7" s="13" t="s">
        <v>37</v>
      </c>
      <c r="P7" s="13" t="s">
        <v>38</v>
      </c>
      <c r="Q7" s="13" t="s">
        <v>37</v>
      </c>
      <c r="R7" s="161" t="s">
        <v>6030</v>
      </c>
      <c r="S7" s="124" t="s">
        <v>6003</v>
      </c>
      <c r="T7" s="123"/>
      <c r="U7" s="120" t="s">
        <v>5988</v>
      </c>
      <c r="V7" s="126" t="s">
        <v>6059</v>
      </c>
      <c r="W7" s="120" t="s">
        <v>5987</v>
      </c>
      <c r="X7" s="120" t="s">
        <v>5963</v>
      </c>
      <c r="Y7" s="120"/>
      <c r="Z7" s="170" t="s">
        <v>6058</v>
      </c>
      <c r="AB7" s="97" t="s">
        <v>146</v>
      </c>
      <c r="AC7" s="98" t="s">
        <v>147</v>
      </c>
      <c r="AD7" s="98" t="s">
        <v>148</v>
      </c>
      <c r="AE7" s="98" t="s">
        <v>36</v>
      </c>
      <c r="AF7" s="98" t="s">
        <v>5980</v>
      </c>
      <c r="AG7" s="98" t="s">
        <v>5981</v>
      </c>
      <c r="AH7" s="98" t="s">
        <v>5982</v>
      </c>
      <c r="AI7" s="105" t="s">
        <v>149</v>
      </c>
      <c r="AJ7" s="105" t="s">
        <v>150</v>
      </c>
      <c r="AK7" s="240" t="s">
        <v>151</v>
      </c>
      <c r="AL7" s="245" t="s">
        <v>6070</v>
      </c>
      <c r="AM7" s="245" t="s">
        <v>6093</v>
      </c>
      <c r="AN7" s="245" t="s">
        <v>6071</v>
      </c>
      <c r="AO7" s="245" t="s">
        <v>6073</v>
      </c>
      <c r="AP7" s="245" t="s">
        <v>6074</v>
      </c>
      <c r="AQ7" s="245" t="s">
        <v>6094</v>
      </c>
      <c r="AR7" s="245" t="s">
        <v>6072</v>
      </c>
      <c r="AT7" s="214" t="s">
        <v>6075</v>
      </c>
      <c r="AU7" s="214" t="s">
        <v>6076</v>
      </c>
      <c r="AV7" s="214" t="s">
        <v>6077</v>
      </c>
      <c r="AW7" s="214" t="s">
        <v>6078</v>
      </c>
      <c r="AX7" s="214" t="s">
        <v>6079</v>
      </c>
    </row>
    <row r="8" spans="1:64" ht="25" customHeight="1">
      <c r="A8" s="130">
        <v>1</v>
      </c>
      <c r="B8" s="131" t="s">
        <v>3379</v>
      </c>
      <c r="C8" s="132">
        <v>129</v>
      </c>
      <c r="D8" s="133" t="s">
        <v>5991</v>
      </c>
      <c r="E8" s="134"/>
      <c r="F8" s="134" t="s">
        <v>6047</v>
      </c>
      <c r="G8" s="134"/>
      <c r="H8" s="36">
        <v>1</v>
      </c>
      <c r="I8" s="165" t="s">
        <v>6034</v>
      </c>
      <c r="J8" s="134" t="str">
        <f t="shared" ref="J8:J17" si="0">IF(OR(K8="해당",L8="해당"),"해당","미해당")</f>
        <v>해당</v>
      </c>
      <c r="K8" s="221" t="s">
        <v>5998</v>
      </c>
      <c r="O8" s="14" t="s">
        <v>142</v>
      </c>
      <c r="P8" s="172" t="str">
        <f>B2</f>
        <v>RA-2025-0315</v>
      </c>
      <c r="Q8" s="14" t="s">
        <v>40</v>
      </c>
      <c r="R8" s="156" t="str">
        <f>S8</f>
        <v>한국에너지 전기부</v>
      </c>
      <c r="S8" s="233" t="s">
        <v>74</v>
      </c>
      <c r="T8" s="85"/>
      <c r="U8" s="125">
        <v>1</v>
      </c>
      <c r="V8" s="236" t="s">
        <v>78</v>
      </c>
      <c r="W8" s="237"/>
      <c r="X8" s="237"/>
      <c r="Y8" s="12"/>
      <c r="Z8" s="12" t="str" cm="1">
        <f t="array" ref="Z8:Z25">_xlfn._xlws.FILTER(B8:B65,D8:D65="해당","")</f>
        <v>지붕(처마,홈통)</v>
      </c>
      <c r="AB8" s="21" t="s">
        <v>54</v>
      </c>
      <c r="AC8" s="18" t="s">
        <v>78</v>
      </c>
      <c r="AD8" s="18" t="s">
        <v>79</v>
      </c>
      <c r="AE8" s="18" t="s">
        <v>80</v>
      </c>
      <c r="AF8" s="18">
        <v>2</v>
      </c>
      <c r="AG8" s="18">
        <v>5</v>
      </c>
      <c r="AH8" s="102">
        <f t="shared" ref="AH8:AH41" si="1">IF(AND(AF8&lt;&gt;"",AG8&lt;&gt;""),AF8*AG8,"")</f>
        <v>10</v>
      </c>
      <c r="AI8" s="106">
        <v>2</v>
      </c>
      <c r="AJ8" s="106">
        <v>1</v>
      </c>
      <c r="AK8" s="241">
        <f t="shared" ref="AK8" si="2">IF(AND(AI8&lt;&gt;"",AJ8&lt;&gt;""),AI8*AJ8,"")</f>
        <v>2</v>
      </c>
      <c r="AL8" s="217" t="str" cm="1">
        <f t="array" ref="AL8">IFERROR(INDEX(_xlfn._xlws.SORT(_xlfn.UNIQUE(_xlfn._xlws.FILTER(AC$8:AC$307,AC$8:AC$307&lt;&gt;""))),1),"")</f>
        <v>ㄱㄱㄱ</v>
      </c>
      <c r="AM8" s="217">
        <f t="shared" ref="AM8:AM39" si="3">IF(AL8="","",COUNTIF(AC$8:AC$307,AL8))</f>
        <v>1</v>
      </c>
      <c r="AN8" s="217">
        <f t="shared" ref="AN8:AN39" si="4">IF(AL8="","",COUNTIFS(AC$8:AC$307,AL8,AH$8:AH$307,"&gt;="&amp;9))</f>
        <v>0</v>
      </c>
      <c r="AO8" s="217">
        <f t="shared" ref="AO8:AO39" si="5">IF(AL8="","",IFERROR(ROUND(AVERAGEIFS(AH$8:AH$307,AC$8:AC$307,AL8,AH$8:AH$307,"&lt;&gt;"),1),"-"))</f>
        <v>4</v>
      </c>
      <c r="AP8" s="217" t="str">
        <f t="shared" ref="AP8:AP39" si="6">IF(AL8="","",IFERROR(ROUND(AVERAGEIFS(AK$8:AK$307,AC$8:AC$307,AL8,AK$8:AK$307,"&lt;&gt;"),1),"-"))</f>
        <v>-</v>
      </c>
      <c r="AQ8" s="218" t="str">
        <f t="shared" ref="AQ8:AQ39" si="7">IF(OR(AL8="",AO8="-",AP8="-"),"",IF(AO8=0,0,(AO8-AP8)/AO8))</f>
        <v/>
      </c>
      <c r="AR8" s="217" t="str">
        <f t="shared" ref="AR8:AR39" si="8">IF(AL8="","",IF(AO8="-","미입력",IF(AP8="-",IF(AO8&gt;=9,"고위험⚠",IF(AO8&gt;=6,"중위험⚠","저위험⚠")),IF(AO8&gt;=9,"고위험",IF(AO8&gt;=6,"중위험","저위험")))))</f>
        <v>저위험⚠</v>
      </c>
      <c r="AT8" s="223" t="s">
        <v>6080</v>
      </c>
      <c r="AU8" s="213" t="s">
        <v>6081</v>
      </c>
      <c r="AV8" s="213">
        <f>COUNTIF(AH$8:AH$307,"&gt;="&amp;13)</f>
        <v>6</v>
      </c>
      <c r="AW8" s="213">
        <f>COUNTIF(AK$8:AK$307,"&gt;="&amp;13)</f>
        <v>0</v>
      </c>
      <c r="AX8" s="213">
        <f>AW8-AV8</f>
        <v>-6</v>
      </c>
    </row>
    <row r="9" spans="1:64" ht="25" customHeight="1">
      <c r="A9" s="130">
        <v>2</v>
      </c>
      <c r="B9" s="131" t="s">
        <v>3776</v>
      </c>
      <c r="C9" s="132">
        <v>129</v>
      </c>
      <c r="D9" s="133" t="s">
        <v>5990</v>
      </c>
      <c r="E9" s="134"/>
      <c r="F9" s="134" t="s">
        <v>6047</v>
      </c>
      <c r="G9" s="134"/>
      <c r="H9" s="36">
        <v>2</v>
      </c>
      <c r="I9" s="165" t="s">
        <v>6035</v>
      </c>
      <c r="J9" s="134" t="str">
        <f t="shared" si="0"/>
        <v>미해당</v>
      </c>
      <c r="K9" s="221"/>
      <c r="M9" s="121" t="s">
        <v>6111</v>
      </c>
      <c r="O9" s="14" t="s">
        <v>5997</v>
      </c>
      <c r="P9" s="172" t="str">
        <f>B3</f>
        <v>전기설비 점검 및 정비작업</v>
      </c>
      <c r="Q9" s="14" t="s">
        <v>42</v>
      </c>
      <c r="R9" s="156" t="str">
        <f>S9</f>
        <v>2025.03.14</v>
      </c>
      <c r="S9" s="233" t="s">
        <v>75</v>
      </c>
      <c r="T9" s="85"/>
      <c r="U9" s="125">
        <v>2</v>
      </c>
      <c r="V9" s="238" t="s">
        <v>6057</v>
      </c>
      <c r="W9" s="237"/>
      <c r="X9" s="237"/>
      <c r="Y9" s="12"/>
      <c r="Z9" s="12" t="str">
        <v>사다리</v>
      </c>
      <c r="AB9" s="21" t="s">
        <v>55</v>
      </c>
      <c r="AC9" s="18" t="s">
        <v>78</v>
      </c>
      <c r="AD9" s="18" t="s">
        <v>81</v>
      </c>
      <c r="AE9" s="18" t="s">
        <v>82</v>
      </c>
      <c r="AF9" s="18">
        <v>2</v>
      </c>
      <c r="AG9" s="18">
        <v>4</v>
      </c>
      <c r="AH9" s="102">
        <f t="shared" si="1"/>
        <v>8</v>
      </c>
      <c r="AI9" s="106">
        <v>1</v>
      </c>
      <c r="AJ9" s="106">
        <v>3</v>
      </c>
      <c r="AK9" s="241">
        <f t="shared" ref="AK9:AK26" si="9">IF(AND(AI9&lt;&gt;"",AJ9&lt;&gt;""),AI9*AJ9,"")</f>
        <v>3</v>
      </c>
      <c r="AL9" s="219" t="str" cm="1">
        <f t="array" ref="AL9">IFERROR(INDEX(_xlfn._xlws.SORT(_xlfn.UNIQUE(_xlfn._xlws.FILTER(AC$8:AC$307,AC$8:AC$307&lt;&gt;""))),2),"")</f>
        <v>ㄴㅇ</v>
      </c>
      <c r="AM9" s="219">
        <f t="shared" si="3"/>
        <v>3</v>
      </c>
      <c r="AN9" s="219">
        <f t="shared" si="4"/>
        <v>2</v>
      </c>
      <c r="AO9" s="219">
        <f t="shared" si="5"/>
        <v>7.3</v>
      </c>
      <c r="AP9" s="219" t="str">
        <f t="shared" si="6"/>
        <v>-</v>
      </c>
      <c r="AQ9" s="220" t="str">
        <f t="shared" si="7"/>
        <v/>
      </c>
      <c r="AR9" s="219" t="str">
        <f t="shared" si="8"/>
        <v>중위험⚠</v>
      </c>
      <c r="AT9" s="224" t="s">
        <v>6082</v>
      </c>
      <c r="AU9" s="213" t="s">
        <v>6083</v>
      </c>
      <c r="AV9" s="213">
        <f>COUNTIFS(AH$8:AH$307,"&gt;="&amp;9,AH$8:AH$307,"&lt;"&amp;13)</f>
        <v>19</v>
      </c>
      <c r="AW9" s="213">
        <f>COUNTIFS(AK$8:AK$307,"&gt;="&amp;9,AK$8:AK$307,"&lt;"&amp;13)</f>
        <v>0</v>
      </c>
      <c r="AX9" s="213">
        <f>AW9-AV9</f>
        <v>-19</v>
      </c>
    </row>
    <row r="10" spans="1:64" ht="25" customHeight="1">
      <c r="A10" s="130">
        <v>3</v>
      </c>
      <c r="B10" s="131" t="s">
        <v>2046</v>
      </c>
      <c r="C10" s="132">
        <v>118</v>
      </c>
      <c r="D10" s="133" t="s">
        <v>5990</v>
      </c>
      <c r="E10" s="134"/>
      <c r="F10" s="134" t="s">
        <v>6047</v>
      </c>
      <c r="G10" s="134"/>
      <c r="H10" s="36">
        <v>3</v>
      </c>
      <c r="I10" s="165" t="s">
        <v>6036</v>
      </c>
      <c r="J10" s="134" t="str">
        <f t="shared" si="0"/>
        <v>미해당</v>
      </c>
      <c r="K10" s="221"/>
      <c r="M10" s="24" t="s">
        <v>6110</v>
      </c>
      <c r="O10" s="14" t="s">
        <v>41</v>
      </c>
      <c r="P10" s="173" t="str">
        <f>B4</f>
        <v>전기실 내 배전반 교체 및 케이블 정비, 접지 점검</v>
      </c>
      <c r="Q10" s="14" t="s">
        <v>44</v>
      </c>
      <c r="R10" s="160" t="str">
        <f>S10</f>
        <v>김안전, 이이경</v>
      </c>
      <c r="S10" s="234" t="s">
        <v>6005</v>
      </c>
      <c r="T10" s="85"/>
      <c r="U10" s="125">
        <v>3</v>
      </c>
      <c r="V10" s="236" t="s">
        <v>90</v>
      </c>
      <c r="W10" s="237"/>
      <c r="X10" s="237"/>
      <c r="Y10" s="12"/>
      <c r="Z10" s="12" t="str">
        <v>굴착기</v>
      </c>
      <c r="AB10" s="21" t="s">
        <v>56</v>
      </c>
      <c r="AC10" s="18" t="s">
        <v>78</v>
      </c>
      <c r="AD10" s="18" t="s">
        <v>83</v>
      </c>
      <c r="AE10" s="18" t="s">
        <v>84</v>
      </c>
      <c r="AF10" s="18">
        <v>3</v>
      </c>
      <c r="AG10" s="18">
        <v>5</v>
      </c>
      <c r="AH10" s="102">
        <f t="shared" si="1"/>
        <v>15</v>
      </c>
      <c r="AI10" s="106">
        <v>2</v>
      </c>
      <c r="AJ10" s="106">
        <v>1</v>
      </c>
      <c r="AK10" s="241">
        <f t="shared" si="9"/>
        <v>2</v>
      </c>
      <c r="AL10" s="217" t="str" cm="1">
        <f t="array" ref="AL10">IFERROR(INDEX(_xlfn._xlws.SORT(_xlfn.UNIQUE(_xlfn._xlws.FILTER(AC$8:AC$307,AC$8:AC$307&lt;&gt;""))),3),"")</f>
        <v>ㄹㄹㅇ</v>
      </c>
      <c r="AM10" s="217">
        <f t="shared" si="3"/>
        <v>1</v>
      </c>
      <c r="AN10" s="217">
        <f t="shared" si="4"/>
        <v>0</v>
      </c>
      <c r="AO10" s="217">
        <f t="shared" si="5"/>
        <v>4</v>
      </c>
      <c r="AP10" s="217" t="str">
        <f t="shared" si="6"/>
        <v>-</v>
      </c>
      <c r="AQ10" s="218" t="str">
        <f t="shared" si="7"/>
        <v/>
      </c>
      <c r="AR10" s="217" t="str">
        <f t="shared" si="8"/>
        <v>저위험⚠</v>
      </c>
      <c r="AT10" s="225" t="s">
        <v>6084</v>
      </c>
      <c r="AU10" s="213" t="s">
        <v>6096</v>
      </c>
      <c r="AV10" s="213">
        <f>COUNTIFS(AH$8:AH$307,"&gt;="&amp;4,AH$8:AH$307,"&lt;"&amp;9)</f>
        <v>21</v>
      </c>
      <c r="AW10" s="213">
        <f>COUNTIFS(AK$8:AK$307,"&gt;="&amp;4,AK$8:AK$307,"&lt;"&amp;9)</f>
        <v>0</v>
      </c>
      <c r="AX10" s="213">
        <f>AW10-AV10</f>
        <v>-21</v>
      </c>
    </row>
    <row r="11" spans="1:64" ht="25" customHeight="1">
      <c r="A11" s="135">
        <v>4</v>
      </c>
      <c r="B11" s="136" t="s">
        <v>4536</v>
      </c>
      <c r="C11" s="137">
        <v>116</v>
      </c>
      <c r="D11" s="138" t="s">
        <v>5998</v>
      </c>
      <c r="E11" s="134"/>
      <c r="F11" s="134" t="s">
        <v>6047</v>
      </c>
      <c r="G11" s="134"/>
      <c r="H11" s="36">
        <v>4</v>
      </c>
      <c r="I11" s="165" t="s">
        <v>6037</v>
      </c>
      <c r="J11" s="134" t="str">
        <f t="shared" si="0"/>
        <v>해당</v>
      </c>
      <c r="K11" s="221"/>
      <c r="L11" t="str" cm="1">
        <f t="array" ref="L11">IF(SUMPRODUCT(($F$8:$F$65="고소")*($D$8:$D$65="해당"))&gt;=1,"해당","미해당")</f>
        <v>해당</v>
      </c>
      <c r="O11" s="14" t="s">
        <v>43</v>
      </c>
      <c r="P11" s="231" t="s">
        <v>67</v>
      </c>
      <c r="Q11" s="14" t="s">
        <v>46</v>
      </c>
      <c r="R11" s="157" t="str">
        <f>IF(COUNTA(J21:J50)&lt;=5, _xlfn.TEXTJOIN(", ",TRUE,J21:J50), _xlfn.TEXTJOIN(", ",TRUE,J21:J25)&amp;" 등 총 "&amp;COUNTA(J21:J50)&amp;"명")</f>
        <v>김가나1, 김가나2, 김가나3, 김가나4, 김가나5 등 총 23명</v>
      </c>
      <c r="S11" s="156"/>
      <c r="T11" s="85"/>
      <c r="U11" s="125">
        <v>4</v>
      </c>
      <c r="V11" s="236" t="s">
        <v>98</v>
      </c>
      <c r="W11" s="237"/>
      <c r="X11" s="237"/>
      <c r="Y11" s="12"/>
      <c r="Z11" s="12" t="str">
        <v>개구부(바닥개구부)</v>
      </c>
      <c r="AB11" s="21" t="s">
        <v>57</v>
      </c>
      <c r="AC11" s="18" t="s">
        <v>85</v>
      </c>
      <c r="AD11" s="18" t="s">
        <v>139</v>
      </c>
      <c r="AE11" s="18" t="s">
        <v>86</v>
      </c>
      <c r="AF11" s="18">
        <v>3</v>
      </c>
      <c r="AG11" s="18">
        <v>2</v>
      </c>
      <c r="AH11" s="102">
        <f t="shared" si="1"/>
        <v>6</v>
      </c>
      <c r="AI11" s="106">
        <v>1</v>
      </c>
      <c r="AJ11" s="106">
        <v>3</v>
      </c>
      <c r="AK11" s="241">
        <f t="shared" si="9"/>
        <v>3</v>
      </c>
      <c r="AL11" s="219" t="str" cm="1">
        <f t="array" ref="AL11">IFERROR(INDEX(_xlfn._xlws.SORT(_xlfn.UNIQUE(_xlfn._xlws.FILTER(AC$8:AC$307,AC$8:AC$307&lt;&gt;""))),4),"")</f>
        <v>ㅁㅁ</v>
      </c>
      <c r="AM11" s="219">
        <f t="shared" si="3"/>
        <v>1</v>
      </c>
      <c r="AN11" s="219">
        <f t="shared" si="4"/>
        <v>1</v>
      </c>
      <c r="AO11" s="219">
        <f t="shared" si="5"/>
        <v>9</v>
      </c>
      <c r="AP11" s="219" t="str">
        <f t="shared" si="6"/>
        <v>-</v>
      </c>
      <c r="AQ11" s="220" t="str">
        <f t="shared" si="7"/>
        <v/>
      </c>
      <c r="AR11" s="219" t="str">
        <f t="shared" si="8"/>
        <v>고위험⚠</v>
      </c>
      <c r="AT11" s="226" t="s">
        <v>6085</v>
      </c>
      <c r="AU11" s="213" t="s">
        <v>6086</v>
      </c>
      <c r="AV11" s="213">
        <f>COUNTIFS(AH$8:AH$307,"&gt;="&amp;1,AH$8:AH$307,"&lt;"&amp;4)</f>
        <v>0</v>
      </c>
      <c r="AW11" s="213">
        <f>COUNTIFS(AK$8:AK$307,"&gt;="&amp;1,AK$8:AK$307,"&lt;"&amp;4)</f>
        <v>40</v>
      </c>
      <c r="AX11" s="213">
        <f>AW11-AV11</f>
        <v>40</v>
      </c>
    </row>
    <row r="12" spans="1:64" ht="25" customHeight="1">
      <c r="A12" s="139">
        <v>5</v>
      </c>
      <c r="B12" s="140" t="s">
        <v>2694</v>
      </c>
      <c r="C12" s="141">
        <v>114</v>
      </c>
      <c r="D12" s="142" t="s">
        <v>5990</v>
      </c>
      <c r="E12" s="134" t="s">
        <v>6001</v>
      </c>
      <c r="F12" s="134" t="s">
        <v>6047</v>
      </c>
      <c r="G12" s="134"/>
      <c r="H12" s="36">
        <v>5</v>
      </c>
      <c r="I12" s="165" t="s">
        <v>6038</v>
      </c>
      <c r="J12" s="134" t="str">
        <f t="shared" si="0"/>
        <v>미해당</v>
      </c>
      <c r="K12" s="221" t="s">
        <v>5990</v>
      </c>
      <c r="L12" t="str" cm="1">
        <f t="array" ref="L12">IF(SUMPRODUCT(($F$8:$F$65="감전")*($D$8:$D$65="해당"))&gt;=1,"해당","미해당")</f>
        <v>미해당</v>
      </c>
      <c r="O12" s="14" t="s">
        <v>45</v>
      </c>
      <c r="P12" s="231" t="s">
        <v>68</v>
      </c>
      <c r="Q12" s="14" t="s">
        <v>132</v>
      </c>
      <c r="R12" s="156" t="str">
        <f>S12</f>
        <v>절연장갑, 절연장화, 안전모, 보안경</v>
      </c>
      <c r="S12" s="233" t="s">
        <v>71</v>
      </c>
      <c r="T12" s="85"/>
      <c r="U12" s="125">
        <v>5</v>
      </c>
      <c r="V12" s="236" t="s">
        <v>106</v>
      </c>
      <c r="W12" s="237"/>
      <c r="X12" s="237"/>
      <c r="Y12" s="12"/>
      <c r="Z12" s="12" t="str">
        <v>기계설비</v>
      </c>
      <c r="AB12" s="21" t="s">
        <v>58</v>
      </c>
      <c r="AC12" s="18" t="s">
        <v>85</v>
      </c>
      <c r="AD12" s="18" t="s">
        <v>140</v>
      </c>
      <c r="AE12" s="18" t="s">
        <v>87</v>
      </c>
      <c r="AF12" s="18">
        <v>2</v>
      </c>
      <c r="AG12" s="18">
        <v>3</v>
      </c>
      <c r="AH12" s="102">
        <f t="shared" si="1"/>
        <v>6</v>
      </c>
      <c r="AI12" s="106">
        <v>2</v>
      </c>
      <c r="AJ12" s="106">
        <v>1</v>
      </c>
      <c r="AK12" s="241">
        <f t="shared" si="9"/>
        <v>2</v>
      </c>
      <c r="AL12" s="217" t="str" cm="1">
        <f t="array" ref="AL12">IFERROR(INDEX(_xlfn._xlws.SORT(_xlfn.UNIQUE(_xlfn._xlws.FILTER(AC$8:AC$307,AC$8:AC$307&lt;&gt;""))),5),"")</f>
        <v>배전반 해체</v>
      </c>
      <c r="AM12" s="217">
        <f t="shared" si="3"/>
        <v>6</v>
      </c>
      <c r="AN12" s="217">
        <f t="shared" si="4"/>
        <v>0</v>
      </c>
      <c r="AO12" s="217">
        <f t="shared" si="5"/>
        <v>6</v>
      </c>
      <c r="AP12" s="217">
        <f t="shared" si="6"/>
        <v>2.7</v>
      </c>
      <c r="AQ12" s="218">
        <f t="shared" si="7"/>
        <v>0.54999999999999993</v>
      </c>
      <c r="AR12" s="217" t="str">
        <f t="shared" si="8"/>
        <v>중위험</v>
      </c>
      <c r="AT12" s="222" t="s">
        <v>6087</v>
      </c>
      <c r="AU12" s="222"/>
      <c r="AV12" s="222">
        <f>SUM(AV8:AV11)</f>
        <v>46</v>
      </c>
      <c r="AW12" s="222">
        <f>SUM(AW8:AW11)</f>
        <v>40</v>
      </c>
      <c r="AX12" s="222">
        <f>SUM(AX8:AX11)</f>
        <v>-6</v>
      </c>
    </row>
    <row r="13" spans="1:64" ht="25" customHeight="1">
      <c r="A13" s="143">
        <v>6</v>
      </c>
      <c r="B13" s="144" t="s">
        <v>970</v>
      </c>
      <c r="C13" s="145">
        <v>104</v>
      </c>
      <c r="D13" s="146" t="s">
        <v>5991</v>
      </c>
      <c r="E13" s="134" t="s">
        <v>6054</v>
      </c>
      <c r="F13" s="134"/>
      <c r="G13" s="134"/>
      <c r="H13" s="36">
        <v>6</v>
      </c>
      <c r="I13" s="165" t="s">
        <v>6039</v>
      </c>
      <c r="J13" s="134" t="str">
        <f t="shared" si="0"/>
        <v>해당</v>
      </c>
      <c r="K13" s="221" t="s">
        <v>5990</v>
      </c>
      <c r="L13" t="str" cm="1">
        <f t="array" ref="L13">IF(SUMPRODUCT(($E$8:$E$65="굴착")*($D$8:$D$65="해당"))&gt;=1,"해당","미해당")</f>
        <v>해당</v>
      </c>
      <c r="M13" s="121" t="s">
        <v>6109</v>
      </c>
      <c r="O13" s="14" t="s">
        <v>47</v>
      </c>
      <c r="P13" s="172" t="str" cm="1">
        <f t="array" ref="P13">_xlfn.TEXTJOIN("  ", TRUE, IF(J8:J17="해당", "■ "&amp;I8:I17, ""))</f>
        <v>■ 일반작업  ■ 고소작업  ■ 굴착작업  ■ 중장비작업</v>
      </c>
      <c r="Q13" s="14" t="s">
        <v>143</v>
      </c>
      <c r="R13" s="157" t="str" cm="1">
        <f t="array" ref="R13">_xlfn.TEXTJOIN(", ",TRUE,IF((D8:D65="해당")*(E8:E65="중장비"),B8:B65,""))&amp;IF(S13&lt;&gt;"",", "&amp;S13,"")</f>
        <v>이동식크레인, 기타건설장비, 천공기/항타기, 리프트, 지게차</v>
      </c>
      <c r="S13" s="234"/>
      <c r="T13" s="85"/>
      <c r="U13" s="125">
        <v>6</v>
      </c>
      <c r="V13" s="236" t="s">
        <v>116</v>
      </c>
      <c r="W13" s="237"/>
      <c r="X13" s="237"/>
      <c r="Y13" s="12"/>
      <c r="Z13" s="12" t="str">
        <v>이동식비계</v>
      </c>
      <c r="AB13" s="21" t="s">
        <v>59</v>
      </c>
      <c r="AC13" s="18" t="s">
        <v>85</v>
      </c>
      <c r="AD13" s="18" t="s">
        <v>88</v>
      </c>
      <c r="AE13" s="18" t="s">
        <v>89</v>
      </c>
      <c r="AF13" s="18">
        <v>2</v>
      </c>
      <c r="AG13" s="18">
        <v>3</v>
      </c>
      <c r="AH13" s="102">
        <f t="shared" si="1"/>
        <v>6</v>
      </c>
      <c r="AI13" s="106">
        <v>1</v>
      </c>
      <c r="AJ13" s="106">
        <v>3</v>
      </c>
      <c r="AK13" s="241">
        <f t="shared" si="9"/>
        <v>3</v>
      </c>
      <c r="AL13" s="219" t="str" cm="1">
        <f t="array" ref="AL13">IFERROR(INDEX(_xlfn._xlws.SORT(_xlfn.UNIQUE(_xlfn._xlws.FILTER(AC$8:AC$307,AC$8:AC$307&lt;&gt;""))),6),"")</f>
        <v>새 배전반 설치</v>
      </c>
      <c r="AM13" s="219">
        <f t="shared" si="3"/>
        <v>6</v>
      </c>
      <c r="AN13" s="219">
        <f t="shared" si="4"/>
        <v>2</v>
      </c>
      <c r="AO13" s="219">
        <f t="shared" si="5"/>
        <v>7</v>
      </c>
      <c r="AP13" s="219">
        <f t="shared" si="6"/>
        <v>2.2999999999999998</v>
      </c>
      <c r="AQ13" s="220">
        <f t="shared" si="7"/>
        <v>0.67142857142857149</v>
      </c>
      <c r="AR13" s="219" t="str">
        <f t="shared" si="8"/>
        <v>중위험</v>
      </c>
    </row>
    <row r="14" spans="1:64" ht="25" customHeight="1">
      <c r="A14" s="139">
        <v>7</v>
      </c>
      <c r="B14" s="140" t="s">
        <v>4810</v>
      </c>
      <c r="C14" s="141">
        <v>92</v>
      </c>
      <c r="D14" s="142" t="s">
        <v>5990</v>
      </c>
      <c r="E14" s="134"/>
      <c r="F14" s="134" t="s">
        <v>6047</v>
      </c>
      <c r="G14" s="134"/>
      <c r="H14" s="36">
        <v>7</v>
      </c>
      <c r="I14" s="165" t="s">
        <v>6041</v>
      </c>
      <c r="J14" s="134" t="str">
        <f t="shared" si="0"/>
        <v>해당</v>
      </c>
      <c r="K14" s="221"/>
      <c r="L14" t="str" cm="1">
        <f t="array" ref="L14">IF(SUMPRODUCT(($E$8:$E$65="중장비")*($D$8:$D$65="해당"))&gt;=1,"해당","미해당")</f>
        <v>해당</v>
      </c>
      <c r="M14" s="24" t="s">
        <v>6107</v>
      </c>
      <c r="O14" s="14" t="s">
        <v>48</v>
      </c>
      <c r="P14" s="232" t="s">
        <v>6044</v>
      </c>
      <c r="Q14" s="14" t="s">
        <v>133</v>
      </c>
      <c r="R14" s="162" t="str">
        <f>S14</f>
        <v>스카이 등</v>
      </c>
      <c r="S14" s="235" t="s">
        <v>6031</v>
      </c>
      <c r="T14" s="85"/>
      <c r="U14" s="125">
        <v>7</v>
      </c>
      <c r="V14" s="236" t="s">
        <v>126</v>
      </c>
      <c r="W14" s="237"/>
      <c r="X14" s="237"/>
      <c r="Y14" s="12"/>
      <c r="Z14" s="12" t="str">
        <v>토사</v>
      </c>
      <c r="AB14" s="21" t="s">
        <v>60</v>
      </c>
      <c r="AC14" s="18" t="s">
        <v>90</v>
      </c>
      <c r="AD14" s="18" t="s">
        <v>91</v>
      </c>
      <c r="AE14" s="18" t="s">
        <v>92</v>
      </c>
      <c r="AF14" s="18">
        <v>3</v>
      </c>
      <c r="AG14" s="18">
        <v>4</v>
      </c>
      <c r="AH14" s="102">
        <f t="shared" si="1"/>
        <v>12</v>
      </c>
      <c r="AI14" s="106">
        <v>2</v>
      </c>
      <c r="AJ14" s="106">
        <v>1</v>
      </c>
      <c r="AK14" s="241">
        <f t="shared" si="9"/>
        <v>2</v>
      </c>
      <c r="AL14" s="217" t="str" cm="1">
        <f t="array" ref="AL14">IFERROR(INDEX(_xlfn._xlws.SORT(_xlfn.UNIQUE(_xlfn._xlws.FILTER(AC$8:AC$307,AC$8:AC$307&lt;&gt;""))),7),"")</f>
        <v>시운전 및 점검</v>
      </c>
      <c r="AM14" s="217">
        <f t="shared" si="3"/>
        <v>4</v>
      </c>
      <c r="AN14" s="217">
        <f t="shared" si="4"/>
        <v>4</v>
      </c>
      <c r="AO14" s="217">
        <f t="shared" si="5"/>
        <v>12.5</v>
      </c>
      <c r="AP14" s="217">
        <f t="shared" si="6"/>
        <v>2</v>
      </c>
      <c r="AQ14" s="218">
        <f t="shared" si="7"/>
        <v>0.84</v>
      </c>
      <c r="AR14" s="217" t="str">
        <f t="shared" si="8"/>
        <v>고위험</v>
      </c>
    </row>
    <row r="15" spans="1:64" ht="25" customHeight="1">
      <c r="A15" s="143">
        <v>8</v>
      </c>
      <c r="B15" s="144" t="s">
        <v>3382</v>
      </c>
      <c r="C15" s="145">
        <v>90</v>
      </c>
      <c r="D15" s="146" t="s">
        <v>5990</v>
      </c>
      <c r="E15" s="134"/>
      <c r="F15" s="134" t="s">
        <v>6047</v>
      </c>
      <c r="G15" s="134"/>
      <c r="H15" s="36">
        <v>8</v>
      </c>
      <c r="I15" s="165" t="s">
        <v>6042</v>
      </c>
      <c r="J15" s="134" t="str">
        <f t="shared" si="0"/>
        <v>미해당</v>
      </c>
      <c r="K15" s="221"/>
      <c r="M15" s="24" t="s">
        <v>6108</v>
      </c>
      <c r="O15" s="166" t="s">
        <v>6045</v>
      </c>
      <c r="P15" s="116"/>
      <c r="T15" s="85"/>
      <c r="Z15" t="str">
        <v>기타자재(내부마감재,시멘트,마대)</v>
      </c>
      <c r="AB15" s="21" t="s">
        <v>61</v>
      </c>
      <c r="AC15" s="18" t="s">
        <v>90</v>
      </c>
      <c r="AD15" s="18" t="s">
        <v>93</v>
      </c>
      <c r="AE15" s="18" t="s">
        <v>94</v>
      </c>
      <c r="AF15" s="18">
        <v>2</v>
      </c>
      <c r="AG15" s="18">
        <v>2</v>
      </c>
      <c r="AH15" s="102">
        <f t="shared" si="1"/>
        <v>4</v>
      </c>
      <c r="AI15" s="106">
        <v>1</v>
      </c>
      <c r="AJ15" s="106">
        <v>3</v>
      </c>
      <c r="AK15" s="241">
        <f t="shared" si="9"/>
        <v>3</v>
      </c>
      <c r="AL15" s="219" t="str" cm="1">
        <f t="array" ref="AL15">IFERROR(INDEX(_xlfn._xlws.SORT(_xlfn.UNIQUE(_xlfn._xlws.FILTER(AC$8:AC$307,AC$8:AC$307&lt;&gt;""))),8),"")</f>
        <v>전원차단</v>
      </c>
      <c r="AM15" s="219">
        <f t="shared" si="3"/>
        <v>6</v>
      </c>
      <c r="AN15" s="219">
        <f t="shared" si="4"/>
        <v>4</v>
      </c>
      <c r="AO15" s="219">
        <f t="shared" si="5"/>
        <v>11</v>
      </c>
      <c r="AP15" s="219">
        <f t="shared" si="6"/>
        <v>2.2999999999999998</v>
      </c>
      <c r="AQ15" s="220">
        <f t="shared" si="7"/>
        <v>0.79090909090909089</v>
      </c>
      <c r="AR15" s="219" t="str">
        <f t="shared" si="8"/>
        <v>고위험</v>
      </c>
    </row>
    <row r="16" spans="1:64" ht="25" customHeight="1">
      <c r="A16" s="139">
        <v>9</v>
      </c>
      <c r="B16" s="140" t="s">
        <v>5260</v>
      </c>
      <c r="C16" s="141">
        <v>85</v>
      </c>
      <c r="D16" s="142" t="s">
        <v>5990</v>
      </c>
      <c r="E16" s="134"/>
      <c r="F16" s="134" t="s">
        <v>6047</v>
      </c>
      <c r="G16" s="134"/>
      <c r="H16" s="36">
        <v>9</v>
      </c>
      <c r="I16" s="165" t="s">
        <v>6040</v>
      </c>
      <c r="J16" s="134" t="str">
        <f t="shared" si="0"/>
        <v>미해당</v>
      </c>
      <c r="K16" s="221"/>
      <c r="O16" s="250" t="s">
        <v>144</v>
      </c>
      <c r="P16" s="250"/>
      <c r="Q16" s="250"/>
      <c r="R16" s="250"/>
      <c r="T16" s="85"/>
      <c r="Z16" t="str">
        <v>이동식크레인</v>
      </c>
      <c r="AB16" s="21" t="s">
        <v>95</v>
      </c>
      <c r="AC16" s="18" t="s">
        <v>90</v>
      </c>
      <c r="AD16" s="18" t="s">
        <v>96</v>
      </c>
      <c r="AE16" s="18" t="s">
        <v>97</v>
      </c>
      <c r="AF16" s="18">
        <v>3</v>
      </c>
      <c r="AG16" s="18">
        <v>2</v>
      </c>
      <c r="AH16" s="102">
        <f t="shared" si="1"/>
        <v>6</v>
      </c>
      <c r="AI16" s="106">
        <v>2</v>
      </c>
      <c r="AJ16" s="106">
        <v>1</v>
      </c>
      <c r="AK16" s="241">
        <f t="shared" si="9"/>
        <v>2</v>
      </c>
      <c r="AL16" s="217" t="str" cm="1">
        <f t="array" ref="AL16">IFERROR(INDEX(_xlfn._xlws.SORT(_xlfn.UNIQUE(_xlfn._xlws.FILTER(AC$8:AC$307,AC$8:AC$307&lt;&gt;""))),9),"")</f>
        <v>접지 점검</v>
      </c>
      <c r="AM16" s="217">
        <f t="shared" si="3"/>
        <v>6</v>
      </c>
      <c r="AN16" s="217">
        <f t="shared" si="4"/>
        <v>4</v>
      </c>
      <c r="AO16" s="217">
        <f t="shared" si="5"/>
        <v>10.3</v>
      </c>
      <c r="AP16" s="217">
        <f t="shared" si="6"/>
        <v>2.7</v>
      </c>
      <c r="AQ16" s="218">
        <f t="shared" si="7"/>
        <v>0.73786407766990292</v>
      </c>
      <c r="AR16" s="217" t="str">
        <f t="shared" si="8"/>
        <v>고위험</v>
      </c>
    </row>
    <row r="17" spans="1:64" ht="25" customHeight="1">
      <c r="A17" s="143">
        <v>10</v>
      </c>
      <c r="B17" s="144" t="s">
        <v>390</v>
      </c>
      <c r="C17" s="145">
        <v>80</v>
      </c>
      <c r="D17" s="146" t="s">
        <v>5991</v>
      </c>
      <c r="E17" s="134"/>
      <c r="F17" s="134" t="s">
        <v>6047</v>
      </c>
      <c r="G17" s="134"/>
      <c r="H17" s="36">
        <v>10</v>
      </c>
      <c r="I17" s="165" t="s">
        <v>6043</v>
      </c>
      <c r="J17" s="134" t="str">
        <f t="shared" si="0"/>
        <v>미해당</v>
      </c>
      <c r="K17" s="221"/>
      <c r="O17" s="12"/>
      <c r="P17" s="12"/>
      <c r="Q17" s="12"/>
      <c r="R17" s="12"/>
      <c r="T17" s="85"/>
      <c r="Z17" t="str">
        <v>철골(철골자재)</v>
      </c>
      <c r="AB17" s="21" t="s">
        <v>62</v>
      </c>
      <c r="AC17" s="18" t="s">
        <v>98</v>
      </c>
      <c r="AD17" s="18" t="s">
        <v>99</v>
      </c>
      <c r="AE17" s="18" t="s">
        <v>100</v>
      </c>
      <c r="AF17" s="18">
        <v>3</v>
      </c>
      <c r="AG17" s="18">
        <v>5</v>
      </c>
      <c r="AH17" s="102">
        <f t="shared" si="1"/>
        <v>15</v>
      </c>
      <c r="AI17" s="106">
        <v>1</v>
      </c>
      <c r="AJ17" s="106">
        <v>3</v>
      </c>
      <c r="AK17" s="241">
        <f t="shared" si="9"/>
        <v>3</v>
      </c>
      <c r="AL17" s="219" t="str" cm="1">
        <f t="array" ref="AL17">IFERROR(INDEX(_xlfn._xlws.SORT(_xlfn.UNIQUE(_xlfn._xlws.FILTER(AC$8:AC$307,AC$8:AC$307&lt;&gt;""))),10),"")</f>
        <v>케이블 결선</v>
      </c>
      <c r="AM17" s="219">
        <f t="shared" si="3"/>
        <v>6</v>
      </c>
      <c r="AN17" s="219">
        <f t="shared" si="4"/>
        <v>6</v>
      </c>
      <c r="AO17" s="219">
        <f t="shared" si="5"/>
        <v>10.7</v>
      </c>
      <c r="AP17" s="219">
        <f t="shared" si="6"/>
        <v>2.7</v>
      </c>
      <c r="AQ17" s="220">
        <f t="shared" si="7"/>
        <v>0.74766355140186913</v>
      </c>
      <c r="AR17" s="219" t="str">
        <f t="shared" si="8"/>
        <v>고위험</v>
      </c>
    </row>
    <row r="18" spans="1:64" s="10" customFormat="1" ht="25" customHeight="1">
      <c r="A18" s="139">
        <v>11</v>
      </c>
      <c r="B18" s="140" t="s">
        <v>793</v>
      </c>
      <c r="C18" s="141">
        <v>80</v>
      </c>
      <c r="D18" s="142" t="s">
        <v>5990</v>
      </c>
      <c r="E18" s="134"/>
      <c r="F18" s="134"/>
      <c r="G18" s="134"/>
      <c r="H18" s="134"/>
      <c r="I18" s="134"/>
      <c r="J18" s="134"/>
      <c r="K18" s="134"/>
      <c r="L18" s="134"/>
      <c r="M18" s="134"/>
      <c r="O18"/>
      <c r="P18"/>
      <c r="Q18"/>
      <c r="R18"/>
      <c r="S18"/>
      <c r="T18" s="85"/>
      <c r="Z18" s="10" t="str">
        <v>벽체</v>
      </c>
      <c r="AA18"/>
      <c r="AB18" s="21" t="s">
        <v>63</v>
      </c>
      <c r="AC18" s="18" t="s">
        <v>98</v>
      </c>
      <c r="AD18" s="18" t="s">
        <v>101</v>
      </c>
      <c r="AE18" s="18" t="s">
        <v>102</v>
      </c>
      <c r="AF18" s="18">
        <v>2</v>
      </c>
      <c r="AG18" s="18">
        <v>5</v>
      </c>
      <c r="AH18" s="102">
        <f t="shared" si="1"/>
        <v>10</v>
      </c>
      <c r="AI18" s="106">
        <v>2</v>
      </c>
      <c r="AJ18" s="106">
        <v>1</v>
      </c>
      <c r="AK18" s="242">
        <f t="shared" si="9"/>
        <v>2</v>
      </c>
      <c r="AL18" s="217" t="str" cm="1">
        <f t="array" ref="AL18">IFERROR(INDEX(_xlfn._xlws.SORT(_xlfn.UNIQUE(_xlfn._xlws.FILTER(AC$8:AC$307,AC$8:AC$307&lt;&gt;""))),11),"")</f>
        <v>케이블 정비</v>
      </c>
      <c r="AM18" s="217">
        <f t="shared" si="3"/>
        <v>6</v>
      </c>
      <c r="AN18" s="217">
        <f t="shared" si="4"/>
        <v>2</v>
      </c>
      <c r="AO18" s="217">
        <f t="shared" si="5"/>
        <v>7.3</v>
      </c>
      <c r="AP18" s="217">
        <f t="shared" si="6"/>
        <v>2.2999999999999998</v>
      </c>
      <c r="AQ18" s="218">
        <f t="shared" si="7"/>
        <v>0.68493150684931503</v>
      </c>
      <c r="AR18" s="217" t="str">
        <f t="shared" si="8"/>
        <v>중위험</v>
      </c>
      <c r="AS18"/>
      <c r="AT18"/>
      <c r="AU18"/>
      <c r="AV18"/>
      <c r="AW18"/>
      <c r="AX18"/>
      <c r="AY18"/>
      <c r="AZ18"/>
      <c r="BA18"/>
      <c r="BB18"/>
      <c r="BC18"/>
      <c r="BD18"/>
      <c r="BE18"/>
      <c r="BF18"/>
      <c r="BG18"/>
      <c r="BH18"/>
      <c r="BI18"/>
      <c r="BJ18"/>
      <c r="BK18"/>
      <c r="BL18"/>
    </row>
    <row r="19" spans="1:64" ht="25" customHeight="1">
      <c r="A19" s="143">
        <v>12</v>
      </c>
      <c r="B19" s="144" t="s">
        <v>2951</v>
      </c>
      <c r="C19" s="145">
        <v>80</v>
      </c>
      <c r="D19" s="146" t="s">
        <v>5991</v>
      </c>
      <c r="E19" s="134"/>
      <c r="F19" s="134"/>
      <c r="G19" s="134"/>
      <c r="H19" s="122" t="s">
        <v>6006</v>
      </c>
      <c r="T19" s="85"/>
      <c r="Z19" t="str">
        <v>기타건설장비</v>
      </c>
      <c r="AB19" s="21" t="s">
        <v>64</v>
      </c>
      <c r="AC19" s="18" t="s">
        <v>98</v>
      </c>
      <c r="AD19" s="18" t="s">
        <v>103</v>
      </c>
      <c r="AE19" s="18" t="s">
        <v>104</v>
      </c>
      <c r="AF19" s="18">
        <v>2</v>
      </c>
      <c r="AG19" s="18">
        <v>3</v>
      </c>
      <c r="AH19" s="102">
        <f t="shared" si="1"/>
        <v>6</v>
      </c>
      <c r="AI19" s="106">
        <v>1</v>
      </c>
      <c r="AJ19" s="106">
        <v>3</v>
      </c>
      <c r="AK19" s="241">
        <f t="shared" si="9"/>
        <v>3</v>
      </c>
      <c r="AL19" s="219" t="str" cm="1">
        <f t="array" ref="AL19">IFERROR(INDEX(_xlfn._xlws.SORT(_xlfn.UNIQUE(_xlfn._xlws.FILTER(AC$8:AC$307,AC$8:AC$307&lt;&gt;""))),12),"")</f>
        <v/>
      </c>
      <c r="AM19" s="219" t="str">
        <f t="shared" si="3"/>
        <v/>
      </c>
      <c r="AN19" s="219" t="str">
        <f t="shared" si="4"/>
        <v/>
      </c>
      <c r="AO19" s="219" t="str">
        <f t="shared" si="5"/>
        <v/>
      </c>
      <c r="AP19" s="219" t="str">
        <f t="shared" si="6"/>
        <v/>
      </c>
      <c r="AQ19" s="220" t="str">
        <f t="shared" si="7"/>
        <v/>
      </c>
      <c r="AR19" s="219" t="str">
        <f t="shared" si="8"/>
        <v/>
      </c>
    </row>
    <row r="20" spans="1:64" ht="25" customHeight="1">
      <c r="A20" s="139">
        <v>13</v>
      </c>
      <c r="B20" s="140" t="s">
        <v>1000</v>
      </c>
      <c r="C20" s="141">
        <v>76</v>
      </c>
      <c r="D20" s="142" t="s">
        <v>5990</v>
      </c>
      <c r="E20" s="134" t="s">
        <v>6001</v>
      </c>
      <c r="F20" s="134"/>
      <c r="G20" s="134"/>
      <c r="H20" s="94" t="s">
        <v>30</v>
      </c>
      <c r="I20" s="95" t="s">
        <v>31</v>
      </c>
      <c r="J20" s="96" t="s">
        <v>32</v>
      </c>
      <c r="K20" s="167"/>
      <c r="L20" s="167"/>
      <c r="M20" s="167"/>
      <c r="O20" s="248" t="s">
        <v>6126</v>
      </c>
      <c r="P20" s="248"/>
      <c r="Q20" s="248"/>
      <c r="T20" s="85"/>
      <c r="Z20" t="str">
        <v>계단</v>
      </c>
      <c r="AB20" s="21" t="s">
        <v>105</v>
      </c>
      <c r="AC20" s="18" t="s">
        <v>106</v>
      </c>
      <c r="AD20" s="18" t="s">
        <v>107</v>
      </c>
      <c r="AE20" s="18" t="s">
        <v>108</v>
      </c>
      <c r="AF20" s="18">
        <v>3</v>
      </c>
      <c r="AG20" s="18">
        <v>3</v>
      </c>
      <c r="AH20" s="102">
        <f t="shared" si="1"/>
        <v>9</v>
      </c>
      <c r="AI20" s="119">
        <v>2</v>
      </c>
      <c r="AJ20" s="119">
        <v>1</v>
      </c>
      <c r="AK20" s="241">
        <f t="shared" si="9"/>
        <v>2</v>
      </c>
      <c r="AL20" s="217" t="str" cm="1">
        <f t="array" ref="AL20">IFERROR(INDEX(_xlfn._xlws.SORT(_xlfn.UNIQUE(_xlfn._xlws.FILTER(AC$8:AC$307,AC$8:AC$307&lt;&gt;""))),13),"")</f>
        <v/>
      </c>
      <c r="AM20" s="217" t="str">
        <f t="shared" si="3"/>
        <v/>
      </c>
      <c r="AN20" s="217" t="str">
        <f t="shared" si="4"/>
        <v/>
      </c>
      <c r="AO20" s="217" t="str">
        <f t="shared" si="5"/>
        <v/>
      </c>
      <c r="AP20" s="217" t="str">
        <f t="shared" si="6"/>
        <v/>
      </c>
      <c r="AQ20" s="218" t="str">
        <f t="shared" si="7"/>
        <v/>
      </c>
      <c r="AR20" s="217" t="str">
        <f t="shared" si="8"/>
        <v/>
      </c>
    </row>
    <row r="21" spans="1:64" ht="25" customHeight="1">
      <c r="A21" s="143">
        <v>14</v>
      </c>
      <c r="B21" s="144" t="s">
        <v>4213</v>
      </c>
      <c r="C21" s="145">
        <v>70</v>
      </c>
      <c r="D21" s="146" t="s">
        <v>5990</v>
      </c>
      <c r="E21" s="134"/>
      <c r="F21" s="134" t="s">
        <v>6047</v>
      </c>
      <c r="G21" s="134"/>
      <c r="H21" s="228">
        <v>1</v>
      </c>
      <c r="I21" s="229" t="s">
        <v>5984</v>
      </c>
      <c r="J21" s="229" t="s">
        <v>6007</v>
      </c>
      <c r="K21" s="24"/>
      <c r="L21" s="24"/>
      <c r="M21" s="24"/>
      <c r="O21" s="248"/>
      <c r="P21" s="248"/>
      <c r="Q21" s="248"/>
      <c r="T21" s="85"/>
      <c r="Z21" t="str">
        <v>천공기/항타기</v>
      </c>
      <c r="AB21" s="21" t="s">
        <v>109</v>
      </c>
      <c r="AC21" s="18" t="s">
        <v>106</v>
      </c>
      <c r="AD21" s="18" t="s">
        <v>110</v>
      </c>
      <c r="AE21" s="18" t="s">
        <v>111</v>
      </c>
      <c r="AF21" s="18">
        <v>2</v>
      </c>
      <c r="AG21" s="18">
        <v>4</v>
      </c>
      <c r="AH21" s="102">
        <f t="shared" si="1"/>
        <v>8</v>
      </c>
      <c r="AI21" s="119">
        <v>1</v>
      </c>
      <c r="AJ21" s="119">
        <v>3</v>
      </c>
      <c r="AK21" s="241">
        <f t="shared" si="9"/>
        <v>3</v>
      </c>
      <c r="AL21" s="219" t="str" cm="1">
        <f t="array" ref="AL21">IFERROR(INDEX(_xlfn._xlws.SORT(_xlfn.UNIQUE(_xlfn._xlws.FILTER(AC$8:AC$307,AC$8:AC$307&lt;&gt;""))),14),"")</f>
        <v/>
      </c>
      <c r="AM21" s="219" t="str">
        <f t="shared" si="3"/>
        <v/>
      </c>
      <c r="AN21" s="219" t="str">
        <f t="shared" si="4"/>
        <v/>
      </c>
      <c r="AO21" s="219" t="str">
        <f t="shared" si="5"/>
        <v/>
      </c>
      <c r="AP21" s="219" t="str">
        <f t="shared" si="6"/>
        <v/>
      </c>
      <c r="AQ21" s="220" t="str">
        <f t="shared" si="7"/>
        <v/>
      </c>
      <c r="AR21" s="219" t="str">
        <f t="shared" si="8"/>
        <v/>
      </c>
    </row>
    <row r="22" spans="1:64" ht="25" customHeight="1">
      <c r="A22" s="139">
        <v>15</v>
      </c>
      <c r="B22" s="140" t="s">
        <v>5127</v>
      </c>
      <c r="C22" s="141">
        <v>70</v>
      </c>
      <c r="D22" s="142" t="s">
        <v>5991</v>
      </c>
      <c r="E22" s="134"/>
      <c r="F22" s="134" t="s">
        <v>6047</v>
      </c>
      <c r="G22" s="134"/>
      <c r="H22" s="228">
        <v>2</v>
      </c>
      <c r="I22" s="229" t="s">
        <v>5984</v>
      </c>
      <c r="J22" s="229" t="s">
        <v>6008</v>
      </c>
      <c r="K22" s="24"/>
      <c r="L22" s="24"/>
      <c r="M22" s="24"/>
      <c r="O22" s="248"/>
      <c r="P22" s="248"/>
      <c r="Q22" s="248"/>
      <c r="T22" s="85"/>
      <c r="Z22" s="12" t="str">
        <v>리프트</v>
      </c>
      <c r="AB22" s="21" t="s">
        <v>112</v>
      </c>
      <c r="AC22" s="18" t="s">
        <v>106</v>
      </c>
      <c r="AD22" s="18" t="s">
        <v>113</v>
      </c>
      <c r="AE22" s="18" t="s">
        <v>114</v>
      </c>
      <c r="AF22" s="18">
        <v>4</v>
      </c>
      <c r="AG22" s="18">
        <v>1</v>
      </c>
      <c r="AH22" s="102">
        <f t="shared" si="1"/>
        <v>4</v>
      </c>
      <c r="AI22" s="119">
        <v>2</v>
      </c>
      <c r="AJ22" s="119">
        <v>1</v>
      </c>
      <c r="AK22" s="241">
        <f t="shared" si="9"/>
        <v>2</v>
      </c>
      <c r="AL22" s="217" t="str" cm="1">
        <f t="array" ref="AL22">IFERROR(INDEX(_xlfn._xlws.SORT(_xlfn.UNIQUE(_xlfn._xlws.FILTER(AC$8:AC$307,AC$8:AC$307&lt;&gt;""))),15),"")</f>
        <v/>
      </c>
      <c r="AM22" s="217" t="str">
        <f t="shared" si="3"/>
        <v/>
      </c>
      <c r="AN22" s="217" t="str">
        <f t="shared" si="4"/>
        <v/>
      </c>
      <c r="AO22" s="217" t="str">
        <f t="shared" si="5"/>
        <v/>
      </c>
      <c r="AP22" s="217" t="str">
        <f t="shared" si="6"/>
        <v/>
      </c>
      <c r="AQ22" s="218" t="str">
        <f t="shared" si="7"/>
        <v/>
      </c>
      <c r="AR22" s="217" t="str">
        <f t="shared" si="8"/>
        <v/>
      </c>
    </row>
    <row r="23" spans="1:64" ht="25" customHeight="1">
      <c r="A23" s="143">
        <v>16</v>
      </c>
      <c r="B23" s="144" t="s">
        <v>5450</v>
      </c>
      <c r="C23" s="145">
        <v>69</v>
      </c>
      <c r="D23" s="146" t="s">
        <v>5990</v>
      </c>
      <c r="E23" s="134"/>
      <c r="F23" s="134" t="s">
        <v>6052</v>
      </c>
      <c r="G23" s="134"/>
      <c r="H23" s="228">
        <v>3</v>
      </c>
      <c r="I23" s="229" t="s">
        <v>5984</v>
      </c>
      <c r="J23" s="229" t="s">
        <v>6009</v>
      </c>
      <c r="K23" s="24"/>
      <c r="L23" s="24"/>
      <c r="M23" s="24"/>
      <c r="O23" s="248"/>
      <c r="P23" s="248"/>
      <c r="Q23" s="248"/>
      <c r="T23" s="85"/>
      <c r="Z23" s="12" t="str">
        <v>지게차</v>
      </c>
      <c r="AB23" s="21" t="s">
        <v>115</v>
      </c>
      <c r="AC23" s="18" t="s">
        <v>116</v>
      </c>
      <c r="AD23" s="18" t="s">
        <v>117</v>
      </c>
      <c r="AE23" s="18" t="s">
        <v>118</v>
      </c>
      <c r="AF23" s="18">
        <v>2</v>
      </c>
      <c r="AG23" s="18">
        <v>5</v>
      </c>
      <c r="AH23" s="102">
        <f t="shared" si="1"/>
        <v>10</v>
      </c>
      <c r="AI23" s="119">
        <v>1</v>
      </c>
      <c r="AJ23" s="119">
        <v>3</v>
      </c>
      <c r="AK23" s="241">
        <f t="shared" si="9"/>
        <v>3</v>
      </c>
      <c r="AL23" s="219" t="str" cm="1">
        <f t="array" ref="AL23">IFERROR(INDEX(_xlfn._xlws.SORT(_xlfn.UNIQUE(_xlfn._xlws.FILTER(AC$8:AC$307,AC$8:AC$307&lt;&gt;""))),16),"")</f>
        <v/>
      </c>
      <c r="AM23" s="219" t="str">
        <f t="shared" si="3"/>
        <v/>
      </c>
      <c r="AN23" s="219" t="str">
        <f t="shared" si="4"/>
        <v/>
      </c>
      <c r="AO23" s="219" t="str">
        <f t="shared" si="5"/>
        <v/>
      </c>
      <c r="AP23" s="219" t="str">
        <f t="shared" si="6"/>
        <v/>
      </c>
      <c r="AQ23" s="220" t="str">
        <f t="shared" si="7"/>
        <v/>
      </c>
      <c r="AR23" s="219" t="str">
        <f t="shared" si="8"/>
        <v/>
      </c>
    </row>
    <row r="24" spans="1:64" ht="25" customHeight="1">
      <c r="A24" s="135">
        <v>17</v>
      </c>
      <c r="B24" s="136" t="s">
        <v>383</v>
      </c>
      <c r="C24" s="137">
        <v>67</v>
      </c>
      <c r="D24" s="138" t="s">
        <v>5990</v>
      </c>
      <c r="E24" s="134"/>
      <c r="F24" s="134" t="s">
        <v>6047</v>
      </c>
      <c r="G24" s="134"/>
      <c r="H24" s="228">
        <v>4</v>
      </c>
      <c r="I24" s="229" t="s">
        <v>5984</v>
      </c>
      <c r="J24" s="229" t="s">
        <v>6010</v>
      </c>
      <c r="K24" s="24"/>
      <c r="L24" s="24"/>
      <c r="M24" s="24"/>
      <c r="O24" s="248"/>
      <c r="P24" s="248"/>
      <c r="Q24" s="248"/>
      <c r="T24" s="85"/>
      <c r="Z24" s="12" t="str">
        <v>분류불능</v>
      </c>
      <c r="AB24" s="21" t="s">
        <v>119</v>
      </c>
      <c r="AC24" s="18" t="s">
        <v>116</v>
      </c>
      <c r="AD24" s="18" t="s">
        <v>120</v>
      </c>
      <c r="AE24" s="18" t="s">
        <v>121</v>
      </c>
      <c r="AF24" s="18">
        <v>2</v>
      </c>
      <c r="AG24" s="18">
        <v>5</v>
      </c>
      <c r="AH24" s="102">
        <f t="shared" si="1"/>
        <v>10</v>
      </c>
      <c r="AI24" s="119">
        <v>2</v>
      </c>
      <c r="AJ24" s="119">
        <v>1</v>
      </c>
      <c r="AK24" s="241">
        <f t="shared" si="9"/>
        <v>2</v>
      </c>
      <c r="AL24" s="217" t="str" cm="1">
        <f t="array" ref="AL24">IFERROR(INDEX(_xlfn._xlws.SORT(_xlfn.UNIQUE(_xlfn._xlws.FILTER(AC$8:AC$307,AC$8:AC$307&lt;&gt;""))),17),"")</f>
        <v/>
      </c>
      <c r="AM24" s="217" t="str">
        <f t="shared" si="3"/>
        <v/>
      </c>
      <c r="AN24" s="217" t="str">
        <f t="shared" si="4"/>
        <v/>
      </c>
      <c r="AO24" s="217" t="str">
        <f t="shared" si="5"/>
        <v/>
      </c>
      <c r="AP24" s="217" t="str">
        <f t="shared" si="6"/>
        <v/>
      </c>
      <c r="AQ24" s="218" t="str">
        <f t="shared" si="7"/>
        <v/>
      </c>
      <c r="AR24" s="217" t="str">
        <f t="shared" si="8"/>
        <v/>
      </c>
    </row>
    <row r="25" spans="1:64" ht="25" customHeight="1">
      <c r="A25" s="143">
        <v>18</v>
      </c>
      <c r="B25" s="144" t="s">
        <v>5664</v>
      </c>
      <c r="C25" s="145">
        <v>65</v>
      </c>
      <c r="D25" s="146" t="s">
        <v>5991</v>
      </c>
      <c r="E25" s="134"/>
      <c r="F25" s="134"/>
      <c r="G25" s="134"/>
      <c r="H25" s="228">
        <v>5</v>
      </c>
      <c r="I25" s="229" t="s">
        <v>5984</v>
      </c>
      <c r="J25" s="229" t="s">
        <v>6011</v>
      </c>
      <c r="K25" s="24"/>
      <c r="L25" s="24"/>
      <c r="M25" s="24"/>
      <c r="O25" s="248"/>
      <c r="P25" s="248"/>
      <c r="Q25" s="248"/>
      <c r="T25" s="85"/>
      <c r="Z25" t="str">
        <v>원인미상</v>
      </c>
      <c r="AB25" s="21" t="s">
        <v>122</v>
      </c>
      <c r="AC25" s="18" t="s">
        <v>116</v>
      </c>
      <c r="AD25" s="18" t="s">
        <v>123</v>
      </c>
      <c r="AE25" s="18" t="s">
        <v>124</v>
      </c>
      <c r="AF25" s="18">
        <v>3</v>
      </c>
      <c r="AG25" s="18">
        <v>4</v>
      </c>
      <c r="AH25" s="102">
        <f t="shared" si="1"/>
        <v>12</v>
      </c>
      <c r="AI25" s="119">
        <v>1</v>
      </c>
      <c r="AJ25" s="119">
        <v>3</v>
      </c>
      <c r="AK25" s="241">
        <f t="shared" si="9"/>
        <v>3</v>
      </c>
      <c r="AL25" s="219" t="str" cm="1">
        <f t="array" ref="AL25">IFERROR(INDEX(_xlfn._xlws.SORT(_xlfn.UNIQUE(_xlfn._xlws.FILTER(AC$8:AC$307,AC$8:AC$307&lt;&gt;""))),18),"")</f>
        <v/>
      </c>
      <c r="AM25" s="219" t="str">
        <f t="shared" si="3"/>
        <v/>
      </c>
      <c r="AN25" s="219" t="str">
        <f t="shared" si="4"/>
        <v/>
      </c>
      <c r="AO25" s="219" t="str">
        <f t="shared" si="5"/>
        <v/>
      </c>
      <c r="AP25" s="219" t="str">
        <f t="shared" si="6"/>
        <v/>
      </c>
      <c r="AQ25" s="220" t="str">
        <f t="shared" si="7"/>
        <v/>
      </c>
      <c r="AR25" s="219" t="str">
        <f t="shared" si="8"/>
        <v/>
      </c>
    </row>
    <row r="26" spans="1:64" ht="25" customHeight="1">
      <c r="A26" s="139">
        <v>19</v>
      </c>
      <c r="B26" s="140" t="s">
        <v>2028</v>
      </c>
      <c r="C26" s="141">
        <v>63</v>
      </c>
      <c r="D26" s="142" t="s">
        <v>5991</v>
      </c>
      <c r="E26" s="134"/>
      <c r="F26" s="134"/>
      <c r="G26" s="134"/>
      <c r="H26" s="228">
        <v>6</v>
      </c>
      <c r="I26" s="229" t="s">
        <v>5984</v>
      </c>
      <c r="J26" s="229" t="s">
        <v>6012</v>
      </c>
      <c r="K26" s="24"/>
      <c r="L26" s="24"/>
      <c r="M26" s="24"/>
      <c r="O26" s="248"/>
      <c r="P26" s="248"/>
      <c r="Q26" s="248"/>
      <c r="T26" s="85"/>
      <c r="Z26" s="12"/>
      <c r="AB26" s="21" t="s">
        <v>125</v>
      </c>
      <c r="AC26" s="18" t="s">
        <v>126</v>
      </c>
      <c r="AD26" s="18" t="s">
        <v>127</v>
      </c>
      <c r="AE26" s="18" t="s">
        <v>128</v>
      </c>
      <c r="AF26" s="18">
        <v>3</v>
      </c>
      <c r="AG26" s="18">
        <v>5</v>
      </c>
      <c r="AH26" s="102">
        <f t="shared" si="1"/>
        <v>15</v>
      </c>
      <c r="AI26" s="119">
        <v>2</v>
      </c>
      <c r="AJ26" s="119">
        <v>1</v>
      </c>
      <c r="AK26" s="241">
        <f t="shared" si="9"/>
        <v>2</v>
      </c>
      <c r="AL26" s="217" t="str" cm="1">
        <f t="array" ref="AL26">IFERROR(INDEX(_xlfn._xlws.SORT(_xlfn.UNIQUE(_xlfn._xlws.FILTER(AC$8:AC$307,AC$8:AC$307&lt;&gt;""))),19),"")</f>
        <v/>
      </c>
      <c r="AM26" s="217" t="str">
        <f t="shared" si="3"/>
        <v/>
      </c>
      <c r="AN26" s="217" t="str">
        <f t="shared" si="4"/>
        <v/>
      </c>
      <c r="AO26" s="217" t="str">
        <f t="shared" si="5"/>
        <v/>
      </c>
      <c r="AP26" s="217" t="str">
        <f t="shared" si="6"/>
        <v/>
      </c>
      <c r="AQ26" s="218" t="str">
        <f t="shared" si="7"/>
        <v/>
      </c>
      <c r="AR26" s="217" t="str">
        <f t="shared" si="8"/>
        <v/>
      </c>
    </row>
    <row r="27" spans="1:64" ht="25" customHeight="1">
      <c r="A27" s="143">
        <v>20</v>
      </c>
      <c r="B27" s="144" t="s">
        <v>975</v>
      </c>
      <c r="C27" s="145">
        <v>61</v>
      </c>
      <c r="D27" s="146" t="s">
        <v>5991</v>
      </c>
      <c r="E27" s="134" t="s">
        <v>6001</v>
      </c>
      <c r="F27" s="134"/>
      <c r="G27" s="134"/>
      <c r="H27" s="228">
        <v>7</v>
      </c>
      <c r="I27" s="229" t="s">
        <v>5984</v>
      </c>
      <c r="J27" s="229" t="s">
        <v>6013</v>
      </c>
      <c r="K27" s="24"/>
      <c r="L27" s="24"/>
      <c r="M27" s="24"/>
      <c r="O27" s="248"/>
      <c r="P27" s="248"/>
      <c r="Q27" s="248"/>
      <c r="S27" s="12"/>
      <c r="T27" s="85"/>
      <c r="Z27" s="12"/>
      <c r="AB27" s="21" t="s">
        <v>129</v>
      </c>
      <c r="AC27" s="18" t="s">
        <v>126</v>
      </c>
      <c r="AD27" s="18" t="s">
        <v>130</v>
      </c>
      <c r="AE27" s="18" t="s">
        <v>131</v>
      </c>
      <c r="AF27" s="18">
        <v>2</v>
      </c>
      <c r="AG27" s="18">
        <v>5</v>
      </c>
      <c r="AH27" s="102">
        <f t="shared" si="1"/>
        <v>10</v>
      </c>
      <c r="AI27" s="119">
        <v>2</v>
      </c>
      <c r="AJ27" s="119">
        <v>1</v>
      </c>
      <c r="AK27" s="241">
        <f t="shared" ref="AK27:AK39" si="10">IF(AND(AI27&lt;&gt;"",AJ27&lt;&gt;""),AI27*AJ27,"")</f>
        <v>2</v>
      </c>
      <c r="AL27" s="219" t="str" cm="1">
        <f t="array" ref="AL27">IFERROR(INDEX(_xlfn._xlws.SORT(_xlfn.UNIQUE(_xlfn._xlws.FILTER(AC$8:AC$307,AC$8:AC$307&lt;&gt;""))),20),"")</f>
        <v/>
      </c>
      <c r="AM27" s="219" t="str">
        <f t="shared" si="3"/>
        <v/>
      </c>
      <c r="AN27" s="219" t="str">
        <f t="shared" si="4"/>
        <v/>
      </c>
      <c r="AO27" s="219" t="str">
        <f t="shared" si="5"/>
        <v/>
      </c>
      <c r="AP27" s="219" t="str">
        <f t="shared" si="6"/>
        <v/>
      </c>
      <c r="AQ27" s="220" t="str">
        <f t="shared" si="7"/>
        <v/>
      </c>
      <c r="AR27" s="219" t="str">
        <f t="shared" si="8"/>
        <v/>
      </c>
    </row>
    <row r="28" spans="1:64" ht="25" customHeight="1">
      <c r="A28" s="139">
        <v>21</v>
      </c>
      <c r="B28" s="140" t="s">
        <v>5760</v>
      </c>
      <c r="C28" s="141">
        <v>50</v>
      </c>
      <c r="D28" s="142" t="s">
        <v>5990</v>
      </c>
      <c r="E28" s="134"/>
      <c r="F28" s="134"/>
      <c r="G28" s="134"/>
      <c r="H28" s="228">
        <v>8</v>
      </c>
      <c r="I28" s="229" t="s">
        <v>5984</v>
      </c>
      <c r="J28" s="229" t="s">
        <v>6014</v>
      </c>
      <c r="K28" s="24"/>
      <c r="L28" s="24"/>
      <c r="M28" s="24"/>
      <c r="O28" s="248"/>
      <c r="P28" s="248"/>
      <c r="Q28" s="248"/>
      <c r="S28" s="12"/>
      <c r="T28" s="85"/>
      <c r="Z28" s="12"/>
      <c r="AB28" s="21" t="s">
        <v>54</v>
      </c>
      <c r="AC28" s="18" t="s">
        <v>78</v>
      </c>
      <c r="AD28" s="18" t="s">
        <v>79</v>
      </c>
      <c r="AE28" s="18" t="s">
        <v>80</v>
      </c>
      <c r="AF28" s="18">
        <v>2</v>
      </c>
      <c r="AG28" s="18">
        <v>5</v>
      </c>
      <c r="AH28" s="102">
        <f t="shared" si="1"/>
        <v>10</v>
      </c>
      <c r="AI28" s="106">
        <v>2</v>
      </c>
      <c r="AJ28" s="106">
        <v>1</v>
      </c>
      <c r="AK28" s="241">
        <f t="shared" si="10"/>
        <v>2</v>
      </c>
      <c r="AL28" s="217" t="str" cm="1">
        <f t="array" ref="AL28">IFERROR(INDEX(_xlfn._xlws.SORT(_xlfn.UNIQUE(_xlfn._xlws.FILTER(AC$8:AC$307,AC$8:AC$307&lt;&gt;""))),21),"")</f>
        <v/>
      </c>
      <c r="AM28" s="217" t="str">
        <f t="shared" si="3"/>
        <v/>
      </c>
      <c r="AN28" s="217" t="str">
        <f t="shared" si="4"/>
        <v/>
      </c>
      <c r="AO28" s="217" t="str">
        <f t="shared" si="5"/>
        <v/>
      </c>
      <c r="AP28" s="217" t="str">
        <f t="shared" si="6"/>
        <v/>
      </c>
      <c r="AQ28" s="218" t="str">
        <f t="shared" si="7"/>
        <v/>
      </c>
      <c r="AR28" s="217" t="str">
        <f t="shared" si="8"/>
        <v/>
      </c>
    </row>
    <row r="29" spans="1:64" ht="25" customHeight="1">
      <c r="A29" s="143">
        <v>22</v>
      </c>
      <c r="B29" s="144" t="s">
        <v>3156</v>
      </c>
      <c r="C29" s="145">
        <v>47</v>
      </c>
      <c r="D29" s="146" t="s">
        <v>5990</v>
      </c>
      <c r="E29" s="134"/>
      <c r="F29" s="134"/>
      <c r="G29" s="134"/>
      <c r="H29" s="228">
        <v>9</v>
      </c>
      <c r="I29" s="229" t="s">
        <v>5984</v>
      </c>
      <c r="J29" s="229" t="s">
        <v>6015</v>
      </c>
      <c r="K29" s="24"/>
      <c r="L29" s="24"/>
      <c r="M29" s="24"/>
      <c r="O29" s="248"/>
      <c r="P29" s="248"/>
      <c r="Q29" s="248"/>
      <c r="S29" s="12"/>
      <c r="T29" s="85"/>
      <c r="AB29" s="21" t="s">
        <v>55</v>
      </c>
      <c r="AC29" s="18" t="s">
        <v>78</v>
      </c>
      <c r="AD29" s="18" t="s">
        <v>81</v>
      </c>
      <c r="AE29" s="18" t="s">
        <v>82</v>
      </c>
      <c r="AF29" s="18">
        <v>2</v>
      </c>
      <c r="AG29" s="18">
        <v>4</v>
      </c>
      <c r="AH29" s="102">
        <f t="shared" si="1"/>
        <v>8</v>
      </c>
      <c r="AI29" s="106">
        <v>1</v>
      </c>
      <c r="AJ29" s="106">
        <v>3</v>
      </c>
      <c r="AK29" s="241">
        <f t="shared" si="10"/>
        <v>3</v>
      </c>
      <c r="AL29" s="219" t="str" cm="1">
        <f t="array" ref="AL29">IFERROR(INDEX(_xlfn._xlws.SORT(_xlfn.UNIQUE(_xlfn._xlws.FILTER(AC$8:AC$307,AC$8:AC$307&lt;&gt;""))),22),"")</f>
        <v/>
      </c>
      <c r="AM29" s="219" t="str">
        <f t="shared" si="3"/>
        <v/>
      </c>
      <c r="AN29" s="219" t="str">
        <f t="shared" si="4"/>
        <v/>
      </c>
      <c r="AO29" s="219" t="str">
        <f t="shared" si="5"/>
        <v/>
      </c>
      <c r="AP29" s="219" t="str">
        <f t="shared" si="6"/>
        <v/>
      </c>
      <c r="AQ29" s="220" t="str">
        <f t="shared" si="7"/>
        <v/>
      </c>
      <c r="AR29" s="219" t="str">
        <f t="shared" si="8"/>
        <v/>
      </c>
    </row>
    <row r="30" spans="1:64" ht="25" customHeight="1">
      <c r="A30" s="139">
        <v>23</v>
      </c>
      <c r="B30" s="140" t="s">
        <v>173</v>
      </c>
      <c r="C30" s="141">
        <v>39</v>
      </c>
      <c r="D30" s="142" t="s">
        <v>5990</v>
      </c>
      <c r="E30" s="134"/>
      <c r="F30" s="134"/>
      <c r="G30" s="134"/>
      <c r="H30" s="228">
        <v>10</v>
      </c>
      <c r="I30" s="229" t="s">
        <v>5984</v>
      </c>
      <c r="J30" s="229" t="s">
        <v>6016</v>
      </c>
      <c r="K30" s="24"/>
      <c r="L30" s="24"/>
      <c r="M30" s="24"/>
      <c r="O30" s="248"/>
      <c r="P30" s="248"/>
      <c r="Q30" s="248"/>
      <c r="S30" s="12"/>
      <c r="T30" s="85"/>
      <c r="AB30" s="21" t="s">
        <v>56</v>
      </c>
      <c r="AC30" s="18" t="s">
        <v>78</v>
      </c>
      <c r="AD30" s="18" t="s">
        <v>83</v>
      </c>
      <c r="AE30" s="18" t="s">
        <v>84</v>
      </c>
      <c r="AF30" s="18">
        <v>3</v>
      </c>
      <c r="AG30" s="18">
        <v>5</v>
      </c>
      <c r="AH30" s="102">
        <f t="shared" si="1"/>
        <v>15</v>
      </c>
      <c r="AI30" s="106">
        <v>2</v>
      </c>
      <c r="AJ30" s="106">
        <v>1</v>
      </c>
      <c r="AK30" s="241">
        <f t="shared" si="10"/>
        <v>2</v>
      </c>
      <c r="AL30" s="217" t="str" cm="1">
        <f t="array" ref="AL30">IFERROR(INDEX(_xlfn._xlws.SORT(_xlfn.UNIQUE(_xlfn._xlws.FILTER(AC$8:AC$307,AC$8:AC$307&lt;&gt;""))),23),"")</f>
        <v/>
      </c>
      <c r="AM30" s="217" t="str">
        <f t="shared" si="3"/>
        <v/>
      </c>
      <c r="AN30" s="217" t="str">
        <f t="shared" si="4"/>
        <v/>
      </c>
      <c r="AO30" s="217" t="str">
        <f t="shared" si="5"/>
        <v/>
      </c>
      <c r="AP30" s="217" t="str">
        <f t="shared" si="6"/>
        <v/>
      </c>
      <c r="AQ30" s="218" t="str">
        <f t="shared" si="7"/>
        <v/>
      </c>
      <c r="AR30" s="217" t="str">
        <f t="shared" si="8"/>
        <v/>
      </c>
    </row>
    <row r="31" spans="1:64" ht="25" customHeight="1">
      <c r="A31" s="143">
        <v>24</v>
      </c>
      <c r="B31" s="144" t="s">
        <v>2013</v>
      </c>
      <c r="C31" s="145">
        <v>38</v>
      </c>
      <c r="D31" s="146" t="s">
        <v>5991</v>
      </c>
      <c r="E31" s="134"/>
      <c r="F31" s="134" t="s">
        <v>6047</v>
      </c>
      <c r="G31" s="134"/>
      <c r="H31" s="228">
        <v>11</v>
      </c>
      <c r="I31" s="229" t="s">
        <v>5984</v>
      </c>
      <c r="J31" s="229" t="s">
        <v>6017</v>
      </c>
      <c r="K31" s="24"/>
      <c r="L31" s="24"/>
      <c r="M31" s="24"/>
      <c r="T31" s="85"/>
      <c r="AB31" s="21" t="s">
        <v>57</v>
      </c>
      <c r="AC31" s="18" t="s">
        <v>85</v>
      </c>
      <c r="AD31" s="18" t="s">
        <v>139</v>
      </c>
      <c r="AE31" s="18" t="s">
        <v>86</v>
      </c>
      <c r="AF31" s="18">
        <v>3</v>
      </c>
      <c r="AG31" s="18">
        <v>2</v>
      </c>
      <c r="AH31" s="102">
        <f t="shared" si="1"/>
        <v>6</v>
      </c>
      <c r="AI31" s="106">
        <v>1</v>
      </c>
      <c r="AJ31" s="106">
        <v>3</v>
      </c>
      <c r="AK31" s="241">
        <f t="shared" si="10"/>
        <v>3</v>
      </c>
      <c r="AL31" s="219" t="str" cm="1">
        <f t="array" ref="AL31">IFERROR(INDEX(_xlfn._xlws.SORT(_xlfn.UNIQUE(_xlfn._xlws.FILTER(AC$8:AC$307,AC$8:AC$307&lt;&gt;""))),24),"")</f>
        <v/>
      </c>
      <c r="AM31" s="219" t="str">
        <f t="shared" si="3"/>
        <v/>
      </c>
      <c r="AN31" s="219" t="str">
        <f t="shared" si="4"/>
        <v/>
      </c>
      <c r="AO31" s="219" t="str">
        <f t="shared" si="5"/>
        <v/>
      </c>
      <c r="AP31" s="219" t="str">
        <f t="shared" si="6"/>
        <v/>
      </c>
      <c r="AQ31" s="220" t="str">
        <f t="shared" si="7"/>
        <v/>
      </c>
      <c r="AR31" s="219" t="str">
        <f t="shared" si="8"/>
        <v/>
      </c>
    </row>
    <row r="32" spans="1:64" ht="25" customHeight="1">
      <c r="A32" s="139">
        <v>25</v>
      </c>
      <c r="B32" s="140" t="s">
        <v>3961</v>
      </c>
      <c r="C32" s="141">
        <v>38</v>
      </c>
      <c r="D32" s="142" t="s">
        <v>5991</v>
      </c>
      <c r="E32" s="134"/>
      <c r="F32" s="134"/>
      <c r="G32" s="134"/>
      <c r="H32" s="228">
        <v>12</v>
      </c>
      <c r="I32" s="229" t="s">
        <v>5984</v>
      </c>
      <c r="J32" s="229" t="s">
        <v>6018</v>
      </c>
      <c r="K32" s="24"/>
      <c r="L32" s="24"/>
      <c r="M32" s="24"/>
      <c r="T32" s="85"/>
      <c r="AB32" s="21" t="s">
        <v>58</v>
      </c>
      <c r="AC32" s="18" t="s">
        <v>85</v>
      </c>
      <c r="AD32" s="18" t="s">
        <v>140</v>
      </c>
      <c r="AE32" s="18" t="s">
        <v>87</v>
      </c>
      <c r="AF32" s="18">
        <v>2</v>
      </c>
      <c r="AG32" s="18">
        <v>3</v>
      </c>
      <c r="AH32" s="102">
        <f t="shared" si="1"/>
        <v>6</v>
      </c>
      <c r="AI32" s="106">
        <v>2</v>
      </c>
      <c r="AJ32" s="106">
        <v>1</v>
      </c>
      <c r="AK32" s="241">
        <f t="shared" si="10"/>
        <v>2</v>
      </c>
      <c r="AL32" s="217" t="str" cm="1">
        <f t="array" ref="AL32">IFERROR(INDEX(_xlfn._xlws.SORT(_xlfn.UNIQUE(_xlfn._xlws.FILTER(AC$8:AC$307,AC$8:AC$307&lt;&gt;""))),25),"")</f>
        <v/>
      </c>
      <c r="AM32" s="217" t="str">
        <f t="shared" si="3"/>
        <v/>
      </c>
      <c r="AN32" s="217" t="str">
        <f t="shared" si="4"/>
        <v/>
      </c>
      <c r="AO32" s="217" t="str">
        <f t="shared" si="5"/>
        <v/>
      </c>
      <c r="AP32" s="217" t="str">
        <f t="shared" si="6"/>
        <v/>
      </c>
      <c r="AQ32" s="218" t="str">
        <f t="shared" si="7"/>
        <v/>
      </c>
      <c r="AR32" s="217" t="str">
        <f t="shared" si="8"/>
        <v/>
      </c>
    </row>
    <row r="33" spans="1:44" ht="25" customHeight="1">
      <c r="A33" s="143">
        <v>26</v>
      </c>
      <c r="B33" s="144" t="s">
        <v>1007</v>
      </c>
      <c r="C33" s="145">
        <v>32</v>
      </c>
      <c r="D33" s="146" t="s">
        <v>5991</v>
      </c>
      <c r="E33" s="134" t="s">
        <v>6001</v>
      </c>
      <c r="F33" s="134"/>
      <c r="G33" s="134"/>
      <c r="H33" s="228">
        <v>13</v>
      </c>
      <c r="I33" s="229" t="s">
        <v>5984</v>
      </c>
      <c r="J33" s="229" t="s">
        <v>6019</v>
      </c>
      <c r="K33" s="24"/>
      <c r="L33" s="24"/>
      <c r="M33" s="24"/>
      <c r="T33" s="85"/>
      <c r="AB33" s="21" t="s">
        <v>59</v>
      </c>
      <c r="AC33" s="18" t="s">
        <v>85</v>
      </c>
      <c r="AD33" s="18" t="s">
        <v>88</v>
      </c>
      <c r="AE33" s="18" t="s">
        <v>89</v>
      </c>
      <c r="AF33" s="18">
        <v>2</v>
      </c>
      <c r="AG33" s="18">
        <v>3</v>
      </c>
      <c r="AH33" s="102">
        <f t="shared" si="1"/>
        <v>6</v>
      </c>
      <c r="AI33" s="106">
        <v>1</v>
      </c>
      <c r="AJ33" s="106">
        <v>3</v>
      </c>
      <c r="AK33" s="241">
        <f t="shared" si="10"/>
        <v>3</v>
      </c>
      <c r="AL33" s="219" t="str" cm="1">
        <f t="array" ref="AL33">IFERROR(INDEX(_xlfn._xlws.SORT(_xlfn.UNIQUE(_xlfn._xlws.FILTER(AC$8:AC$307,AC$8:AC$307&lt;&gt;""))),26),"")</f>
        <v/>
      </c>
      <c r="AM33" s="219" t="str">
        <f t="shared" si="3"/>
        <v/>
      </c>
      <c r="AN33" s="219" t="str">
        <f t="shared" si="4"/>
        <v/>
      </c>
      <c r="AO33" s="219" t="str">
        <f t="shared" si="5"/>
        <v/>
      </c>
      <c r="AP33" s="219" t="str">
        <f t="shared" si="6"/>
        <v/>
      </c>
      <c r="AQ33" s="220" t="str">
        <f t="shared" si="7"/>
        <v/>
      </c>
      <c r="AR33" s="219" t="str">
        <f t="shared" si="8"/>
        <v/>
      </c>
    </row>
    <row r="34" spans="1:44" ht="25" customHeight="1">
      <c r="A34" s="139">
        <v>27</v>
      </c>
      <c r="B34" s="140" t="s">
        <v>1364</v>
      </c>
      <c r="C34" s="141">
        <v>32</v>
      </c>
      <c r="D34" s="142" t="s">
        <v>5990</v>
      </c>
      <c r="E34" s="134" t="s">
        <v>6001</v>
      </c>
      <c r="F34" s="134"/>
      <c r="G34" s="134"/>
      <c r="H34" s="228">
        <v>14</v>
      </c>
      <c r="I34" s="229" t="s">
        <v>5984</v>
      </c>
      <c r="J34" s="229" t="s">
        <v>6020</v>
      </c>
      <c r="K34" s="24"/>
      <c r="L34" s="24"/>
      <c r="M34" s="24"/>
      <c r="T34" s="85"/>
      <c r="AB34" s="21" t="s">
        <v>60</v>
      </c>
      <c r="AC34" s="18" t="s">
        <v>90</v>
      </c>
      <c r="AD34" s="18" t="s">
        <v>91</v>
      </c>
      <c r="AE34" s="18" t="s">
        <v>92</v>
      </c>
      <c r="AF34" s="18">
        <v>3</v>
      </c>
      <c r="AG34" s="18">
        <v>4</v>
      </c>
      <c r="AH34" s="102">
        <f t="shared" si="1"/>
        <v>12</v>
      </c>
      <c r="AI34" s="106">
        <v>2</v>
      </c>
      <c r="AJ34" s="106">
        <v>1</v>
      </c>
      <c r="AK34" s="241">
        <f t="shared" si="10"/>
        <v>2</v>
      </c>
      <c r="AL34" s="217" t="str" cm="1">
        <f t="array" ref="AL34">IFERROR(INDEX(_xlfn._xlws.SORT(_xlfn.UNIQUE(_xlfn._xlws.FILTER(AC$8:AC$307,AC$8:AC$307&lt;&gt;""))),27),"")</f>
        <v/>
      </c>
      <c r="AM34" s="217" t="str">
        <f t="shared" si="3"/>
        <v/>
      </c>
      <c r="AN34" s="217" t="str">
        <f t="shared" si="4"/>
        <v/>
      </c>
      <c r="AO34" s="217" t="str">
        <f t="shared" si="5"/>
        <v/>
      </c>
      <c r="AP34" s="217" t="str">
        <f t="shared" si="6"/>
        <v/>
      </c>
      <c r="AQ34" s="218" t="str">
        <f t="shared" si="7"/>
        <v/>
      </c>
      <c r="AR34" s="217" t="str">
        <f t="shared" si="8"/>
        <v/>
      </c>
    </row>
    <row r="35" spans="1:44" ht="25" customHeight="1">
      <c r="A35" s="143">
        <v>28</v>
      </c>
      <c r="B35" s="144" t="s">
        <v>2617</v>
      </c>
      <c r="C35" s="145">
        <v>32</v>
      </c>
      <c r="D35" s="146" t="s">
        <v>5991</v>
      </c>
      <c r="E35" s="134"/>
      <c r="F35" s="134" t="s">
        <v>6047</v>
      </c>
      <c r="G35" s="134"/>
      <c r="H35" s="228">
        <v>15</v>
      </c>
      <c r="I35" s="229" t="s">
        <v>5984</v>
      </c>
      <c r="J35" s="229" t="s">
        <v>6021</v>
      </c>
      <c r="K35" s="24"/>
      <c r="L35" s="24"/>
      <c r="M35" s="24"/>
      <c r="T35" s="85"/>
      <c r="AB35" s="21" t="s">
        <v>61</v>
      </c>
      <c r="AC35" s="18" t="s">
        <v>90</v>
      </c>
      <c r="AD35" s="18" t="s">
        <v>93</v>
      </c>
      <c r="AE35" s="18" t="s">
        <v>94</v>
      </c>
      <c r="AF35" s="18">
        <v>2</v>
      </c>
      <c r="AG35" s="18">
        <v>2</v>
      </c>
      <c r="AH35" s="102">
        <f t="shared" si="1"/>
        <v>4</v>
      </c>
      <c r="AI35" s="106">
        <v>1</v>
      </c>
      <c r="AJ35" s="106">
        <v>3</v>
      </c>
      <c r="AK35" s="241">
        <f t="shared" si="10"/>
        <v>3</v>
      </c>
      <c r="AL35" s="219" t="str" cm="1">
        <f t="array" ref="AL35">IFERROR(INDEX(_xlfn._xlws.SORT(_xlfn.UNIQUE(_xlfn._xlws.FILTER(AC$8:AC$307,AC$8:AC$307&lt;&gt;""))),28),"")</f>
        <v/>
      </c>
      <c r="AM35" s="219" t="str">
        <f t="shared" si="3"/>
        <v/>
      </c>
      <c r="AN35" s="219" t="str">
        <f t="shared" si="4"/>
        <v/>
      </c>
      <c r="AO35" s="219" t="str">
        <f t="shared" si="5"/>
        <v/>
      </c>
      <c r="AP35" s="219" t="str">
        <f t="shared" si="6"/>
        <v/>
      </c>
      <c r="AQ35" s="220" t="str">
        <f t="shared" si="7"/>
        <v/>
      </c>
      <c r="AR35" s="219" t="str">
        <f t="shared" si="8"/>
        <v/>
      </c>
    </row>
    <row r="36" spans="1:44" ht="25" customHeight="1">
      <c r="A36" s="139">
        <v>29</v>
      </c>
      <c r="B36" s="140" t="s">
        <v>5446</v>
      </c>
      <c r="C36" s="141">
        <v>32</v>
      </c>
      <c r="D36" s="142" t="s">
        <v>5990</v>
      </c>
      <c r="E36" s="134"/>
      <c r="F36" s="134"/>
      <c r="G36" s="134"/>
      <c r="H36" s="228">
        <v>16</v>
      </c>
      <c r="I36" s="229" t="s">
        <v>5984</v>
      </c>
      <c r="J36" s="229" t="s">
        <v>6022</v>
      </c>
      <c r="K36" s="24"/>
      <c r="L36" s="24"/>
      <c r="M36" s="24"/>
      <c r="T36" s="85"/>
      <c r="AB36" s="21" t="s">
        <v>95</v>
      </c>
      <c r="AC36" s="18" t="s">
        <v>90</v>
      </c>
      <c r="AD36" s="18" t="s">
        <v>96</v>
      </c>
      <c r="AE36" s="18" t="s">
        <v>97</v>
      </c>
      <c r="AF36" s="18">
        <v>3</v>
      </c>
      <c r="AG36" s="18">
        <v>2</v>
      </c>
      <c r="AH36" s="102">
        <f t="shared" si="1"/>
        <v>6</v>
      </c>
      <c r="AI36" s="106">
        <v>2</v>
      </c>
      <c r="AJ36" s="106">
        <v>1</v>
      </c>
      <c r="AK36" s="241">
        <f t="shared" si="10"/>
        <v>2</v>
      </c>
      <c r="AL36" s="217" t="str" cm="1">
        <f t="array" ref="AL36">IFERROR(INDEX(_xlfn._xlws.SORT(_xlfn.UNIQUE(_xlfn._xlws.FILTER(AC$8:AC$307,AC$8:AC$307&lt;&gt;""))),29),"")</f>
        <v/>
      </c>
      <c r="AM36" s="217" t="str">
        <f t="shared" si="3"/>
        <v/>
      </c>
      <c r="AN36" s="217" t="str">
        <f t="shared" si="4"/>
        <v/>
      </c>
      <c r="AO36" s="217" t="str">
        <f t="shared" si="5"/>
        <v/>
      </c>
      <c r="AP36" s="217" t="str">
        <f t="shared" si="6"/>
        <v/>
      </c>
      <c r="AQ36" s="218" t="str">
        <f t="shared" si="7"/>
        <v/>
      </c>
      <c r="AR36" s="217" t="str">
        <f t="shared" si="8"/>
        <v/>
      </c>
    </row>
    <row r="37" spans="1:44" ht="25" customHeight="1">
      <c r="A37" s="134">
        <v>30</v>
      </c>
      <c r="B37" s="147" t="s">
        <v>2035</v>
      </c>
      <c r="C37" s="148">
        <v>31</v>
      </c>
      <c r="D37" s="149" t="s">
        <v>5990</v>
      </c>
      <c r="E37" s="150"/>
      <c r="F37" s="150"/>
      <c r="G37" s="150"/>
      <c r="H37" s="228">
        <v>17</v>
      </c>
      <c r="I37" s="229" t="s">
        <v>5984</v>
      </c>
      <c r="J37" s="229" t="s">
        <v>6023</v>
      </c>
      <c r="K37" s="24"/>
      <c r="L37" s="24"/>
      <c r="M37" s="24"/>
      <c r="AB37" s="21" t="s">
        <v>62</v>
      </c>
      <c r="AC37" s="18" t="s">
        <v>98</v>
      </c>
      <c r="AD37" s="18" t="s">
        <v>99</v>
      </c>
      <c r="AE37" s="18" t="s">
        <v>100</v>
      </c>
      <c r="AF37" s="18">
        <v>3</v>
      </c>
      <c r="AG37" s="18">
        <v>5</v>
      </c>
      <c r="AH37" s="102">
        <f t="shared" si="1"/>
        <v>15</v>
      </c>
      <c r="AI37" s="106">
        <v>1</v>
      </c>
      <c r="AJ37" s="106">
        <v>3</v>
      </c>
      <c r="AK37" s="241">
        <f t="shared" si="10"/>
        <v>3</v>
      </c>
      <c r="AL37" s="219" t="str" cm="1">
        <f t="array" ref="AL37">IFERROR(INDEX(_xlfn._xlws.SORT(_xlfn.UNIQUE(_xlfn._xlws.FILTER(AC$8:AC$307,AC$8:AC$307&lt;&gt;""))),30),"")</f>
        <v/>
      </c>
      <c r="AM37" s="219" t="str">
        <f t="shared" si="3"/>
        <v/>
      </c>
      <c r="AN37" s="219" t="str">
        <f t="shared" si="4"/>
        <v/>
      </c>
      <c r="AO37" s="219" t="str">
        <f t="shared" si="5"/>
        <v/>
      </c>
      <c r="AP37" s="219" t="str">
        <f t="shared" si="6"/>
        <v/>
      </c>
      <c r="AQ37" s="220" t="str">
        <f t="shared" si="7"/>
        <v/>
      </c>
      <c r="AR37" s="219" t="str">
        <f t="shared" si="8"/>
        <v/>
      </c>
    </row>
    <row r="38" spans="1:44" ht="25" customHeight="1">
      <c r="A38" s="135">
        <v>31</v>
      </c>
      <c r="B38" s="136" t="s">
        <v>1064</v>
      </c>
      <c r="C38" s="137">
        <v>30</v>
      </c>
      <c r="D38" s="149" t="s">
        <v>5991</v>
      </c>
      <c r="E38" s="134" t="s">
        <v>6001</v>
      </c>
      <c r="F38" s="134"/>
      <c r="G38" s="134"/>
      <c r="H38" s="228">
        <v>18</v>
      </c>
      <c r="I38" s="229" t="s">
        <v>5984</v>
      </c>
      <c r="J38" s="229" t="s">
        <v>6024</v>
      </c>
      <c r="K38" s="24"/>
      <c r="L38" s="24"/>
      <c r="M38" s="24"/>
      <c r="AB38" s="21" t="s">
        <v>63</v>
      </c>
      <c r="AC38" s="18" t="s">
        <v>98</v>
      </c>
      <c r="AD38" s="18" t="s">
        <v>101</v>
      </c>
      <c r="AE38" s="18" t="s">
        <v>102</v>
      </c>
      <c r="AF38" s="18">
        <v>2</v>
      </c>
      <c r="AG38" s="18">
        <v>5</v>
      </c>
      <c r="AH38" s="102">
        <f t="shared" si="1"/>
        <v>10</v>
      </c>
      <c r="AI38" s="106">
        <v>2</v>
      </c>
      <c r="AJ38" s="106">
        <v>1</v>
      </c>
      <c r="AK38" s="241">
        <f t="shared" si="10"/>
        <v>2</v>
      </c>
      <c r="AL38" s="217" t="str" cm="1">
        <f t="array" ref="AL38">IFERROR(INDEX(_xlfn._xlws.SORT(_xlfn.UNIQUE(_xlfn._xlws.FILTER(AC$8:AC$307,AC$8:AC$307&lt;&gt;""))),31),"")</f>
        <v/>
      </c>
      <c r="AM38" s="217" t="str">
        <f t="shared" si="3"/>
        <v/>
      </c>
      <c r="AN38" s="217" t="str">
        <f t="shared" si="4"/>
        <v/>
      </c>
      <c r="AO38" s="217" t="str">
        <f t="shared" si="5"/>
        <v/>
      </c>
      <c r="AP38" s="217" t="str">
        <f t="shared" si="6"/>
        <v/>
      </c>
      <c r="AQ38" s="218" t="str">
        <f t="shared" si="7"/>
        <v/>
      </c>
      <c r="AR38" s="217" t="str">
        <f t="shared" si="8"/>
        <v/>
      </c>
    </row>
    <row r="39" spans="1:44" ht="25" customHeight="1">
      <c r="A39" s="139">
        <v>32</v>
      </c>
      <c r="B39" s="140" t="s">
        <v>5883</v>
      </c>
      <c r="C39" s="141">
        <v>30</v>
      </c>
      <c r="D39" s="149" t="s">
        <v>5990</v>
      </c>
      <c r="E39" s="150"/>
      <c r="F39" s="150"/>
      <c r="G39" s="150"/>
      <c r="H39" s="228">
        <v>19</v>
      </c>
      <c r="I39" s="229" t="s">
        <v>5984</v>
      </c>
      <c r="J39" s="229" t="s">
        <v>6025</v>
      </c>
      <c r="K39" s="24"/>
      <c r="L39" s="24"/>
      <c r="M39" s="24"/>
      <c r="AB39" s="21" t="s">
        <v>64</v>
      </c>
      <c r="AC39" s="18" t="s">
        <v>98</v>
      </c>
      <c r="AD39" s="18" t="s">
        <v>103</v>
      </c>
      <c r="AE39" s="18" t="s">
        <v>104</v>
      </c>
      <c r="AF39" s="18">
        <v>2</v>
      </c>
      <c r="AG39" s="18">
        <v>3</v>
      </c>
      <c r="AH39" s="102">
        <f t="shared" si="1"/>
        <v>6</v>
      </c>
      <c r="AI39" s="106">
        <v>1</v>
      </c>
      <c r="AJ39" s="106">
        <v>3</v>
      </c>
      <c r="AK39" s="241">
        <f t="shared" si="10"/>
        <v>3</v>
      </c>
      <c r="AL39" s="219" t="str" cm="1">
        <f t="array" ref="AL39">IFERROR(INDEX(_xlfn._xlws.SORT(_xlfn.UNIQUE(_xlfn._xlws.FILTER(AC$8:AC$307,AC$8:AC$307&lt;&gt;""))),32),"")</f>
        <v/>
      </c>
      <c r="AM39" s="219" t="str">
        <f t="shared" si="3"/>
        <v/>
      </c>
      <c r="AN39" s="219" t="str">
        <f t="shared" si="4"/>
        <v/>
      </c>
      <c r="AO39" s="219" t="str">
        <f t="shared" si="5"/>
        <v/>
      </c>
      <c r="AP39" s="219" t="str">
        <f t="shared" si="6"/>
        <v/>
      </c>
      <c r="AQ39" s="220" t="str">
        <f t="shared" si="7"/>
        <v/>
      </c>
      <c r="AR39" s="219" t="str">
        <f t="shared" si="8"/>
        <v/>
      </c>
    </row>
    <row r="40" spans="1:44" ht="25" customHeight="1">
      <c r="A40" s="139">
        <v>33</v>
      </c>
      <c r="B40" s="140" t="s">
        <v>4765</v>
      </c>
      <c r="C40" s="141">
        <v>25</v>
      </c>
      <c r="D40" s="149" t="s">
        <v>5990</v>
      </c>
      <c r="E40" s="150"/>
      <c r="F40" s="150"/>
      <c r="G40" s="150"/>
      <c r="H40" s="228">
        <v>20</v>
      </c>
      <c r="I40" s="229" t="s">
        <v>5984</v>
      </c>
      <c r="J40" s="229" t="s">
        <v>6026</v>
      </c>
      <c r="K40" s="24"/>
      <c r="L40" s="24"/>
      <c r="M40" s="24"/>
      <c r="AB40" s="21" t="s">
        <v>105</v>
      </c>
      <c r="AC40" s="18" t="s">
        <v>106</v>
      </c>
      <c r="AD40" s="18" t="s">
        <v>107</v>
      </c>
      <c r="AE40" s="18" t="s">
        <v>108</v>
      </c>
      <c r="AF40" s="18">
        <v>3</v>
      </c>
      <c r="AG40" s="18">
        <v>3</v>
      </c>
      <c r="AH40" s="102">
        <f t="shared" si="1"/>
        <v>9</v>
      </c>
      <c r="AI40" s="119">
        <v>2</v>
      </c>
      <c r="AJ40" s="119">
        <v>1</v>
      </c>
      <c r="AK40" s="241">
        <f t="shared" ref="AK40:AK57" si="11">IF(AND(AI40&lt;&gt;"",AJ40&lt;&gt;""),AI40*AJ40,"")</f>
        <v>2</v>
      </c>
      <c r="AL40" s="217" t="str" cm="1">
        <f t="array" ref="AL40">IFERROR(INDEX(_xlfn._xlws.SORT(_xlfn.UNIQUE(_xlfn._xlws.FILTER(AC$8:AC$307,AC$8:AC$307&lt;&gt;""))),33),"")</f>
        <v/>
      </c>
      <c r="AM40" s="217" t="str">
        <f t="shared" ref="AM40:AM57" si="12">IF(AL40="","",COUNTIF(AC$8:AC$307,AL40))</f>
        <v/>
      </c>
      <c r="AN40" s="217" t="str">
        <f t="shared" ref="AN40:AN57" si="13">IF(AL40="","",COUNTIFS(AC$8:AC$307,AL40,AH$8:AH$307,"&gt;="&amp;9))</f>
        <v/>
      </c>
      <c r="AO40" s="217" t="str">
        <f t="shared" ref="AO40:AO57" si="14">IF(AL40="","",IFERROR(ROUND(AVERAGEIFS(AH$8:AH$307,AC$8:AC$307,AL40,AH$8:AH$307,"&lt;&gt;"),1),"-"))</f>
        <v/>
      </c>
      <c r="AP40" s="217" t="str">
        <f t="shared" ref="AP40:AP57" si="15">IF(AL40="","",IFERROR(ROUND(AVERAGEIFS(AK$8:AK$307,AC$8:AC$307,AL40,AK$8:AK$307,"&lt;&gt;"),1),"-"))</f>
        <v/>
      </c>
      <c r="AQ40" s="218" t="str">
        <f t="shared" ref="AQ40:AQ57" si="16">IF(OR(AL40="",AO40="-",AP40="-"),"",IF(AO40=0,0,(AO40-AP40)/AO40))</f>
        <v/>
      </c>
      <c r="AR40" s="217" t="str">
        <f t="shared" ref="AR40:AR57" si="17">IF(AL40="","",IF(AO40="-","미입력",IF(AP40="-",IF(AO40&gt;=9,"고위험⚠",IF(AO40&gt;=6,"중위험⚠","저위험⚠")),IF(AO40&gt;=9,"고위험",IF(AO40&gt;=6,"중위험","저위험")))))</f>
        <v/>
      </c>
    </row>
    <row r="41" spans="1:44" ht="25" customHeight="1">
      <c r="A41" s="139">
        <v>34</v>
      </c>
      <c r="B41" s="140" t="s">
        <v>3305</v>
      </c>
      <c r="C41" s="141">
        <v>24</v>
      </c>
      <c r="D41" s="149" t="s">
        <v>5991</v>
      </c>
      <c r="E41" s="134" t="s">
        <v>6001</v>
      </c>
      <c r="F41" s="134" t="s">
        <v>6047</v>
      </c>
      <c r="G41" s="134"/>
      <c r="H41" s="228">
        <v>21</v>
      </c>
      <c r="I41" s="229" t="s">
        <v>5984</v>
      </c>
      <c r="J41" s="229" t="s">
        <v>6027</v>
      </c>
      <c r="K41" s="24"/>
      <c r="L41" s="24"/>
      <c r="M41" s="24"/>
      <c r="AB41" s="21" t="s">
        <v>109</v>
      </c>
      <c r="AC41" s="18" t="s">
        <v>106</v>
      </c>
      <c r="AD41" s="18" t="s">
        <v>110</v>
      </c>
      <c r="AE41" s="18" t="s">
        <v>111</v>
      </c>
      <c r="AF41" s="18">
        <v>2</v>
      </c>
      <c r="AG41" s="18">
        <v>4</v>
      </c>
      <c r="AH41" s="102">
        <f t="shared" si="1"/>
        <v>8</v>
      </c>
      <c r="AI41" s="119">
        <v>1</v>
      </c>
      <c r="AJ41" s="119">
        <v>3</v>
      </c>
      <c r="AK41" s="241">
        <f t="shared" si="11"/>
        <v>3</v>
      </c>
      <c r="AL41" s="219" t="str" cm="1">
        <f t="array" ref="AL41">IFERROR(INDEX(_xlfn._xlws.SORT(_xlfn.UNIQUE(_xlfn._xlws.FILTER(AC$8:AC$307,AC$8:AC$307&lt;&gt;""))),34),"")</f>
        <v/>
      </c>
      <c r="AM41" s="219" t="str">
        <f t="shared" si="12"/>
        <v/>
      </c>
      <c r="AN41" s="219" t="str">
        <f t="shared" si="13"/>
        <v/>
      </c>
      <c r="AO41" s="219" t="str">
        <f t="shared" si="14"/>
        <v/>
      </c>
      <c r="AP41" s="219" t="str">
        <f t="shared" si="15"/>
        <v/>
      </c>
      <c r="AQ41" s="220" t="str">
        <f t="shared" si="16"/>
        <v/>
      </c>
      <c r="AR41" s="219" t="str">
        <f t="shared" si="17"/>
        <v/>
      </c>
    </row>
    <row r="42" spans="1:44" ht="25" customHeight="1">
      <c r="A42" s="139">
        <v>35</v>
      </c>
      <c r="B42" s="140" t="s">
        <v>3374</v>
      </c>
      <c r="C42" s="141">
        <v>23</v>
      </c>
      <c r="D42" s="149" t="s">
        <v>5990</v>
      </c>
      <c r="E42" s="150"/>
      <c r="F42" s="150"/>
      <c r="G42" s="150"/>
      <c r="H42" s="228">
        <v>22</v>
      </c>
      <c r="I42" s="229" t="s">
        <v>5984</v>
      </c>
      <c r="J42" s="229" t="s">
        <v>6028</v>
      </c>
      <c r="K42" s="24"/>
      <c r="L42" s="24"/>
      <c r="M42" s="24"/>
      <c r="AB42" s="21" t="s">
        <v>112</v>
      </c>
      <c r="AC42" s="18" t="s">
        <v>106</v>
      </c>
      <c r="AD42" s="18" t="s">
        <v>113</v>
      </c>
      <c r="AE42" s="18" t="s">
        <v>114</v>
      </c>
      <c r="AF42" s="18">
        <v>4</v>
      </c>
      <c r="AG42" s="18">
        <v>1</v>
      </c>
      <c r="AH42" s="110">
        <f t="shared" ref="AH42:AH47" si="18">IF(AND(AF42&lt;&gt;"",AG42&lt;&gt;""),AF42*AG42,"")</f>
        <v>4</v>
      </c>
      <c r="AI42" s="119">
        <v>2</v>
      </c>
      <c r="AJ42" s="119">
        <v>1</v>
      </c>
      <c r="AK42" s="243">
        <f t="shared" si="11"/>
        <v>2</v>
      </c>
      <c r="AL42" s="217" t="str" cm="1">
        <f t="array" ref="AL42">IFERROR(INDEX(_xlfn._xlws.SORT(_xlfn.UNIQUE(_xlfn._xlws.FILTER(AC$8:AC$307,AC$8:AC$307&lt;&gt;""))),35),"")</f>
        <v/>
      </c>
      <c r="AM42" s="217" t="str">
        <f t="shared" si="12"/>
        <v/>
      </c>
      <c r="AN42" s="217" t="str">
        <f t="shared" si="13"/>
        <v/>
      </c>
      <c r="AO42" s="217" t="str">
        <f t="shared" si="14"/>
        <v/>
      </c>
      <c r="AP42" s="217" t="str">
        <f t="shared" si="15"/>
        <v/>
      </c>
      <c r="AQ42" s="218" t="str">
        <f t="shared" si="16"/>
        <v/>
      </c>
      <c r="AR42" s="217" t="str">
        <f t="shared" si="17"/>
        <v/>
      </c>
    </row>
    <row r="43" spans="1:44" ht="25" customHeight="1">
      <c r="A43" s="139">
        <v>36</v>
      </c>
      <c r="B43" s="140" t="s">
        <v>1235</v>
      </c>
      <c r="C43" s="141">
        <v>22</v>
      </c>
      <c r="D43" s="149" t="s">
        <v>5990</v>
      </c>
      <c r="E43" s="134" t="s">
        <v>6001</v>
      </c>
      <c r="F43" s="134"/>
      <c r="G43" s="134"/>
      <c r="H43" s="228">
        <v>23</v>
      </c>
      <c r="I43" s="229" t="s">
        <v>5984</v>
      </c>
      <c r="J43" s="229" t="s">
        <v>6029</v>
      </c>
      <c r="K43" s="24"/>
      <c r="L43" s="24"/>
      <c r="M43" s="24"/>
      <c r="AB43" s="21" t="s">
        <v>115</v>
      </c>
      <c r="AC43" s="18" t="s">
        <v>116</v>
      </c>
      <c r="AD43" s="18" t="s">
        <v>117</v>
      </c>
      <c r="AE43" s="18" t="s">
        <v>118</v>
      </c>
      <c r="AF43" s="18">
        <v>2</v>
      </c>
      <c r="AG43" s="18">
        <v>5</v>
      </c>
      <c r="AH43" s="110">
        <f t="shared" si="18"/>
        <v>10</v>
      </c>
      <c r="AI43" s="119">
        <v>1</v>
      </c>
      <c r="AJ43" s="119">
        <v>3</v>
      </c>
      <c r="AK43" s="243">
        <f t="shared" si="11"/>
        <v>3</v>
      </c>
      <c r="AL43" s="219" t="str" cm="1">
        <f t="array" ref="AL43">IFERROR(INDEX(_xlfn._xlws.SORT(_xlfn.UNIQUE(_xlfn._xlws.FILTER(AC$8:AC$307,AC$8:AC$307&lt;&gt;""))),36),"")</f>
        <v/>
      </c>
      <c r="AM43" s="219" t="str">
        <f t="shared" si="12"/>
        <v/>
      </c>
      <c r="AN43" s="219" t="str">
        <f t="shared" si="13"/>
        <v/>
      </c>
      <c r="AO43" s="219" t="str">
        <f t="shared" si="14"/>
        <v/>
      </c>
      <c r="AP43" s="219" t="str">
        <f t="shared" si="15"/>
        <v/>
      </c>
      <c r="AQ43" s="220" t="str">
        <f t="shared" si="16"/>
        <v/>
      </c>
      <c r="AR43" s="219" t="str">
        <f t="shared" si="17"/>
        <v/>
      </c>
    </row>
    <row r="44" spans="1:44" ht="25" customHeight="1">
      <c r="A44" s="139">
        <v>37</v>
      </c>
      <c r="B44" s="140" t="s">
        <v>1380</v>
      </c>
      <c r="C44" s="141">
        <v>21</v>
      </c>
      <c r="D44" s="149" t="s">
        <v>5991</v>
      </c>
      <c r="E44" s="134" t="s">
        <v>6001</v>
      </c>
      <c r="F44" s="134"/>
      <c r="G44" s="134"/>
      <c r="H44" s="228">
        <v>24</v>
      </c>
      <c r="I44" s="230"/>
      <c r="J44" s="230"/>
      <c r="AB44" s="21" t="s">
        <v>119</v>
      </c>
      <c r="AC44" s="18" t="s">
        <v>116</v>
      </c>
      <c r="AD44" s="18" t="s">
        <v>120</v>
      </c>
      <c r="AE44" s="18" t="s">
        <v>121</v>
      </c>
      <c r="AF44" s="18">
        <v>2</v>
      </c>
      <c r="AG44" s="18">
        <v>5</v>
      </c>
      <c r="AH44" s="110">
        <f t="shared" si="18"/>
        <v>10</v>
      </c>
      <c r="AI44" s="119">
        <v>2</v>
      </c>
      <c r="AJ44" s="119">
        <v>1</v>
      </c>
      <c r="AK44" s="243">
        <f t="shared" si="11"/>
        <v>2</v>
      </c>
      <c r="AL44" s="217" t="str" cm="1">
        <f t="array" ref="AL44">IFERROR(INDEX(_xlfn._xlws.SORT(_xlfn.UNIQUE(_xlfn._xlws.FILTER(AC$8:AC$307,AC$8:AC$307&lt;&gt;""))),37),"")</f>
        <v/>
      </c>
      <c r="AM44" s="217" t="str">
        <f t="shared" si="12"/>
        <v/>
      </c>
      <c r="AN44" s="217" t="str">
        <f t="shared" si="13"/>
        <v/>
      </c>
      <c r="AO44" s="217" t="str">
        <f t="shared" si="14"/>
        <v/>
      </c>
      <c r="AP44" s="217" t="str">
        <f t="shared" si="15"/>
        <v/>
      </c>
      <c r="AQ44" s="218" t="str">
        <f t="shared" si="16"/>
        <v/>
      </c>
      <c r="AR44" s="217" t="str">
        <f t="shared" si="17"/>
        <v/>
      </c>
    </row>
    <row r="45" spans="1:44" ht="25" customHeight="1">
      <c r="A45" s="139">
        <v>38</v>
      </c>
      <c r="B45" s="140" t="s">
        <v>3390</v>
      </c>
      <c r="C45" s="141">
        <v>21</v>
      </c>
      <c r="D45" s="149" t="s">
        <v>5990</v>
      </c>
      <c r="E45" s="150"/>
      <c r="F45" s="150"/>
      <c r="G45" s="150"/>
      <c r="H45" s="228">
        <v>25</v>
      </c>
      <c r="I45" s="230"/>
      <c r="J45" s="230"/>
      <c r="AB45" s="21" t="s">
        <v>122</v>
      </c>
      <c r="AC45" s="18" t="s">
        <v>116</v>
      </c>
      <c r="AD45" s="18" t="s">
        <v>123</v>
      </c>
      <c r="AE45" s="18" t="s">
        <v>124</v>
      </c>
      <c r="AF45" s="18">
        <v>3</v>
      </c>
      <c r="AG45" s="18">
        <v>4</v>
      </c>
      <c r="AH45" s="110">
        <f t="shared" si="18"/>
        <v>12</v>
      </c>
      <c r="AI45" s="119">
        <v>1</v>
      </c>
      <c r="AJ45" s="119">
        <v>3</v>
      </c>
      <c r="AK45" s="243">
        <f t="shared" si="11"/>
        <v>3</v>
      </c>
      <c r="AL45" s="219" t="str" cm="1">
        <f t="array" ref="AL45">IFERROR(INDEX(_xlfn._xlws.SORT(_xlfn.UNIQUE(_xlfn._xlws.FILTER(AC$8:AC$307,AC$8:AC$307&lt;&gt;""))),38),"")</f>
        <v/>
      </c>
      <c r="AM45" s="219" t="str">
        <f t="shared" si="12"/>
        <v/>
      </c>
      <c r="AN45" s="219" t="str">
        <f t="shared" si="13"/>
        <v/>
      </c>
      <c r="AO45" s="219" t="str">
        <f t="shared" si="14"/>
        <v/>
      </c>
      <c r="AP45" s="219" t="str">
        <f t="shared" si="15"/>
        <v/>
      </c>
      <c r="AQ45" s="220" t="str">
        <f t="shared" si="16"/>
        <v/>
      </c>
      <c r="AR45" s="219" t="str">
        <f t="shared" si="17"/>
        <v/>
      </c>
    </row>
    <row r="46" spans="1:44" ht="25" customHeight="1">
      <c r="A46" s="139">
        <v>39</v>
      </c>
      <c r="B46" s="140" t="s">
        <v>5033</v>
      </c>
      <c r="C46" s="141">
        <v>21</v>
      </c>
      <c r="D46" s="149" t="s">
        <v>5990</v>
      </c>
      <c r="E46" s="150"/>
      <c r="F46" s="150"/>
      <c r="G46" s="150"/>
      <c r="H46" s="228">
        <v>26</v>
      </c>
      <c r="I46" s="230"/>
      <c r="J46" s="230"/>
      <c r="AB46" s="21" t="s">
        <v>125</v>
      </c>
      <c r="AC46" s="18" t="s">
        <v>126</v>
      </c>
      <c r="AD46" s="18" t="s">
        <v>127</v>
      </c>
      <c r="AE46" s="18" t="s">
        <v>128</v>
      </c>
      <c r="AF46" s="18">
        <v>3</v>
      </c>
      <c r="AG46" s="18">
        <v>5</v>
      </c>
      <c r="AH46" s="110">
        <f t="shared" si="18"/>
        <v>15</v>
      </c>
      <c r="AI46" s="119">
        <v>2</v>
      </c>
      <c r="AJ46" s="119">
        <v>1</v>
      </c>
      <c r="AK46" s="243">
        <f t="shared" si="11"/>
        <v>2</v>
      </c>
      <c r="AL46" s="217" t="str" cm="1">
        <f t="array" ref="AL46">IFERROR(INDEX(_xlfn._xlws.SORT(_xlfn.UNIQUE(_xlfn._xlws.FILTER(AC$8:AC$307,AC$8:AC$307&lt;&gt;""))),39),"")</f>
        <v/>
      </c>
      <c r="AM46" s="217" t="str">
        <f t="shared" si="12"/>
        <v/>
      </c>
      <c r="AN46" s="217" t="str">
        <f t="shared" si="13"/>
        <v/>
      </c>
      <c r="AO46" s="217" t="str">
        <f t="shared" si="14"/>
        <v/>
      </c>
      <c r="AP46" s="217" t="str">
        <f t="shared" si="15"/>
        <v/>
      </c>
      <c r="AQ46" s="218" t="str">
        <f t="shared" si="16"/>
        <v/>
      </c>
      <c r="AR46" s="217" t="str">
        <f t="shared" si="17"/>
        <v/>
      </c>
    </row>
    <row r="47" spans="1:44" ht="25" customHeight="1">
      <c r="A47" s="139">
        <v>40</v>
      </c>
      <c r="B47" s="140" t="s">
        <v>4982</v>
      </c>
      <c r="C47" s="141">
        <v>20</v>
      </c>
      <c r="D47" s="149" t="s">
        <v>5990</v>
      </c>
      <c r="E47" s="150"/>
      <c r="F47" s="150"/>
      <c r="G47" s="150"/>
      <c r="H47" s="228">
        <v>27</v>
      </c>
      <c r="I47" s="230"/>
      <c r="J47" s="230"/>
      <c r="AB47" s="21" t="s">
        <v>129</v>
      </c>
      <c r="AC47" s="18" t="s">
        <v>126</v>
      </c>
      <c r="AD47" s="18" t="s">
        <v>130</v>
      </c>
      <c r="AE47" s="18" t="s">
        <v>131</v>
      </c>
      <c r="AF47" s="18">
        <v>2</v>
      </c>
      <c r="AG47" s="18">
        <v>5</v>
      </c>
      <c r="AH47" s="110">
        <f t="shared" si="18"/>
        <v>10</v>
      </c>
      <c r="AI47" s="119">
        <v>2</v>
      </c>
      <c r="AJ47" s="119">
        <v>1</v>
      </c>
      <c r="AK47" s="243">
        <f t="shared" si="11"/>
        <v>2</v>
      </c>
      <c r="AL47" s="219" t="str" cm="1">
        <f t="array" ref="AL47">IFERROR(INDEX(_xlfn._xlws.SORT(_xlfn.UNIQUE(_xlfn._xlws.FILTER(AC$8:AC$307,AC$8:AC$307&lt;&gt;""))),40),"")</f>
        <v/>
      </c>
      <c r="AM47" s="219" t="str">
        <f t="shared" si="12"/>
        <v/>
      </c>
      <c r="AN47" s="219" t="str">
        <f t="shared" si="13"/>
        <v/>
      </c>
      <c r="AO47" s="219" t="str">
        <f t="shared" si="14"/>
        <v/>
      </c>
      <c r="AP47" s="219" t="str">
        <f t="shared" si="15"/>
        <v/>
      </c>
      <c r="AQ47" s="220" t="str">
        <f t="shared" si="16"/>
        <v/>
      </c>
      <c r="AR47" s="219" t="str">
        <f t="shared" si="17"/>
        <v/>
      </c>
    </row>
    <row r="48" spans="1:44" ht="25" customHeight="1">
      <c r="A48" s="139">
        <v>41</v>
      </c>
      <c r="B48" s="140" t="s">
        <v>3809</v>
      </c>
      <c r="C48" s="141">
        <v>19</v>
      </c>
      <c r="D48" s="149" t="s">
        <v>5990</v>
      </c>
      <c r="E48" s="150"/>
      <c r="F48" s="150"/>
      <c r="G48" s="150"/>
      <c r="H48" s="228">
        <v>28</v>
      </c>
      <c r="I48" s="230"/>
      <c r="J48" s="230"/>
      <c r="AB48" s="100" t="s">
        <v>6103</v>
      </c>
      <c r="AC48" s="239" t="s">
        <v>6100</v>
      </c>
      <c r="AD48" s="239" t="s">
        <v>6100</v>
      </c>
      <c r="AE48" s="239" t="s">
        <v>6100</v>
      </c>
      <c r="AF48" s="101">
        <v>2</v>
      </c>
      <c r="AG48" s="101">
        <v>2</v>
      </c>
      <c r="AH48" s="110">
        <f t="shared" ref="AH48:AH50" si="19">IF(AND(AF48&lt;&gt;"",AG48&lt;&gt;""),AF48*AG48,"")</f>
        <v>4</v>
      </c>
      <c r="AI48" s="106"/>
      <c r="AJ48" s="106"/>
      <c r="AK48" s="243" t="str">
        <f t="shared" si="11"/>
        <v/>
      </c>
      <c r="AL48" s="217" t="str" cm="1">
        <f t="array" ref="AL48">IFERROR(INDEX(_xlfn._xlws.SORT(_xlfn.UNIQUE(_xlfn._xlws.FILTER(AC$8:AC$307,AC$8:AC$307&lt;&gt;""))),41),"")</f>
        <v/>
      </c>
      <c r="AM48" s="217" t="str">
        <f t="shared" si="12"/>
        <v/>
      </c>
      <c r="AN48" s="217" t="str">
        <f t="shared" si="13"/>
        <v/>
      </c>
      <c r="AO48" s="217" t="str">
        <f t="shared" si="14"/>
        <v/>
      </c>
      <c r="AP48" s="217" t="str">
        <f t="shared" si="15"/>
        <v/>
      </c>
      <c r="AQ48" s="218" t="str">
        <f t="shared" si="16"/>
        <v/>
      </c>
      <c r="AR48" s="217" t="str">
        <f t="shared" si="17"/>
        <v/>
      </c>
    </row>
    <row r="49" spans="1:46" ht="25" customHeight="1">
      <c r="A49" s="139">
        <v>42</v>
      </c>
      <c r="B49" s="140" t="s">
        <v>3921</v>
      </c>
      <c r="C49" s="141">
        <v>18</v>
      </c>
      <c r="D49" s="149" t="s">
        <v>5990</v>
      </c>
      <c r="E49" s="150"/>
      <c r="F49" s="150"/>
      <c r="G49" s="150"/>
      <c r="H49" s="228">
        <v>29</v>
      </c>
      <c r="I49" s="230"/>
      <c r="J49" s="230"/>
      <c r="AB49" s="100" t="s">
        <v>6104</v>
      </c>
      <c r="AC49" s="239" t="s">
        <v>6102</v>
      </c>
      <c r="AD49" s="239" t="s">
        <v>6102</v>
      </c>
      <c r="AE49" s="239" t="s">
        <v>6102</v>
      </c>
      <c r="AF49" s="101">
        <v>3</v>
      </c>
      <c r="AG49" s="101">
        <v>3</v>
      </c>
      <c r="AH49" s="110">
        <f t="shared" si="19"/>
        <v>9</v>
      </c>
      <c r="AI49" s="106"/>
      <c r="AJ49" s="106"/>
      <c r="AK49" s="243" t="str">
        <f t="shared" si="11"/>
        <v/>
      </c>
      <c r="AL49" s="219" t="str" cm="1">
        <f t="array" ref="AL49">IFERROR(INDEX(_xlfn._xlws.SORT(_xlfn.UNIQUE(_xlfn._xlws.FILTER(AC$8:AC$307,AC$8:AC$307&lt;&gt;""))),42),"")</f>
        <v/>
      </c>
      <c r="AM49" s="219" t="str">
        <f t="shared" si="12"/>
        <v/>
      </c>
      <c r="AN49" s="219" t="str">
        <f t="shared" si="13"/>
        <v/>
      </c>
      <c r="AO49" s="219" t="str">
        <f t="shared" si="14"/>
        <v/>
      </c>
      <c r="AP49" s="219" t="str">
        <f t="shared" si="15"/>
        <v/>
      </c>
      <c r="AQ49" s="220" t="str">
        <f t="shared" si="16"/>
        <v/>
      </c>
      <c r="AR49" s="219" t="str">
        <f t="shared" si="17"/>
        <v/>
      </c>
    </row>
    <row r="50" spans="1:46" ht="25" customHeight="1">
      <c r="A50" s="139">
        <v>43</v>
      </c>
      <c r="B50" s="140" t="s">
        <v>4039</v>
      </c>
      <c r="C50" s="141">
        <v>18</v>
      </c>
      <c r="D50" s="149" t="s">
        <v>5991</v>
      </c>
      <c r="E50" s="150"/>
      <c r="F50" s="150"/>
      <c r="G50" s="150"/>
      <c r="H50" s="228">
        <v>30</v>
      </c>
      <c r="I50" s="230"/>
      <c r="J50" s="230"/>
      <c r="AB50" s="100" t="s">
        <v>6106</v>
      </c>
      <c r="AC50" s="239" t="s">
        <v>6102</v>
      </c>
      <c r="AD50" s="239" t="s">
        <v>6102</v>
      </c>
      <c r="AE50" s="239" t="s">
        <v>6102</v>
      </c>
      <c r="AF50" s="101">
        <v>3</v>
      </c>
      <c r="AG50" s="101">
        <v>3</v>
      </c>
      <c r="AH50" s="110">
        <f t="shared" si="19"/>
        <v>9</v>
      </c>
      <c r="AI50" s="106"/>
      <c r="AJ50" s="106"/>
      <c r="AK50" s="243" t="str">
        <f t="shared" si="11"/>
        <v/>
      </c>
      <c r="AL50" s="217" t="str" cm="1">
        <f t="array" ref="AL50">IFERROR(INDEX(_xlfn._xlws.SORT(_xlfn.UNIQUE(_xlfn._xlws.FILTER(AC$8:AC$307,AC$8:AC$307&lt;&gt;""))),43),"")</f>
        <v/>
      </c>
      <c r="AM50" s="217" t="str">
        <f t="shared" si="12"/>
        <v/>
      </c>
      <c r="AN50" s="217" t="str">
        <f t="shared" si="13"/>
        <v/>
      </c>
      <c r="AO50" s="217" t="str">
        <f t="shared" si="14"/>
        <v/>
      </c>
      <c r="AP50" s="217" t="str">
        <f t="shared" si="15"/>
        <v/>
      </c>
      <c r="AQ50" s="218" t="str">
        <f t="shared" si="16"/>
        <v/>
      </c>
      <c r="AR50" s="217" t="str">
        <f t="shared" si="17"/>
        <v/>
      </c>
    </row>
    <row r="51" spans="1:46" ht="25" customHeight="1">
      <c r="A51" s="139">
        <v>44</v>
      </c>
      <c r="B51" s="140" t="s">
        <v>3777</v>
      </c>
      <c r="C51" s="141">
        <v>17</v>
      </c>
      <c r="D51" s="149" t="s">
        <v>5990</v>
      </c>
      <c r="E51" s="150"/>
      <c r="F51" s="152" t="s">
        <v>6047</v>
      </c>
      <c r="G51" s="150"/>
      <c r="H51" s="150"/>
      <c r="I51" s="150"/>
      <c r="J51" s="150"/>
      <c r="K51" s="150"/>
      <c r="L51" s="150"/>
      <c r="M51" s="150"/>
      <c r="AB51" s="100" t="s">
        <v>6105</v>
      </c>
      <c r="AC51" s="239" t="s">
        <v>6102</v>
      </c>
      <c r="AD51" s="239" t="s">
        <v>6102</v>
      </c>
      <c r="AE51" s="239" t="s">
        <v>6102</v>
      </c>
      <c r="AF51" s="101">
        <v>2</v>
      </c>
      <c r="AG51" s="101">
        <v>2</v>
      </c>
      <c r="AH51" s="110">
        <f t="shared" ref="AH51:AH53" si="20">IF(AND(AF51&lt;&gt;"",AG51&lt;&gt;""),AF51*AG51,"")</f>
        <v>4</v>
      </c>
      <c r="AI51" s="106"/>
      <c r="AJ51" s="106"/>
      <c r="AK51" s="243" t="str">
        <f t="shared" si="11"/>
        <v/>
      </c>
      <c r="AL51" s="219" t="str" cm="1">
        <f t="array" ref="AL51">IFERROR(INDEX(_xlfn._xlws.SORT(_xlfn.UNIQUE(_xlfn._xlws.FILTER(AC$8:AC$307,AC$8:AC$307&lt;&gt;""))),44),"")</f>
        <v/>
      </c>
      <c r="AM51" s="219" t="str">
        <f t="shared" si="12"/>
        <v/>
      </c>
      <c r="AN51" s="219" t="str">
        <f t="shared" si="13"/>
        <v/>
      </c>
      <c r="AO51" s="219" t="str">
        <f t="shared" si="14"/>
        <v/>
      </c>
      <c r="AP51" s="219" t="str">
        <f t="shared" si="15"/>
        <v/>
      </c>
      <c r="AQ51" s="220" t="str">
        <f t="shared" si="16"/>
        <v/>
      </c>
      <c r="AR51" s="219" t="str">
        <f t="shared" si="17"/>
        <v/>
      </c>
    </row>
    <row r="52" spans="1:46" ht="25" customHeight="1">
      <c r="A52" s="139">
        <v>45</v>
      </c>
      <c r="B52" s="140" t="s">
        <v>3890</v>
      </c>
      <c r="C52" s="141">
        <v>17</v>
      </c>
      <c r="D52" s="149" t="s">
        <v>5990</v>
      </c>
      <c r="E52" s="150"/>
      <c r="F52" s="150"/>
      <c r="G52" s="150"/>
      <c r="H52" s="150"/>
      <c r="I52" s="150"/>
      <c r="J52" s="150"/>
      <c r="K52" s="150"/>
      <c r="L52" s="150"/>
      <c r="M52" s="150"/>
      <c r="AB52" s="103"/>
      <c r="AC52" s="247" t="s">
        <v>6123</v>
      </c>
      <c r="AD52" s="247" t="s">
        <v>6123</v>
      </c>
      <c r="AE52" s="247" t="s">
        <v>6124</v>
      </c>
      <c r="AF52" s="101">
        <v>2</v>
      </c>
      <c r="AG52" s="101">
        <v>2</v>
      </c>
      <c r="AH52" s="110">
        <f t="shared" si="20"/>
        <v>4</v>
      </c>
      <c r="AI52" s="107"/>
      <c r="AJ52" s="107"/>
      <c r="AK52" s="244" t="str">
        <f t="shared" si="11"/>
        <v/>
      </c>
      <c r="AL52" s="217" t="str" cm="1">
        <f t="array" ref="AL52">IFERROR(INDEX(_xlfn._xlws.SORT(_xlfn.UNIQUE(_xlfn._xlws.FILTER(AC$8:AC$307,AC$8:AC$307&lt;&gt;""))),45),"")</f>
        <v/>
      </c>
      <c r="AM52" s="217" t="str">
        <f t="shared" si="12"/>
        <v/>
      </c>
      <c r="AN52" s="217" t="str">
        <f t="shared" si="13"/>
        <v/>
      </c>
      <c r="AO52" s="217" t="str">
        <f t="shared" si="14"/>
        <v/>
      </c>
      <c r="AP52" s="217" t="str">
        <f t="shared" si="15"/>
        <v/>
      </c>
      <c r="AQ52" s="218" t="str">
        <f t="shared" si="16"/>
        <v/>
      </c>
      <c r="AR52" s="217" t="str">
        <f t="shared" si="17"/>
        <v/>
      </c>
    </row>
    <row r="53" spans="1:46" ht="25" customHeight="1">
      <c r="A53" s="135">
        <v>46</v>
      </c>
      <c r="B53" s="136" t="s">
        <v>1246</v>
      </c>
      <c r="C53" s="137">
        <v>15</v>
      </c>
      <c r="D53" s="149" t="s">
        <v>5990</v>
      </c>
      <c r="E53" s="134" t="s">
        <v>6001</v>
      </c>
      <c r="F53" s="134"/>
      <c r="G53" s="134"/>
      <c r="H53" s="134"/>
      <c r="I53" s="134"/>
      <c r="J53" s="134"/>
      <c r="K53" s="134"/>
      <c r="L53" s="134"/>
      <c r="M53" s="134"/>
      <c r="AB53" s="100"/>
      <c r="AC53" s="239" t="s">
        <v>6122</v>
      </c>
      <c r="AD53" s="239" t="s">
        <v>6124</v>
      </c>
      <c r="AE53" s="239" t="s">
        <v>6124</v>
      </c>
      <c r="AF53" s="101">
        <v>3</v>
      </c>
      <c r="AG53" s="101">
        <v>3</v>
      </c>
      <c r="AH53" s="110">
        <f t="shared" si="20"/>
        <v>9</v>
      </c>
      <c r="AI53" s="106"/>
      <c r="AJ53" s="106"/>
      <c r="AK53" s="243" t="str">
        <f t="shared" si="11"/>
        <v/>
      </c>
      <c r="AL53" s="219" t="str" cm="1">
        <f t="array" ref="AL53">IFERROR(INDEX(_xlfn._xlws.SORT(_xlfn.UNIQUE(_xlfn._xlws.FILTER(AC$8:AC$307,AC$8:AC$307&lt;&gt;""))),46),"")</f>
        <v/>
      </c>
      <c r="AM53" s="219" t="str">
        <f t="shared" si="12"/>
        <v/>
      </c>
      <c r="AN53" s="219" t="str">
        <f t="shared" si="13"/>
        <v/>
      </c>
      <c r="AO53" s="219" t="str">
        <f t="shared" si="14"/>
        <v/>
      </c>
      <c r="AP53" s="219" t="str">
        <f t="shared" si="15"/>
        <v/>
      </c>
      <c r="AQ53" s="220" t="str">
        <f t="shared" si="16"/>
        <v/>
      </c>
      <c r="AR53" s="219" t="str">
        <f t="shared" si="17"/>
        <v/>
      </c>
    </row>
    <row r="54" spans="1:46" ht="25" customHeight="1">
      <c r="A54" s="135">
        <v>47</v>
      </c>
      <c r="B54" s="136" t="s">
        <v>1335</v>
      </c>
      <c r="C54" s="137">
        <v>14</v>
      </c>
      <c r="D54" s="149" t="s">
        <v>5990</v>
      </c>
      <c r="E54" s="150"/>
      <c r="F54" s="150"/>
      <c r="G54" s="150"/>
      <c r="H54" s="150"/>
      <c r="I54" s="150"/>
      <c r="J54" s="150"/>
      <c r="K54" s="150"/>
      <c r="L54" s="150"/>
      <c r="M54" s="150"/>
      <c r="AB54" s="100"/>
      <c r="AC54" s="101"/>
      <c r="AD54" s="101"/>
      <c r="AE54" s="101"/>
      <c r="AF54" s="101"/>
      <c r="AG54" s="101"/>
      <c r="AH54" s="110" t="str">
        <f t="shared" ref="AH54:AH102" si="21">IF(AND(AF54&lt;&gt;"",AG54&lt;&gt;""),AF54*AG54,"")</f>
        <v/>
      </c>
      <c r="AI54" s="106"/>
      <c r="AJ54" s="106"/>
      <c r="AK54" s="243" t="str">
        <f t="shared" si="11"/>
        <v/>
      </c>
      <c r="AL54" s="217" t="str" cm="1">
        <f t="array" ref="AL54">IFERROR(INDEX(_xlfn._xlws.SORT(_xlfn.UNIQUE(_xlfn._xlws.FILTER(AC$8:AC$307,AC$8:AC$307&lt;&gt;""))),47),"")</f>
        <v/>
      </c>
      <c r="AM54" s="217" t="str">
        <f t="shared" si="12"/>
        <v/>
      </c>
      <c r="AN54" s="217" t="str">
        <f t="shared" si="13"/>
        <v/>
      </c>
      <c r="AO54" s="217" t="str">
        <f t="shared" si="14"/>
        <v/>
      </c>
      <c r="AP54" s="217" t="str">
        <f t="shared" si="15"/>
        <v/>
      </c>
      <c r="AQ54" s="218" t="str">
        <f t="shared" si="16"/>
        <v/>
      </c>
      <c r="AR54" s="217" t="str">
        <f t="shared" si="17"/>
        <v/>
      </c>
    </row>
    <row r="55" spans="1:46" ht="25" customHeight="1">
      <c r="A55" s="135">
        <v>48</v>
      </c>
      <c r="B55" s="136" t="s">
        <v>3685</v>
      </c>
      <c r="C55" s="137">
        <v>13</v>
      </c>
      <c r="D55" s="149" t="s">
        <v>5991</v>
      </c>
      <c r="E55" s="150"/>
      <c r="F55" s="150"/>
      <c r="G55" s="150"/>
      <c r="H55" s="150"/>
      <c r="I55" s="150"/>
      <c r="J55" s="150"/>
      <c r="K55" s="150"/>
      <c r="L55" s="150"/>
      <c r="M55" s="150"/>
      <c r="AB55" s="100"/>
      <c r="AC55" s="101"/>
      <c r="AD55" s="101"/>
      <c r="AE55" s="101"/>
      <c r="AF55" s="101"/>
      <c r="AG55" s="101"/>
      <c r="AH55" s="110" t="str">
        <f t="shared" si="21"/>
        <v/>
      </c>
      <c r="AI55" s="106"/>
      <c r="AJ55" s="106"/>
      <c r="AK55" s="243" t="str">
        <f t="shared" si="11"/>
        <v/>
      </c>
      <c r="AL55" s="219" t="str" cm="1">
        <f t="array" ref="AL55">IFERROR(INDEX(_xlfn._xlws.SORT(_xlfn.UNIQUE(_xlfn._xlws.FILTER(AC$8:AC$307,AC$8:AC$307&lt;&gt;""))),48),"")</f>
        <v/>
      </c>
      <c r="AM55" s="219" t="str">
        <f t="shared" si="12"/>
        <v/>
      </c>
      <c r="AN55" s="219" t="str">
        <f t="shared" si="13"/>
        <v/>
      </c>
      <c r="AO55" s="219" t="str">
        <f t="shared" si="14"/>
        <v/>
      </c>
      <c r="AP55" s="219" t="str">
        <f t="shared" si="15"/>
        <v/>
      </c>
      <c r="AQ55" s="220" t="str">
        <f t="shared" si="16"/>
        <v/>
      </c>
      <c r="AR55" s="219" t="str">
        <f t="shared" si="17"/>
        <v/>
      </c>
    </row>
    <row r="56" spans="1:46" ht="25" customHeight="1">
      <c r="A56" s="135">
        <v>49</v>
      </c>
      <c r="B56" s="136" t="s">
        <v>3277</v>
      </c>
      <c r="C56" s="137">
        <v>11</v>
      </c>
      <c r="D56" s="149" t="s">
        <v>5990</v>
      </c>
      <c r="E56" s="150"/>
      <c r="F56" s="152" t="s">
        <v>6047</v>
      </c>
      <c r="G56" s="150"/>
      <c r="H56" s="150"/>
      <c r="I56" s="150"/>
      <c r="J56" s="150"/>
      <c r="K56" s="150"/>
      <c r="L56" s="150"/>
      <c r="M56" s="150"/>
      <c r="AB56" s="100"/>
      <c r="AC56" s="101"/>
      <c r="AD56" s="101"/>
      <c r="AE56" s="101"/>
      <c r="AF56" s="101"/>
      <c r="AG56" s="101"/>
      <c r="AH56" s="110" t="str">
        <f t="shared" si="21"/>
        <v/>
      </c>
      <c r="AI56" s="106"/>
      <c r="AJ56" s="106"/>
      <c r="AK56" s="243" t="str">
        <f t="shared" si="11"/>
        <v/>
      </c>
      <c r="AL56" s="217" t="str" cm="1">
        <f t="array" ref="AL56">IFERROR(INDEX(_xlfn._xlws.SORT(_xlfn.UNIQUE(_xlfn._xlws.FILTER(AC$8:AC$307,AC$8:AC$307&lt;&gt;""))),49),"")</f>
        <v/>
      </c>
      <c r="AM56" s="217" t="str">
        <f t="shared" si="12"/>
        <v/>
      </c>
      <c r="AN56" s="217" t="str">
        <f t="shared" si="13"/>
        <v/>
      </c>
      <c r="AO56" s="217" t="str">
        <f t="shared" si="14"/>
        <v/>
      </c>
      <c r="AP56" s="217" t="str">
        <f t="shared" si="15"/>
        <v/>
      </c>
      <c r="AQ56" s="218" t="str">
        <f t="shared" si="16"/>
        <v/>
      </c>
      <c r="AR56" s="217" t="str">
        <f t="shared" si="17"/>
        <v/>
      </c>
    </row>
    <row r="57" spans="1:46" ht="25" customHeight="1">
      <c r="A57" s="135">
        <v>50</v>
      </c>
      <c r="B57" s="136" t="s">
        <v>3856</v>
      </c>
      <c r="C57" s="137">
        <v>11</v>
      </c>
      <c r="D57" s="149" t="s">
        <v>5990</v>
      </c>
      <c r="E57" s="150"/>
      <c r="F57" s="150"/>
      <c r="G57" s="150"/>
      <c r="H57" s="150"/>
      <c r="I57" s="150"/>
      <c r="J57" s="150"/>
      <c r="K57" s="150"/>
      <c r="L57" s="150"/>
      <c r="M57" s="150"/>
      <c r="AB57" s="103"/>
      <c r="AC57" s="104"/>
      <c r="AD57" s="104"/>
      <c r="AE57" s="104"/>
      <c r="AF57" s="104"/>
      <c r="AG57" s="104"/>
      <c r="AH57" s="111" t="str">
        <f t="shared" si="21"/>
        <v/>
      </c>
      <c r="AI57" s="107"/>
      <c r="AJ57" s="107"/>
      <c r="AK57" s="244" t="str">
        <f t="shared" si="11"/>
        <v/>
      </c>
      <c r="AL57" s="219" t="str" cm="1">
        <f t="array" ref="AL57">IFERROR(INDEX(_xlfn._xlws.SORT(_xlfn.UNIQUE(_xlfn._xlws.FILTER(AC$8:AC$307,AC$8:AC$307&lt;&gt;""))),50),"")</f>
        <v/>
      </c>
      <c r="AM57" s="219" t="str">
        <f t="shared" si="12"/>
        <v/>
      </c>
      <c r="AN57" s="219" t="str">
        <f t="shared" si="13"/>
        <v/>
      </c>
      <c r="AO57" s="219" t="str">
        <f t="shared" si="14"/>
        <v/>
      </c>
      <c r="AP57" s="219" t="str">
        <f t="shared" si="15"/>
        <v/>
      </c>
      <c r="AQ57" s="220" t="str">
        <f t="shared" si="16"/>
        <v/>
      </c>
      <c r="AR57" s="219" t="str">
        <f t="shared" si="17"/>
        <v/>
      </c>
    </row>
    <row r="58" spans="1:46" ht="25" customHeight="1">
      <c r="A58" s="135">
        <v>51</v>
      </c>
      <c r="B58" s="136" t="s">
        <v>4053</v>
      </c>
      <c r="C58" s="137">
        <v>11</v>
      </c>
      <c r="D58" s="149" t="s">
        <v>5990</v>
      </c>
      <c r="E58" s="151" t="s">
        <v>6004</v>
      </c>
      <c r="F58" s="151"/>
      <c r="G58" s="151"/>
      <c r="H58" s="151"/>
      <c r="I58" s="151"/>
      <c r="J58" s="151"/>
      <c r="K58" s="151"/>
      <c r="L58" s="151"/>
      <c r="M58" s="151"/>
      <c r="T58" s="121"/>
      <c r="AB58" s="100"/>
      <c r="AC58" s="101"/>
      <c r="AD58" s="101"/>
      <c r="AE58" s="101"/>
      <c r="AF58" s="101"/>
      <c r="AG58" s="101"/>
      <c r="AH58" s="110" t="str">
        <f t="shared" si="21"/>
        <v/>
      </c>
      <c r="AI58" s="106"/>
      <c r="AJ58" s="106"/>
      <c r="AK58" s="243" t="str">
        <f t="shared" ref="AK58" si="22">IF(AND(AI58&lt;&gt;"",AJ58&lt;&gt;""),AI58*AJ58,"")</f>
        <v/>
      </c>
      <c r="AL58" s="215" t="s">
        <v>6087</v>
      </c>
      <c r="AM58" s="215">
        <f>COUNTA(AC8:AC307)</f>
        <v>46</v>
      </c>
      <c r="AN58" s="215">
        <f>COUNTIF(AH8:AH307,"&gt;="&amp;9)</f>
        <v>25</v>
      </c>
      <c r="AO58" s="215">
        <f>IFERROR(ROUND(AVERAGEIFS(AH8:AH307,AH8:AH307,"&lt;&gt;"),1),"")</f>
        <v>8.8000000000000007</v>
      </c>
      <c r="AP58" s="215">
        <f>IFERROR(ROUND(AVERAGEIFS(AK8:AK307,AK8:AK307,"&lt;&gt;"),1),"")</f>
        <v>2.5</v>
      </c>
      <c r="AQ58" s="216">
        <f>IFERROR(IF(AO58=0,"",(AO58-AP58)/AO58),"")</f>
        <v>0.71590909090909094</v>
      </c>
      <c r="AR58" s="215"/>
    </row>
    <row r="59" spans="1:46" ht="25" customHeight="1">
      <c r="A59" s="135">
        <v>52</v>
      </c>
      <c r="B59" s="136" t="s">
        <v>4259</v>
      </c>
      <c r="C59" s="137">
        <v>11</v>
      </c>
      <c r="D59" s="149" t="s">
        <v>5990</v>
      </c>
      <c r="E59" s="150"/>
      <c r="F59" s="150"/>
      <c r="G59" s="150"/>
      <c r="H59" s="150"/>
      <c r="I59" s="150"/>
      <c r="J59" s="150"/>
      <c r="K59" s="150"/>
      <c r="L59" s="150"/>
      <c r="M59" s="150"/>
      <c r="AB59" s="100"/>
      <c r="AC59" s="101"/>
      <c r="AD59" s="101"/>
      <c r="AE59" s="101"/>
      <c r="AF59" s="101"/>
      <c r="AG59" s="101"/>
      <c r="AH59" s="110" t="str">
        <f t="shared" si="21"/>
        <v/>
      </c>
      <c r="AI59" s="106"/>
      <c r="AJ59" s="106"/>
      <c r="AK59" s="109" t="str">
        <f t="shared" ref="AK59:AK76" si="23">IF(AND(AI59&lt;&gt;"",AJ59&lt;&gt;""),AI59*AJ59,"")</f>
        <v/>
      </c>
      <c r="AL59" s="246" t="s">
        <v>6101</v>
      </c>
      <c r="AO59"/>
    </row>
    <row r="60" spans="1:46" ht="25" customHeight="1">
      <c r="A60" s="135">
        <v>53</v>
      </c>
      <c r="B60" s="136" t="s">
        <v>5087</v>
      </c>
      <c r="C60" s="137">
        <v>8</v>
      </c>
      <c r="D60" s="149" t="s">
        <v>5990</v>
      </c>
      <c r="E60" s="152" t="s">
        <v>6002</v>
      </c>
      <c r="F60" s="152"/>
      <c r="G60" s="152"/>
      <c r="H60" s="152"/>
      <c r="I60" s="152"/>
      <c r="J60" s="152"/>
      <c r="K60" s="152"/>
      <c r="L60" s="152"/>
      <c r="M60" s="152"/>
      <c r="AB60" s="100"/>
      <c r="AC60" s="101"/>
      <c r="AD60" s="101"/>
      <c r="AE60" s="101"/>
      <c r="AF60" s="101"/>
      <c r="AG60" s="101"/>
      <c r="AH60" s="110" t="str">
        <f t="shared" si="21"/>
        <v/>
      </c>
      <c r="AI60" s="106"/>
      <c r="AJ60" s="106"/>
      <c r="AK60" s="109" t="str">
        <f t="shared" si="23"/>
        <v/>
      </c>
      <c r="AL60" s="227" t="s">
        <v>6088</v>
      </c>
      <c r="AM60" s="227" t="s">
        <v>6090</v>
      </c>
      <c r="AN60" s="227" t="s">
        <v>6091</v>
      </c>
      <c r="AO60"/>
      <c r="AP60" s="227" t="s">
        <v>6089</v>
      </c>
      <c r="AQ60" s="227" t="s">
        <v>6097</v>
      </c>
      <c r="AS60" s="227" t="s">
        <v>6099</v>
      </c>
      <c r="AT60" s="227" t="s">
        <v>5951</v>
      </c>
    </row>
    <row r="61" spans="1:46" ht="25" customHeight="1">
      <c r="A61" s="135">
        <v>54</v>
      </c>
      <c r="B61" s="136" t="s">
        <v>1666</v>
      </c>
      <c r="C61" s="137">
        <v>7</v>
      </c>
      <c r="D61" s="149" t="s">
        <v>5990</v>
      </c>
      <c r="E61" s="134" t="s">
        <v>6001</v>
      </c>
      <c r="F61" s="134"/>
      <c r="G61" s="134"/>
      <c r="H61" s="134"/>
      <c r="I61" s="134"/>
      <c r="J61" s="134"/>
      <c r="K61" s="134"/>
      <c r="L61" s="134"/>
      <c r="M61" s="134"/>
      <c r="AB61" s="100"/>
      <c r="AC61" s="101"/>
      <c r="AD61" s="101"/>
      <c r="AE61" s="101"/>
      <c r="AF61" s="101"/>
      <c r="AG61" s="101"/>
      <c r="AH61" s="110" t="str">
        <f t="shared" si="21"/>
        <v/>
      </c>
      <c r="AI61" s="106"/>
      <c r="AJ61" s="106"/>
      <c r="AK61" s="109" t="str">
        <f t="shared" si="23"/>
        <v/>
      </c>
      <c r="AL61" t="str">
        <f t="shared" ref="AL61:AL92" si="24">IF(AL8="","",AL8)</f>
        <v>ㄱㄱㄱ</v>
      </c>
      <c r="AM61">
        <f t="shared" ref="AM61:AM92" si="25">IF(AL8="","",IF(AO8="-",0,AO8))</f>
        <v>4</v>
      </c>
      <c r="AN61">
        <f t="shared" ref="AN61:AN92" si="26">IF(AL8="","",IF(AP8="-",0,AP8))</f>
        <v>0</v>
      </c>
      <c r="AO61"/>
      <c r="AP61" t="str">
        <f>AT8</f>
        <v>매우위험(VH)</v>
      </c>
      <c r="AQ61">
        <f>AV8</f>
        <v>6</v>
      </c>
      <c r="AS61" t="s">
        <v>6114</v>
      </c>
      <c r="AT61">
        <f>AV8</f>
        <v>6</v>
      </c>
    </row>
    <row r="62" spans="1:46" ht="25" customHeight="1">
      <c r="A62" s="135">
        <v>55</v>
      </c>
      <c r="B62" s="136" t="s">
        <v>5083</v>
      </c>
      <c r="C62" s="137">
        <v>6</v>
      </c>
      <c r="D62" s="149" t="s">
        <v>5990</v>
      </c>
      <c r="E62" s="152" t="s">
        <v>6002</v>
      </c>
      <c r="F62" s="152"/>
      <c r="G62" s="152"/>
      <c r="H62" s="152"/>
      <c r="I62" s="152"/>
      <c r="J62" s="152"/>
      <c r="K62" s="152"/>
      <c r="L62" s="152"/>
      <c r="M62" s="152"/>
      <c r="AB62" s="100"/>
      <c r="AC62" s="101"/>
      <c r="AD62" s="101"/>
      <c r="AE62" s="101"/>
      <c r="AF62" s="101"/>
      <c r="AG62" s="101"/>
      <c r="AH62" s="110" t="str">
        <f t="shared" si="21"/>
        <v/>
      </c>
      <c r="AI62" s="106"/>
      <c r="AJ62" s="106"/>
      <c r="AK62" s="109" t="str">
        <f t="shared" si="23"/>
        <v/>
      </c>
      <c r="AL62" t="str">
        <f t="shared" si="24"/>
        <v>ㄴㅇ</v>
      </c>
      <c r="AM62">
        <f t="shared" si="25"/>
        <v>7.3</v>
      </c>
      <c r="AN62">
        <f t="shared" si="26"/>
        <v>0</v>
      </c>
      <c r="AO62"/>
      <c r="AP62" t="str">
        <f>AT9</f>
        <v>고위험(H)</v>
      </c>
      <c r="AQ62">
        <f>AV9</f>
        <v>19</v>
      </c>
      <c r="AS62" t="s">
        <v>6115</v>
      </c>
      <c r="AT62">
        <f>AW8</f>
        <v>0</v>
      </c>
    </row>
    <row r="63" spans="1:46" ht="25" customHeight="1">
      <c r="A63" s="135">
        <v>56</v>
      </c>
      <c r="B63" s="136" t="s">
        <v>3184</v>
      </c>
      <c r="C63" s="137">
        <v>5</v>
      </c>
      <c r="D63" s="149" t="s">
        <v>5990</v>
      </c>
      <c r="E63" s="150"/>
      <c r="F63" s="150"/>
      <c r="G63" s="150"/>
      <c r="H63" s="150"/>
      <c r="I63" s="150"/>
      <c r="J63" s="150"/>
      <c r="K63" s="150"/>
      <c r="L63" s="150"/>
      <c r="M63" s="150"/>
      <c r="AB63" s="100"/>
      <c r="AC63" s="101"/>
      <c r="AD63" s="101"/>
      <c r="AE63" s="101"/>
      <c r="AF63" s="101"/>
      <c r="AG63" s="101"/>
      <c r="AH63" s="110" t="str">
        <f t="shared" si="21"/>
        <v/>
      </c>
      <c r="AI63" s="106"/>
      <c r="AJ63" s="106"/>
      <c r="AK63" s="109" t="str">
        <f t="shared" si="23"/>
        <v/>
      </c>
      <c r="AL63" t="str">
        <f t="shared" si="24"/>
        <v>ㄹㄹㅇ</v>
      </c>
      <c r="AM63">
        <f t="shared" si="25"/>
        <v>4</v>
      </c>
      <c r="AN63">
        <f t="shared" si="26"/>
        <v>0</v>
      </c>
      <c r="AO63"/>
      <c r="AP63" t="str">
        <f>AT10</f>
        <v>중위험(M)</v>
      </c>
      <c r="AQ63">
        <f>AV10</f>
        <v>21</v>
      </c>
      <c r="AS63" t="s">
        <v>6116</v>
      </c>
      <c r="AT63">
        <f>AV9</f>
        <v>19</v>
      </c>
    </row>
    <row r="64" spans="1:46" ht="25" customHeight="1">
      <c r="A64" s="135">
        <v>57</v>
      </c>
      <c r="B64" s="136" t="s">
        <v>2010</v>
      </c>
      <c r="C64" s="137">
        <v>4</v>
      </c>
      <c r="D64" s="149" t="s">
        <v>5990</v>
      </c>
      <c r="E64" s="150"/>
      <c r="F64" s="150"/>
      <c r="G64" s="150"/>
      <c r="H64" s="150"/>
      <c r="I64" s="150"/>
      <c r="J64" s="150"/>
      <c r="K64" s="150"/>
      <c r="L64" s="150"/>
      <c r="M64" s="150"/>
      <c r="AB64" s="100"/>
      <c r="AC64" s="101"/>
      <c r="AD64" s="101"/>
      <c r="AE64" s="101"/>
      <c r="AF64" s="101"/>
      <c r="AG64" s="101"/>
      <c r="AH64" s="110" t="str">
        <f t="shared" si="21"/>
        <v/>
      </c>
      <c r="AI64" s="106"/>
      <c r="AJ64" s="106"/>
      <c r="AK64" s="109" t="str">
        <f t="shared" si="23"/>
        <v/>
      </c>
      <c r="AL64" t="str">
        <f t="shared" si="24"/>
        <v>ㅁㅁ</v>
      </c>
      <c r="AM64">
        <f t="shared" si="25"/>
        <v>9</v>
      </c>
      <c r="AN64">
        <f t="shared" si="26"/>
        <v>0</v>
      </c>
      <c r="AO64"/>
      <c r="AP64" t="str">
        <f>AT11</f>
        <v>저위험(L)</v>
      </c>
      <c r="AQ64">
        <f>AV11</f>
        <v>0</v>
      </c>
      <c r="AS64" t="s">
        <v>6117</v>
      </c>
      <c r="AT64">
        <f>AW9</f>
        <v>0</v>
      </c>
    </row>
    <row r="65" spans="1:46" ht="25" customHeight="1">
      <c r="A65" s="153">
        <v>58</v>
      </c>
      <c r="B65" s="154" t="s">
        <v>3146</v>
      </c>
      <c r="C65" s="155">
        <v>3</v>
      </c>
      <c r="D65" s="149" t="s">
        <v>5990</v>
      </c>
      <c r="E65" s="150"/>
      <c r="F65" s="150"/>
      <c r="G65" s="150"/>
      <c r="H65" s="150"/>
      <c r="I65" s="150"/>
      <c r="J65" s="150"/>
      <c r="K65" s="150"/>
      <c r="L65" s="150"/>
      <c r="M65" s="150"/>
      <c r="AB65" s="100"/>
      <c r="AC65" s="101"/>
      <c r="AD65" s="101"/>
      <c r="AE65" s="101"/>
      <c r="AF65" s="101"/>
      <c r="AG65" s="101"/>
      <c r="AH65" s="110" t="str">
        <f t="shared" si="21"/>
        <v/>
      </c>
      <c r="AI65" s="106"/>
      <c r="AJ65" s="106"/>
      <c r="AK65" s="109" t="str">
        <f t="shared" si="23"/>
        <v/>
      </c>
      <c r="AL65" t="str">
        <f t="shared" si="24"/>
        <v>배전반 해체</v>
      </c>
      <c r="AM65">
        <f t="shared" si="25"/>
        <v>6</v>
      </c>
      <c r="AN65">
        <f t="shared" si="26"/>
        <v>2.7</v>
      </c>
      <c r="AO65"/>
      <c r="AS65" t="s">
        <v>6118</v>
      </c>
      <c r="AT65">
        <f>AV10</f>
        <v>21</v>
      </c>
    </row>
    <row r="66" spans="1:46" ht="25" customHeight="1">
      <c r="AB66" s="100"/>
      <c r="AC66" s="101"/>
      <c r="AD66" s="101"/>
      <c r="AE66" s="101"/>
      <c r="AF66" s="101"/>
      <c r="AG66" s="101"/>
      <c r="AH66" s="110" t="str">
        <f t="shared" si="21"/>
        <v/>
      </c>
      <c r="AI66" s="106"/>
      <c r="AJ66" s="106"/>
      <c r="AK66" s="109" t="str">
        <f t="shared" si="23"/>
        <v/>
      </c>
      <c r="AL66" t="str">
        <f t="shared" si="24"/>
        <v>새 배전반 설치</v>
      </c>
      <c r="AM66">
        <f t="shared" si="25"/>
        <v>7</v>
      </c>
      <c r="AN66">
        <f t="shared" si="26"/>
        <v>2.2999999999999998</v>
      </c>
      <c r="AO66"/>
      <c r="AS66" t="s">
        <v>6119</v>
      </c>
      <c r="AT66">
        <f>AW10</f>
        <v>0</v>
      </c>
    </row>
    <row r="67" spans="1:46" ht="25" customHeight="1">
      <c r="AB67" s="100"/>
      <c r="AC67" s="101"/>
      <c r="AD67" s="101"/>
      <c r="AE67" s="101"/>
      <c r="AF67" s="101"/>
      <c r="AG67" s="101"/>
      <c r="AH67" s="110" t="str">
        <f t="shared" si="21"/>
        <v/>
      </c>
      <c r="AI67" s="106"/>
      <c r="AJ67" s="106"/>
      <c r="AK67" s="109" t="str">
        <f t="shared" si="23"/>
        <v/>
      </c>
      <c r="AL67" t="str">
        <f t="shared" si="24"/>
        <v>시운전 및 점검</v>
      </c>
      <c r="AM67">
        <f t="shared" si="25"/>
        <v>12.5</v>
      </c>
      <c r="AN67">
        <f t="shared" si="26"/>
        <v>2</v>
      </c>
      <c r="AO67"/>
      <c r="AS67" t="s">
        <v>6120</v>
      </c>
      <c r="AT67">
        <f>AV11</f>
        <v>0</v>
      </c>
    </row>
    <row r="68" spans="1:46" ht="25" customHeight="1">
      <c r="AB68" s="100"/>
      <c r="AC68" s="101"/>
      <c r="AD68" s="101"/>
      <c r="AE68" s="101"/>
      <c r="AF68" s="101"/>
      <c r="AG68" s="101"/>
      <c r="AH68" s="110" t="str">
        <f t="shared" si="21"/>
        <v/>
      </c>
      <c r="AI68" s="106"/>
      <c r="AJ68" s="106"/>
      <c r="AK68" s="109" t="str">
        <f t="shared" si="23"/>
        <v/>
      </c>
      <c r="AL68" t="str">
        <f t="shared" si="24"/>
        <v>전원차단</v>
      </c>
      <c r="AM68">
        <f t="shared" si="25"/>
        <v>11</v>
      </c>
      <c r="AN68">
        <f t="shared" si="26"/>
        <v>2.2999999999999998</v>
      </c>
      <c r="AO68"/>
      <c r="AS68" t="s">
        <v>6121</v>
      </c>
      <c r="AT68">
        <f>AW11</f>
        <v>40</v>
      </c>
    </row>
    <row r="69" spans="1:46" ht="25" customHeight="1">
      <c r="AB69" s="100"/>
      <c r="AC69" s="101"/>
      <c r="AD69" s="101"/>
      <c r="AE69" s="101"/>
      <c r="AF69" s="101"/>
      <c r="AG69" s="101"/>
      <c r="AH69" s="110" t="str">
        <f t="shared" si="21"/>
        <v/>
      </c>
      <c r="AI69" s="106"/>
      <c r="AJ69" s="106"/>
      <c r="AK69" s="109" t="str">
        <f t="shared" si="23"/>
        <v/>
      </c>
      <c r="AL69" t="str">
        <f t="shared" si="24"/>
        <v>접지 점검</v>
      </c>
      <c r="AM69">
        <f t="shared" si="25"/>
        <v>10.3</v>
      </c>
      <c r="AN69">
        <f t="shared" si="26"/>
        <v>2.7</v>
      </c>
      <c r="AO69"/>
    </row>
    <row r="70" spans="1:46" ht="25" customHeight="1">
      <c r="AB70" s="100"/>
      <c r="AC70" s="101"/>
      <c r="AD70" s="101"/>
      <c r="AE70" s="101"/>
      <c r="AF70" s="101"/>
      <c r="AG70" s="101"/>
      <c r="AH70" s="110" t="str">
        <f t="shared" si="21"/>
        <v/>
      </c>
      <c r="AI70" s="106"/>
      <c r="AJ70" s="106"/>
      <c r="AK70" s="109" t="str">
        <f t="shared" si="23"/>
        <v/>
      </c>
      <c r="AL70" t="str">
        <f t="shared" si="24"/>
        <v>케이블 결선</v>
      </c>
      <c r="AM70">
        <f t="shared" si="25"/>
        <v>10.7</v>
      </c>
      <c r="AN70">
        <f t="shared" si="26"/>
        <v>2.7</v>
      </c>
      <c r="AO70"/>
    </row>
    <row r="71" spans="1:46" ht="25" customHeight="1">
      <c r="AB71" s="100"/>
      <c r="AC71" s="101"/>
      <c r="AD71" s="101"/>
      <c r="AE71" s="101"/>
      <c r="AF71" s="101"/>
      <c r="AG71" s="101"/>
      <c r="AH71" s="110" t="str">
        <f t="shared" si="21"/>
        <v/>
      </c>
      <c r="AI71" s="106"/>
      <c r="AJ71" s="106"/>
      <c r="AK71" s="109" t="str">
        <f t="shared" si="23"/>
        <v/>
      </c>
      <c r="AL71" t="str">
        <f t="shared" si="24"/>
        <v>케이블 정비</v>
      </c>
      <c r="AM71">
        <f t="shared" si="25"/>
        <v>7.3</v>
      </c>
      <c r="AN71">
        <f t="shared" si="26"/>
        <v>2.2999999999999998</v>
      </c>
      <c r="AO71"/>
    </row>
    <row r="72" spans="1:46" ht="25" customHeight="1">
      <c r="AB72" s="100"/>
      <c r="AC72" s="101"/>
      <c r="AD72" s="101"/>
      <c r="AE72" s="101"/>
      <c r="AF72" s="101"/>
      <c r="AG72" s="101"/>
      <c r="AH72" s="110" t="str">
        <f t="shared" si="21"/>
        <v/>
      </c>
      <c r="AI72" s="106"/>
      <c r="AJ72" s="106"/>
      <c r="AK72" s="109" t="str">
        <f t="shared" si="23"/>
        <v/>
      </c>
      <c r="AL72" t="str">
        <f t="shared" si="24"/>
        <v/>
      </c>
      <c r="AM72" t="str">
        <f t="shared" si="25"/>
        <v/>
      </c>
      <c r="AN72" t="str">
        <f t="shared" si="26"/>
        <v/>
      </c>
      <c r="AO72"/>
    </row>
    <row r="73" spans="1:46" ht="25" customHeight="1">
      <c r="AB73" s="100"/>
      <c r="AC73" s="101"/>
      <c r="AD73" s="101"/>
      <c r="AE73" s="101"/>
      <c r="AF73" s="101"/>
      <c r="AG73" s="101"/>
      <c r="AH73" s="110" t="str">
        <f t="shared" si="21"/>
        <v/>
      </c>
      <c r="AI73" s="106"/>
      <c r="AJ73" s="106"/>
      <c r="AK73" s="109" t="str">
        <f t="shared" si="23"/>
        <v/>
      </c>
      <c r="AL73" t="str">
        <f t="shared" si="24"/>
        <v/>
      </c>
      <c r="AM73" t="str">
        <f t="shared" si="25"/>
        <v/>
      </c>
      <c r="AN73" t="str">
        <f t="shared" si="26"/>
        <v/>
      </c>
      <c r="AO73"/>
    </row>
    <row r="74" spans="1:46" ht="25" customHeight="1">
      <c r="AB74" s="100"/>
      <c r="AC74" s="101"/>
      <c r="AD74" s="101"/>
      <c r="AE74" s="101"/>
      <c r="AF74" s="101"/>
      <c r="AG74" s="101"/>
      <c r="AH74" s="110" t="str">
        <f t="shared" si="21"/>
        <v/>
      </c>
      <c r="AI74" s="106"/>
      <c r="AJ74" s="106"/>
      <c r="AK74" s="109" t="str">
        <f t="shared" si="23"/>
        <v/>
      </c>
      <c r="AL74" t="str">
        <f t="shared" si="24"/>
        <v/>
      </c>
      <c r="AM74" t="str">
        <f t="shared" si="25"/>
        <v/>
      </c>
      <c r="AN74" t="str">
        <f t="shared" si="26"/>
        <v/>
      </c>
      <c r="AO74"/>
    </row>
    <row r="75" spans="1:46" ht="25" customHeight="1">
      <c r="AB75" s="100"/>
      <c r="AC75" s="101"/>
      <c r="AD75" s="101"/>
      <c r="AE75" s="101"/>
      <c r="AF75" s="101"/>
      <c r="AG75" s="101"/>
      <c r="AH75" s="110" t="str">
        <f t="shared" si="21"/>
        <v/>
      </c>
      <c r="AI75" s="106"/>
      <c r="AJ75" s="106"/>
      <c r="AK75" s="109" t="str">
        <f t="shared" si="23"/>
        <v/>
      </c>
      <c r="AL75" t="str">
        <f t="shared" si="24"/>
        <v/>
      </c>
      <c r="AM75" t="str">
        <f t="shared" si="25"/>
        <v/>
      </c>
      <c r="AN75" t="str">
        <f t="shared" si="26"/>
        <v/>
      </c>
      <c r="AO75"/>
    </row>
    <row r="76" spans="1:46" ht="25" customHeight="1">
      <c r="AB76" s="100"/>
      <c r="AC76" s="101"/>
      <c r="AD76" s="101"/>
      <c r="AE76" s="101"/>
      <c r="AF76" s="101"/>
      <c r="AG76" s="101"/>
      <c r="AH76" s="110" t="str">
        <f t="shared" si="21"/>
        <v/>
      </c>
      <c r="AI76" s="106"/>
      <c r="AJ76" s="106"/>
      <c r="AK76" s="109" t="str">
        <f t="shared" si="23"/>
        <v/>
      </c>
      <c r="AL76" t="str">
        <f t="shared" si="24"/>
        <v/>
      </c>
      <c r="AM76" t="str">
        <f t="shared" si="25"/>
        <v/>
      </c>
      <c r="AN76" t="str">
        <f t="shared" si="26"/>
        <v/>
      </c>
      <c r="AO76"/>
    </row>
    <row r="77" spans="1:46" ht="25" customHeight="1">
      <c r="AB77" s="100"/>
      <c r="AC77" s="101"/>
      <c r="AD77" s="101"/>
      <c r="AE77" s="101"/>
      <c r="AF77" s="101"/>
      <c r="AG77" s="101"/>
      <c r="AH77" s="110" t="str">
        <f t="shared" si="21"/>
        <v/>
      </c>
      <c r="AI77" s="106"/>
      <c r="AJ77" s="106"/>
      <c r="AK77" s="109" t="str">
        <f t="shared" ref="AK77:AK89" si="27">IF(AND(AI77&lt;&gt;"",AJ77&lt;&gt;""),AI77*AJ77,"")</f>
        <v/>
      </c>
      <c r="AL77" t="str">
        <f t="shared" si="24"/>
        <v/>
      </c>
      <c r="AM77" t="str">
        <f t="shared" si="25"/>
        <v/>
      </c>
      <c r="AN77" t="str">
        <f t="shared" si="26"/>
        <v/>
      </c>
      <c r="AO77"/>
    </row>
    <row r="78" spans="1:46" ht="25" customHeight="1">
      <c r="AB78" s="100"/>
      <c r="AC78" s="101"/>
      <c r="AD78" s="101"/>
      <c r="AE78" s="101"/>
      <c r="AF78" s="101"/>
      <c r="AG78" s="101"/>
      <c r="AH78" s="110" t="str">
        <f t="shared" si="21"/>
        <v/>
      </c>
      <c r="AI78" s="106"/>
      <c r="AJ78" s="106"/>
      <c r="AK78" s="109" t="str">
        <f t="shared" si="27"/>
        <v/>
      </c>
      <c r="AL78" t="str">
        <f t="shared" si="24"/>
        <v/>
      </c>
      <c r="AM78" t="str">
        <f t="shared" si="25"/>
        <v/>
      </c>
      <c r="AN78" t="str">
        <f t="shared" si="26"/>
        <v/>
      </c>
      <c r="AO78"/>
    </row>
    <row r="79" spans="1:46" ht="25" customHeight="1">
      <c r="AB79" s="100"/>
      <c r="AC79" s="101"/>
      <c r="AD79" s="101"/>
      <c r="AE79" s="101"/>
      <c r="AF79" s="101"/>
      <c r="AG79" s="101"/>
      <c r="AH79" s="110" t="str">
        <f t="shared" si="21"/>
        <v/>
      </c>
      <c r="AI79" s="106"/>
      <c r="AJ79" s="106"/>
      <c r="AK79" s="109" t="str">
        <f t="shared" si="27"/>
        <v/>
      </c>
      <c r="AL79" t="str">
        <f t="shared" si="24"/>
        <v/>
      </c>
      <c r="AM79" t="str">
        <f t="shared" si="25"/>
        <v/>
      </c>
      <c r="AN79" t="str">
        <f t="shared" si="26"/>
        <v/>
      </c>
      <c r="AO79"/>
    </row>
    <row r="80" spans="1:46" ht="25" customHeight="1">
      <c r="AB80" s="100"/>
      <c r="AC80" s="101"/>
      <c r="AD80" s="101"/>
      <c r="AE80" s="101"/>
      <c r="AF80" s="101"/>
      <c r="AG80" s="101"/>
      <c r="AH80" s="110" t="str">
        <f t="shared" si="21"/>
        <v/>
      </c>
      <c r="AI80" s="106"/>
      <c r="AJ80" s="106"/>
      <c r="AK80" s="109" t="str">
        <f t="shared" si="27"/>
        <v/>
      </c>
      <c r="AL80" t="str">
        <f t="shared" si="24"/>
        <v/>
      </c>
      <c r="AM80" t="str">
        <f t="shared" si="25"/>
        <v/>
      </c>
      <c r="AN80" t="str">
        <f t="shared" si="26"/>
        <v/>
      </c>
      <c r="AO80"/>
    </row>
    <row r="81" spans="28:41" ht="25" customHeight="1">
      <c r="AB81" s="100"/>
      <c r="AC81" s="101"/>
      <c r="AD81" s="101"/>
      <c r="AE81" s="101"/>
      <c r="AF81" s="101"/>
      <c r="AG81" s="101"/>
      <c r="AH81" s="110" t="str">
        <f t="shared" si="21"/>
        <v/>
      </c>
      <c r="AI81" s="106"/>
      <c r="AJ81" s="106"/>
      <c r="AK81" s="109" t="str">
        <f t="shared" si="27"/>
        <v/>
      </c>
      <c r="AL81" t="str">
        <f t="shared" si="24"/>
        <v/>
      </c>
      <c r="AM81" t="str">
        <f t="shared" si="25"/>
        <v/>
      </c>
      <c r="AN81" t="str">
        <f t="shared" si="26"/>
        <v/>
      </c>
      <c r="AO81"/>
    </row>
    <row r="82" spans="28:41" ht="25" customHeight="1">
      <c r="AB82" s="100"/>
      <c r="AC82" s="101"/>
      <c r="AD82" s="101"/>
      <c r="AE82" s="101"/>
      <c r="AF82" s="101"/>
      <c r="AG82" s="101"/>
      <c r="AH82" s="110" t="str">
        <f t="shared" si="21"/>
        <v/>
      </c>
      <c r="AI82" s="106"/>
      <c r="AJ82" s="106"/>
      <c r="AK82" s="109" t="str">
        <f t="shared" si="27"/>
        <v/>
      </c>
      <c r="AL82" t="str">
        <f t="shared" si="24"/>
        <v/>
      </c>
      <c r="AM82" t="str">
        <f t="shared" si="25"/>
        <v/>
      </c>
      <c r="AN82" t="str">
        <f t="shared" si="26"/>
        <v/>
      </c>
      <c r="AO82"/>
    </row>
    <row r="83" spans="28:41" ht="25" customHeight="1">
      <c r="AB83" s="100"/>
      <c r="AC83" s="101"/>
      <c r="AD83" s="101"/>
      <c r="AE83" s="101"/>
      <c r="AF83" s="101"/>
      <c r="AG83" s="101"/>
      <c r="AH83" s="110" t="str">
        <f t="shared" si="21"/>
        <v/>
      </c>
      <c r="AI83" s="106"/>
      <c r="AJ83" s="106"/>
      <c r="AK83" s="109" t="str">
        <f t="shared" si="27"/>
        <v/>
      </c>
      <c r="AL83" t="str">
        <f t="shared" si="24"/>
        <v/>
      </c>
      <c r="AM83" t="str">
        <f t="shared" si="25"/>
        <v/>
      </c>
      <c r="AN83" t="str">
        <f t="shared" si="26"/>
        <v/>
      </c>
      <c r="AO83"/>
    </row>
    <row r="84" spans="28:41" ht="25" customHeight="1">
      <c r="AB84" s="100"/>
      <c r="AC84" s="101"/>
      <c r="AD84" s="101"/>
      <c r="AE84" s="101"/>
      <c r="AF84" s="101"/>
      <c r="AG84" s="101"/>
      <c r="AH84" s="110" t="str">
        <f t="shared" si="21"/>
        <v/>
      </c>
      <c r="AI84" s="106"/>
      <c r="AJ84" s="106"/>
      <c r="AK84" s="109" t="str">
        <f t="shared" si="27"/>
        <v/>
      </c>
      <c r="AL84" t="str">
        <f t="shared" si="24"/>
        <v/>
      </c>
      <c r="AM84" t="str">
        <f t="shared" si="25"/>
        <v/>
      </c>
      <c r="AN84" t="str">
        <f t="shared" si="26"/>
        <v/>
      </c>
      <c r="AO84"/>
    </row>
    <row r="85" spans="28:41" ht="25" customHeight="1">
      <c r="AB85" s="100"/>
      <c r="AC85" s="101"/>
      <c r="AD85" s="101"/>
      <c r="AE85" s="101"/>
      <c r="AF85" s="101"/>
      <c r="AG85" s="101"/>
      <c r="AH85" s="110" t="str">
        <f t="shared" si="21"/>
        <v/>
      </c>
      <c r="AI85" s="106"/>
      <c r="AJ85" s="106"/>
      <c r="AK85" s="109" t="str">
        <f t="shared" si="27"/>
        <v/>
      </c>
      <c r="AL85" t="str">
        <f t="shared" si="24"/>
        <v/>
      </c>
      <c r="AM85" t="str">
        <f t="shared" si="25"/>
        <v/>
      </c>
      <c r="AN85" t="str">
        <f t="shared" si="26"/>
        <v/>
      </c>
      <c r="AO85"/>
    </row>
    <row r="86" spans="28:41" ht="25" customHeight="1">
      <c r="AB86" s="100"/>
      <c r="AC86" s="101"/>
      <c r="AD86" s="101"/>
      <c r="AE86" s="101"/>
      <c r="AF86" s="101"/>
      <c r="AG86" s="101"/>
      <c r="AH86" s="110" t="str">
        <f t="shared" si="21"/>
        <v/>
      </c>
      <c r="AI86" s="106"/>
      <c r="AJ86" s="106"/>
      <c r="AK86" s="109" t="str">
        <f t="shared" si="27"/>
        <v/>
      </c>
      <c r="AL86" t="str">
        <f t="shared" si="24"/>
        <v/>
      </c>
      <c r="AM86" t="str">
        <f t="shared" si="25"/>
        <v/>
      </c>
      <c r="AN86" t="str">
        <f t="shared" si="26"/>
        <v/>
      </c>
      <c r="AO86"/>
    </row>
    <row r="87" spans="28:41" ht="25" customHeight="1">
      <c r="AB87" s="100"/>
      <c r="AC87" s="101"/>
      <c r="AD87" s="101"/>
      <c r="AE87" s="101"/>
      <c r="AF87" s="101"/>
      <c r="AG87" s="101"/>
      <c r="AH87" s="110" t="str">
        <f t="shared" si="21"/>
        <v/>
      </c>
      <c r="AI87" s="106"/>
      <c r="AJ87" s="106"/>
      <c r="AK87" s="109" t="str">
        <f t="shared" si="27"/>
        <v/>
      </c>
      <c r="AL87" t="str">
        <f t="shared" si="24"/>
        <v/>
      </c>
      <c r="AM87" t="str">
        <f t="shared" si="25"/>
        <v/>
      </c>
      <c r="AN87" t="str">
        <f t="shared" si="26"/>
        <v/>
      </c>
      <c r="AO87"/>
    </row>
    <row r="88" spans="28:41" ht="25" customHeight="1">
      <c r="AB88" s="100"/>
      <c r="AC88" s="101"/>
      <c r="AD88" s="101"/>
      <c r="AE88" s="101"/>
      <c r="AF88" s="101"/>
      <c r="AG88" s="101"/>
      <c r="AH88" s="110" t="str">
        <f t="shared" si="21"/>
        <v/>
      </c>
      <c r="AI88" s="106"/>
      <c r="AJ88" s="106"/>
      <c r="AK88" s="109" t="str">
        <f t="shared" si="27"/>
        <v/>
      </c>
      <c r="AL88" t="str">
        <f t="shared" si="24"/>
        <v/>
      </c>
      <c r="AM88" t="str">
        <f t="shared" si="25"/>
        <v/>
      </c>
      <c r="AN88" t="str">
        <f t="shared" si="26"/>
        <v/>
      </c>
      <c r="AO88"/>
    </row>
    <row r="89" spans="28:41" ht="25" customHeight="1">
      <c r="AB89" s="100"/>
      <c r="AC89" s="101"/>
      <c r="AD89" s="101"/>
      <c r="AE89" s="101"/>
      <c r="AF89" s="101"/>
      <c r="AG89" s="101"/>
      <c r="AH89" s="110" t="str">
        <f t="shared" si="21"/>
        <v/>
      </c>
      <c r="AI89" s="106"/>
      <c r="AJ89" s="106"/>
      <c r="AK89" s="109" t="str">
        <f t="shared" si="27"/>
        <v/>
      </c>
      <c r="AL89" t="str">
        <f t="shared" si="24"/>
        <v/>
      </c>
      <c r="AM89" t="str">
        <f t="shared" si="25"/>
        <v/>
      </c>
      <c r="AN89" t="str">
        <f t="shared" si="26"/>
        <v/>
      </c>
      <c r="AO89"/>
    </row>
    <row r="90" spans="28:41" ht="25" customHeight="1">
      <c r="AB90" s="100"/>
      <c r="AC90" s="101"/>
      <c r="AD90" s="101"/>
      <c r="AE90" s="101"/>
      <c r="AF90" s="101"/>
      <c r="AG90" s="101"/>
      <c r="AH90" s="110" t="str">
        <f t="shared" si="21"/>
        <v/>
      </c>
      <c r="AI90" s="106"/>
      <c r="AJ90" s="106"/>
      <c r="AK90" s="109" t="str">
        <f t="shared" ref="AK90:AK107" si="28">IF(AND(AI90&lt;&gt;"",AJ90&lt;&gt;""),AI90*AJ90,"")</f>
        <v/>
      </c>
      <c r="AL90" t="str">
        <f t="shared" si="24"/>
        <v/>
      </c>
      <c r="AM90" t="str">
        <f t="shared" si="25"/>
        <v/>
      </c>
      <c r="AN90" t="str">
        <f t="shared" si="26"/>
        <v/>
      </c>
      <c r="AO90"/>
    </row>
    <row r="91" spans="28:41" ht="25" customHeight="1">
      <c r="AB91" s="100"/>
      <c r="AC91" s="101"/>
      <c r="AD91" s="101"/>
      <c r="AE91" s="101"/>
      <c r="AF91" s="101"/>
      <c r="AG91" s="101"/>
      <c r="AH91" s="110" t="str">
        <f t="shared" si="21"/>
        <v/>
      </c>
      <c r="AI91" s="106"/>
      <c r="AJ91" s="106"/>
      <c r="AK91" s="109" t="str">
        <f t="shared" si="28"/>
        <v/>
      </c>
      <c r="AL91" t="str">
        <f t="shared" si="24"/>
        <v/>
      </c>
      <c r="AM91" t="str">
        <f t="shared" si="25"/>
        <v/>
      </c>
      <c r="AN91" t="str">
        <f t="shared" si="26"/>
        <v/>
      </c>
      <c r="AO91"/>
    </row>
    <row r="92" spans="28:41" ht="25" customHeight="1">
      <c r="AB92" s="100"/>
      <c r="AC92" s="101"/>
      <c r="AD92" s="101"/>
      <c r="AE92" s="101"/>
      <c r="AF92" s="101"/>
      <c r="AG92" s="101"/>
      <c r="AH92" s="110" t="str">
        <f t="shared" si="21"/>
        <v/>
      </c>
      <c r="AI92" s="106"/>
      <c r="AJ92" s="106"/>
      <c r="AK92" s="109" t="str">
        <f t="shared" si="28"/>
        <v/>
      </c>
      <c r="AL92" t="str">
        <f t="shared" si="24"/>
        <v/>
      </c>
      <c r="AM92" t="str">
        <f t="shared" si="25"/>
        <v/>
      </c>
      <c r="AN92" t="str">
        <f t="shared" si="26"/>
        <v/>
      </c>
      <c r="AO92"/>
    </row>
    <row r="93" spans="28:41" ht="25" customHeight="1">
      <c r="AB93" s="100"/>
      <c r="AC93" s="101"/>
      <c r="AD93" s="101"/>
      <c r="AE93" s="101"/>
      <c r="AF93" s="101"/>
      <c r="AG93" s="101"/>
      <c r="AH93" s="110" t="str">
        <f t="shared" si="21"/>
        <v/>
      </c>
      <c r="AI93" s="106"/>
      <c r="AJ93" s="106"/>
      <c r="AK93" s="109" t="str">
        <f t="shared" si="28"/>
        <v/>
      </c>
      <c r="AL93" t="str">
        <f t="shared" ref="AL93:AL110" si="29">IF(AL40="","",AL40)</f>
        <v/>
      </c>
      <c r="AM93" t="str">
        <f t="shared" ref="AM93:AM110" si="30">IF(AL40="","",IF(AO40="-",0,AO40))</f>
        <v/>
      </c>
      <c r="AN93" t="str">
        <f t="shared" ref="AN93:AN110" si="31">IF(AL40="","",IF(AP40="-",0,AP40))</f>
        <v/>
      </c>
      <c r="AO93"/>
    </row>
    <row r="94" spans="28:41" ht="25" customHeight="1">
      <c r="AB94" s="100"/>
      <c r="AC94" s="101"/>
      <c r="AD94" s="101"/>
      <c r="AE94" s="101"/>
      <c r="AF94" s="101"/>
      <c r="AG94" s="101"/>
      <c r="AH94" s="110" t="str">
        <f t="shared" si="21"/>
        <v/>
      </c>
      <c r="AI94" s="106"/>
      <c r="AJ94" s="106"/>
      <c r="AK94" s="109" t="str">
        <f t="shared" si="28"/>
        <v/>
      </c>
      <c r="AL94" t="str">
        <f t="shared" si="29"/>
        <v/>
      </c>
      <c r="AM94" t="str">
        <f t="shared" si="30"/>
        <v/>
      </c>
      <c r="AN94" t="str">
        <f t="shared" si="31"/>
        <v/>
      </c>
      <c r="AO94"/>
    </row>
    <row r="95" spans="28:41" ht="25" customHeight="1">
      <c r="AB95" s="100"/>
      <c r="AC95" s="101"/>
      <c r="AD95" s="101"/>
      <c r="AE95" s="101"/>
      <c r="AF95" s="101"/>
      <c r="AG95" s="101"/>
      <c r="AH95" s="110" t="str">
        <f t="shared" si="21"/>
        <v/>
      </c>
      <c r="AI95" s="106"/>
      <c r="AJ95" s="106"/>
      <c r="AK95" s="109" t="str">
        <f t="shared" si="28"/>
        <v/>
      </c>
      <c r="AL95" t="str">
        <f t="shared" si="29"/>
        <v/>
      </c>
      <c r="AM95" t="str">
        <f t="shared" si="30"/>
        <v/>
      </c>
      <c r="AN95" t="str">
        <f t="shared" si="31"/>
        <v/>
      </c>
      <c r="AO95"/>
    </row>
    <row r="96" spans="28:41" ht="25" customHeight="1">
      <c r="AB96" s="100"/>
      <c r="AC96" s="101"/>
      <c r="AD96" s="101"/>
      <c r="AE96" s="101"/>
      <c r="AF96" s="101"/>
      <c r="AG96" s="101"/>
      <c r="AH96" s="110" t="str">
        <f t="shared" si="21"/>
        <v/>
      </c>
      <c r="AI96" s="106"/>
      <c r="AJ96" s="106"/>
      <c r="AK96" s="109" t="str">
        <f t="shared" si="28"/>
        <v/>
      </c>
      <c r="AL96" t="str">
        <f t="shared" si="29"/>
        <v/>
      </c>
      <c r="AM96" t="str">
        <f t="shared" si="30"/>
        <v/>
      </c>
      <c r="AN96" t="str">
        <f t="shared" si="31"/>
        <v/>
      </c>
      <c r="AO96"/>
    </row>
    <row r="97" spans="28:41" ht="25" customHeight="1">
      <c r="AB97" s="100"/>
      <c r="AC97" s="101"/>
      <c r="AD97" s="101"/>
      <c r="AE97" s="101"/>
      <c r="AF97" s="101"/>
      <c r="AG97" s="101"/>
      <c r="AH97" s="110" t="str">
        <f t="shared" si="21"/>
        <v/>
      </c>
      <c r="AI97" s="106"/>
      <c r="AJ97" s="106"/>
      <c r="AK97" s="109" t="str">
        <f t="shared" si="28"/>
        <v/>
      </c>
      <c r="AL97" t="str">
        <f t="shared" si="29"/>
        <v/>
      </c>
      <c r="AM97" t="str">
        <f t="shared" si="30"/>
        <v/>
      </c>
      <c r="AN97" t="str">
        <f t="shared" si="31"/>
        <v/>
      </c>
      <c r="AO97"/>
    </row>
    <row r="98" spans="28:41" ht="25" customHeight="1">
      <c r="AB98" s="100"/>
      <c r="AC98" s="101"/>
      <c r="AD98" s="101"/>
      <c r="AE98" s="101"/>
      <c r="AF98" s="101"/>
      <c r="AG98" s="101"/>
      <c r="AH98" s="110" t="str">
        <f t="shared" si="21"/>
        <v/>
      </c>
      <c r="AI98" s="106"/>
      <c r="AJ98" s="106"/>
      <c r="AK98" s="109" t="str">
        <f t="shared" si="28"/>
        <v/>
      </c>
      <c r="AL98" t="str">
        <f t="shared" si="29"/>
        <v/>
      </c>
      <c r="AM98" t="str">
        <f t="shared" si="30"/>
        <v/>
      </c>
      <c r="AN98" t="str">
        <f t="shared" si="31"/>
        <v/>
      </c>
      <c r="AO98"/>
    </row>
    <row r="99" spans="28:41" ht="25" customHeight="1">
      <c r="AB99" s="100"/>
      <c r="AC99" s="101"/>
      <c r="AD99" s="101"/>
      <c r="AE99" s="101"/>
      <c r="AF99" s="101"/>
      <c r="AG99" s="101"/>
      <c r="AH99" s="110" t="str">
        <f t="shared" si="21"/>
        <v/>
      </c>
      <c r="AI99" s="106"/>
      <c r="AJ99" s="106"/>
      <c r="AK99" s="109" t="str">
        <f t="shared" si="28"/>
        <v/>
      </c>
      <c r="AL99" t="str">
        <f t="shared" si="29"/>
        <v/>
      </c>
      <c r="AM99" t="str">
        <f t="shared" si="30"/>
        <v/>
      </c>
      <c r="AN99" t="str">
        <f t="shared" si="31"/>
        <v/>
      </c>
      <c r="AO99"/>
    </row>
    <row r="100" spans="28:41" ht="25" customHeight="1">
      <c r="AB100" s="100"/>
      <c r="AC100" s="101"/>
      <c r="AD100" s="101"/>
      <c r="AE100" s="101"/>
      <c r="AF100" s="101"/>
      <c r="AG100" s="101"/>
      <c r="AH100" s="110" t="str">
        <f t="shared" si="21"/>
        <v/>
      </c>
      <c r="AI100" s="106"/>
      <c r="AJ100" s="106"/>
      <c r="AK100" s="109" t="str">
        <f t="shared" si="28"/>
        <v/>
      </c>
      <c r="AL100" t="str">
        <f t="shared" si="29"/>
        <v/>
      </c>
      <c r="AM100" t="str">
        <f t="shared" si="30"/>
        <v/>
      </c>
      <c r="AN100" t="str">
        <f t="shared" si="31"/>
        <v/>
      </c>
      <c r="AO100"/>
    </row>
    <row r="101" spans="28:41" ht="25" customHeight="1">
      <c r="AB101" s="100"/>
      <c r="AC101" s="101"/>
      <c r="AD101" s="101"/>
      <c r="AE101" s="101"/>
      <c r="AF101" s="101"/>
      <c r="AG101" s="101"/>
      <c r="AH101" s="110" t="str">
        <f t="shared" si="21"/>
        <v/>
      </c>
      <c r="AI101" s="106"/>
      <c r="AJ101" s="106"/>
      <c r="AK101" s="109" t="str">
        <f t="shared" si="28"/>
        <v/>
      </c>
      <c r="AL101" t="str">
        <f t="shared" si="29"/>
        <v/>
      </c>
      <c r="AM101" t="str">
        <f t="shared" si="30"/>
        <v/>
      </c>
      <c r="AN101" t="str">
        <f t="shared" si="31"/>
        <v/>
      </c>
      <c r="AO101"/>
    </row>
    <row r="102" spans="28:41" ht="25" customHeight="1">
      <c r="AB102" s="100"/>
      <c r="AC102" s="101"/>
      <c r="AD102" s="101"/>
      <c r="AE102" s="101"/>
      <c r="AF102" s="101"/>
      <c r="AG102" s="101"/>
      <c r="AH102" s="110" t="str">
        <f t="shared" si="21"/>
        <v/>
      </c>
      <c r="AI102" s="106"/>
      <c r="AJ102" s="106"/>
      <c r="AK102" s="109" t="str">
        <f t="shared" si="28"/>
        <v/>
      </c>
      <c r="AL102" t="str">
        <f t="shared" si="29"/>
        <v/>
      </c>
      <c r="AM102" t="str">
        <f t="shared" si="30"/>
        <v/>
      </c>
      <c r="AN102" t="str">
        <f t="shared" si="31"/>
        <v/>
      </c>
      <c r="AO102"/>
    </row>
    <row r="103" spans="28:41" ht="25" customHeight="1">
      <c r="AB103" s="100"/>
      <c r="AC103" s="101"/>
      <c r="AD103" s="101"/>
      <c r="AE103" s="101"/>
      <c r="AF103" s="101"/>
      <c r="AG103" s="101"/>
      <c r="AH103" s="110" t="str">
        <f t="shared" ref="AH103:AH166" si="32">IF(AND(AF103&lt;&gt;"",AG103&lt;&gt;""),AF103*AG103,"")</f>
        <v/>
      </c>
      <c r="AI103" s="106"/>
      <c r="AJ103" s="106"/>
      <c r="AK103" s="109" t="str">
        <f t="shared" si="28"/>
        <v/>
      </c>
      <c r="AL103" t="str">
        <f t="shared" si="29"/>
        <v/>
      </c>
      <c r="AM103" t="str">
        <f t="shared" si="30"/>
        <v/>
      </c>
      <c r="AN103" t="str">
        <f t="shared" si="31"/>
        <v/>
      </c>
      <c r="AO103"/>
    </row>
    <row r="104" spans="28:41" ht="25" customHeight="1">
      <c r="AB104" s="100"/>
      <c r="AC104" s="101"/>
      <c r="AD104" s="101"/>
      <c r="AE104" s="101"/>
      <c r="AF104" s="101"/>
      <c r="AG104" s="101"/>
      <c r="AH104" s="110" t="str">
        <f t="shared" si="32"/>
        <v/>
      </c>
      <c r="AI104" s="106"/>
      <c r="AJ104" s="106"/>
      <c r="AK104" s="109" t="str">
        <f t="shared" si="28"/>
        <v/>
      </c>
      <c r="AL104" t="str">
        <f t="shared" si="29"/>
        <v/>
      </c>
      <c r="AM104" t="str">
        <f t="shared" si="30"/>
        <v/>
      </c>
      <c r="AN104" t="str">
        <f t="shared" si="31"/>
        <v/>
      </c>
      <c r="AO104"/>
    </row>
    <row r="105" spans="28:41" ht="25" customHeight="1">
      <c r="AB105" s="100"/>
      <c r="AC105" s="101"/>
      <c r="AD105" s="101"/>
      <c r="AE105" s="101"/>
      <c r="AF105" s="101"/>
      <c r="AG105" s="101"/>
      <c r="AH105" s="110" t="str">
        <f t="shared" si="32"/>
        <v/>
      </c>
      <c r="AI105" s="106"/>
      <c r="AJ105" s="106"/>
      <c r="AK105" s="109" t="str">
        <f t="shared" si="28"/>
        <v/>
      </c>
      <c r="AL105" t="str">
        <f t="shared" si="29"/>
        <v/>
      </c>
      <c r="AM105" t="str">
        <f t="shared" si="30"/>
        <v/>
      </c>
      <c r="AN105" t="str">
        <f t="shared" si="31"/>
        <v/>
      </c>
      <c r="AO105"/>
    </row>
    <row r="106" spans="28:41" ht="25" customHeight="1">
      <c r="AB106" s="100"/>
      <c r="AC106" s="101"/>
      <c r="AD106" s="101"/>
      <c r="AE106" s="101"/>
      <c r="AF106" s="101"/>
      <c r="AG106" s="101"/>
      <c r="AH106" s="110" t="str">
        <f t="shared" si="32"/>
        <v/>
      </c>
      <c r="AI106" s="106"/>
      <c r="AJ106" s="106"/>
      <c r="AK106" s="109" t="str">
        <f t="shared" si="28"/>
        <v/>
      </c>
      <c r="AL106" t="str">
        <f t="shared" si="29"/>
        <v/>
      </c>
      <c r="AM106" t="str">
        <f t="shared" si="30"/>
        <v/>
      </c>
      <c r="AN106" t="str">
        <f t="shared" si="31"/>
        <v/>
      </c>
      <c r="AO106"/>
    </row>
    <row r="107" spans="28:41" ht="25" customHeight="1">
      <c r="AB107" s="103"/>
      <c r="AC107" s="104"/>
      <c r="AD107" s="104"/>
      <c r="AE107" s="104"/>
      <c r="AF107" s="104"/>
      <c r="AG107" s="104"/>
      <c r="AH107" s="111" t="str">
        <f t="shared" si="32"/>
        <v/>
      </c>
      <c r="AI107" s="107"/>
      <c r="AJ107" s="107"/>
      <c r="AK107" s="108" t="str">
        <f t="shared" si="28"/>
        <v/>
      </c>
      <c r="AL107" t="str">
        <f t="shared" si="29"/>
        <v/>
      </c>
      <c r="AM107" t="str">
        <f t="shared" si="30"/>
        <v/>
      </c>
      <c r="AN107" t="str">
        <f t="shared" si="31"/>
        <v/>
      </c>
      <c r="AO107"/>
    </row>
    <row r="108" spans="28:41" ht="25" customHeight="1">
      <c r="AB108" s="100"/>
      <c r="AC108" s="101"/>
      <c r="AD108" s="101"/>
      <c r="AE108" s="101"/>
      <c r="AF108" s="101"/>
      <c r="AG108" s="101"/>
      <c r="AH108" s="110" t="str">
        <f t="shared" si="32"/>
        <v/>
      </c>
      <c r="AI108" s="106"/>
      <c r="AJ108" s="106"/>
      <c r="AK108" s="109" t="str">
        <f t="shared" ref="AK108" si="33">IF(AND(AI108&lt;&gt;"",AJ108&lt;&gt;""),AI108*AJ108,"")</f>
        <v/>
      </c>
      <c r="AL108" t="str">
        <f t="shared" si="29"/>
        <v/>
      </c>
      <c r="AM108" t="str">
        <f t="shared" si="30"/>
        <v/>
      </c>
      <c r="AN108" t="str">
        <f t="shared" si="31"/>
        <v/>
      </c>
      <c r="AO108"/>
    </row>
    <row r="109" spans="28:41" ht="25" customHeight="1">
      <c r="AB109" s="100"/>
      <c r="AC109" s="101"/>
      <c r="AD109" s="101"/>
      <c r="AE109" s="101"/>
      <c r="AF109" s="101"/>
      <c r="AG109" s="101"/>
      <c r="AH109" s="110" t="str">
        <f t="shared" si="32"/>
        <v/>
      </c>
      <c r="AI109" s="106"/>
      <c r="AJ109" s="106"/>
      <c r="AK109" s="109" t="str">
        <f t="shared" ref="AK109:AK126" si="34">IF(AND(AI109&lt;&gt;"",AJ109&lt;&gt;""),AI109*AJ109,"")</f>
        <v/>
      </c>
      <c r="AL109" t="str">
        <f t="shared" si="29"/>
        <v/>
      </c>
      <c r="AM109" t="str">
        <f t="shared" si="30"/>
        <v/>
      </c>
      <c r="AN109" t="str">
        <f t="shared" si="31"/>
        <v/>
      </c>
      <c r="AO109"/>
    </row>
    <row r="110" spans="28:41" ht="25" customHeight="1">
      <c r="AB110" s="100"/>
      <c r="AC110" s="101"/>
      <c r="AD110" s="101"/>
      <c r="AE110" s="101"/>
      <c r="AF110" s="101"/>
      <c r="AG110" s="101"/>
      <c r="AH110" s="110" t="str">
        <f t="shared" si="32"/>
        <v/>
      </c>
      <c r="AI110" s="106"/>
      <c r="AJ110" s="106"/>
      <c r="AK110" s="109" t="str">
        <f t="shared" si="34"/>
        <v/>
      </c>
      <c r="AL110" t="str">
        <f t="shared" si="29"/>
        <v/>
      </c>
      <c r="AM110" t="str">
        <f t="shared" si="30"/>
        <v/>
      </c>
      <c r="AN110" t="str">
        <f t="shared" si="31"/>
        <v/>
      </c>
      <c r="AO110"/>
    </row>
    <row r="111" spans="28:41" ht="25" customHeight="1">
      <c r="AB111" s="100"/>
      <c r="AC111" s="101"/>
      <c r="AD111" s="101"/>
      <c r="AE111" s="101"/>
      <c r="AF111" s="101"/>
      <c r="AG111" s="101"/>
      <c r="AH111" s="110" t="str">
        <f t="shared" si="32"/>
        <v/>
      </c>
      <c r="AI111" s="106"/>
      <c r="AJ111" s="106"/>
      <c r="AK111" s="109" t="str">
        <f t="shared" si="34"/>
        <v/>
      </c>
      <c r="AO111"/>
    </row>
    <row r="112" spans="28:41" ht="25" customHeight="1">
      <c r="AB112" s="100"/>
      <c r="AC112" s="101"/>
      <c r="AD112" s="101"/>
      <c r="AE112" s="101"/>
      <c r="AF112" s="101"/>
      <c r="AG112" s="101"/>
      <c r="AH112" s="110" t="str">
        <f t="shared" si="32"/>
        <v/>
      </c>
      <c r="AI112" s="106"/>
      <c r="AJ112" s="106"/>
      <c r="AK112" s="109" t="str">
        <f t="shared" si="34"/>
        <v/>
      </c>
      <c r="AO112"/>
    </row>
    <row r="113" spans="28:41" ht="25" customHeight="1">
      <c r="AB113" s="100"/>
      <c r="AC113" s="101"/>
      <c r="AD113" s="101"/>
      <c r="AE113" s="101"/>
      <c r="AF113" s="101"/>
      <c r="AG113" s="101"/>
      <c r="AH113" s="110" t="str">
        <f t="shared" si="32"/>
        <v/>
      </c>
      <c r="AI113" s="106"/>
      <c r="AJ113" s="106"/>
      <c r="AK113" s="109" t="str">
        <f t="shared" si="34"/>
        <v/>
      </c>
      <c r="AO113"/>
    </row>
    <row r="114" spans="28:41" ht="25" customHeight="1">
      <c r="AB114" s="100"/>
      <c r="AC114" s="101"/>
      <c r="AD114" s="101"/>
      <c r="AE114" s="101"/>
      <c r="AF114" s="101"/>
      <c r="AG114" s="101"/>
      <c r="AH114" s="110" t="str">
        <f t="shared" si="32"/>
        <v/>
      </c>
      <c r="AI114" s="106"/>
      <c r="AJ114" s="106"/>
      <c r="AK114" s="109" t="str">
        <f t="shared" si="34"/>
        <v/>
      </c>
      <c r="AO114"/>
    </row>
    <row r="115" spans="28:41" ht="25" customHeight="1">
      <c r="AB115" s="100"/>
      <c r="AC115" s="101"/>
      <c r="AD115" s="101"/>
      <c r="AE115" s="101"/>
      <c r="AF115" s="101"/>
      <c r="AG115" s="101"/>
      <c r="AH115" s="110" t="str">
        <f t="shared" si="32"/>
        <v/>
      </c>
      <c r="AI115" s="106"/>
      <c r="AJ115" s="106"/>
      <c r="AK115" s="109" t="str">
        <f t="shared" si="34"/>
        <v/>
      </c>
      <c r="AO115"/>
    </row>
    <row r="116" spans="28:41" ht="25" customHeight="1">
      <c r="AB116" s="100"/>
      <c r="AC116" s="101"/>
      <c r="AD116" s="101"/>
      <c r="AE116" s="101"/>
      <c r="AF116" s="101"/>
      <c r="AG116" s="101"/>
      <c r="AH116" s="110" t="str">
        <f t="shared" si="32"/>
        <v/>
      </c>
      <c r="AI116" s="106"/>
      <c r="AJ116" s="106"/>
      <c r="AK116" s="109" t="str">
        <f t="shared" si="34"/>
        <v/>
      </c>
      <c r="AO116"/>
    </row>
    <row r="117" spans="28:41" ht="25" customHeight="1">
      <c r="AB117" s="100"/>
      <c r="AC117" s="101"/>
      <c r="AD117" s="101"/>
      <c r="AE117" s="101"/>
      <c r="AF117" s="101"/>
      <c r="AG117" s="101"/>
      <c r="AH117" s="110" t="str">
        <f t="shared" si="32"/>
        <v/>
      </c>
      <c r="AI117" s="106"/>
      <c r="AJ117" s="106"/>
      <c r="AK117" s="109" t="str">
        <f t="shared" si="34"/>
        <v/>
      </c>
      <c r="AO117"/>
    </row>
    <row r="118" spans="28:41" ht="25" customHeight="1">
      <c r="AB118" s="100"/>
      <c r="AC118" s="101"/>
      <c r="AD118" s="101"/>
      <c r="AE118" s="101"/>
      <c r="AF118" s="101"/>
      <c r="AG118" s="101"/>
      <c r="AH118" s="110" t="str">
        <f t="shared" si="32"/>
        <v/>
      </c>
      <c r="AI118" s="106"/>
      <c r="AJ118" s="106"/>
      <c r="AK118" s="109" t="str">
        <f t="shared" si="34"/>
        <v/>
      </c>
      <c r="AO118"/>
    </row>
    <row r="119" spans="28:41" ht="25" customHeight="1">
      <c r="AB119" s="100"/>
      <c r="AC119" s="101"/>
      <c r="AD119" s="101"/>
      <c r="AE119" s="101"/>
      <c r="AF119" s="101"/>
      <c r="AG119" s="101"/>
      <c r="AH119" s="110" t="str">
        <f t="shared" si="32"/>
        <v/>
      </c>
      <c r="AI119" s="106"/>
      <c r="AJ119" s="106"/>
      <c r="AK119" s="109" t="str">
        <f t="shared" si="34"/>
        <v/>
      </c>
      <c r="AO119"/>
    </row>
    <row r="120" spans="28:41" ht="25" customHeight="1">
      <c r="AB120" s="100"/>
      <c r="AC120" s="101"/>
      <c r="AD120" s="101"/>
      <c r="AE120" s="101"/>
      <c r="AF120" s="101"/>
      <c r="AG120" s="101"/>
      <c r="AH120" s="110" t="str">
        <f t="shared" si="32"/>
        <v/>
      </c>
      <c r="AI120" s="106"/>
      <c r="AJ120" s="106"/>
      <c r="AK120" s="109" t="str">
        <f t="shared" si="34"/>
        <v/>
      </c>
      <c r="AO120"/>
    </row>
    <row r="121" spans="28:41" ht="25" customHeight="1">
      <c r="AB121" s="100"/>
      <c r="AC121" s="101"/>
      <c r="AD121" s="101"/>
      <c r="AE121" s="101"/>
      <c r="AF121" s="101"/>
      <c r="AG121" s="101"/>
      <c r="AH121" s="110" t="str">
        <f t="shared" si="32"/>
        <v/>
      </c>
      <c r="AI121" s="106"/>
      <c r="AJ121" s="106"/>
      <c r="AK121" s="109" t="str">
        <f t="shared" si="34"/>
        <v/>
      </c>
      <c r="AO121"/>
    </row>
    <row r="122" spans="28:41" ht="25" customHeight="1">
      <c r="AB122" s="100"/>
      <c r="AC122" s="101"/>
      <c r="AD122" s="101"/>
      <c r="AE122" s="101"/>
      <c r="AF122" s="101"/>
      <c r="AG122" s="101"/>
      <c r="AH122" s="110" t="str">
        <f t="shared" si="32"/>
        <v/>
      </c>
      <c r="AI122" s="106"/>
      <c r="AJ122" s="106"/>
      <c r="AK122" s="109" t="str">
        <f t="shared" si="34"/>
        <v/>
      </c>
      <c r="AO122"/>
    </row>
    <row r="123" spans="28:41" ht="25" customHeight="1">
      <c r="AB123" s="100"/>
      <c r="AC123" s="101"/>
      <c r="AD123" s="101"/>
      <c r="AE123" s="101"/>
      <c r="AF123" s="101"/>
      <c r="AG123" s="101"/>
      <c r="AH123" s="110" t="str">
        <f t="shared" si="32"/>
        <v/>
      </c>
      <c r="AI123" s="106"/>
      <c r="AJ123" s="106"/>
      <c r="AK123" s="109" t="str">
        <f t="shared" si="34"/>
        <v/>
      </c>
      <c r="AO123"/>
    </row>
    <row r="124" spans="28:41" ht="25" customHeight="1">
      <c r="AB124" s="100"/>
      <c r="AC124" s="101"/>
      <c r="AD124" s="101"/>
      <c r="AE124" s="101"/>
      <c r="AF124" s="101"/>
      <c r="AG124" s="101"/>
      <c r="AH124" s="110" t="str">
        <f t="shared" si="32"/>
        <v/>
      </c>
      <c r="AI124" s="106"/>
      <c r="AJ124" s="106"/>
      <c r="AK124" s="109" t="str">
        <f t="shared" si="34"/>
        <v/>
      </c>
      <c r="AO124"/>
    </row>
    <row r="125" spans="28:41" ht="25" customHeight="1">
      <c r="AB125" s="100"/>
      <c r="AC125" s="101"/>
      <c r="AD125" s="101"/>
      <c r="AE125" s="101"/>
      <c r="AF125" s="101"/>
      <c r="AG125" s="101"/>
      <c r="AH125" s="110" t="str">
        <f t="shared" si="32"/>
        <v/>
      </c>
      <c r="AI125" s="106"/>
      <c r="AJ125" s="106"/>
      <c r="AK125" s="109" t="str">
        <f t="shared" si="34"/>
        <v/>
      </c>
      <c r="AO125"/>
    </row>
    <row r="126" spans="28:41" ht="25" customHeight="1">
      <c r="AB126" s="100"/>
      <c r="AC126" s="101"/>
      <c r="AD126" s="101"/>
      <c r="AE126" s="101"/>
      <c r="AF126" s="101"/>
      <c r="AG126" s="101"/>
      <c r="AH126" s="110" t="str">
        <f t="shared" si="32"/>
        <v/>
      </c>
      <c r="AI126" s="106"/>
      <c r="AJ126" s="106"/>
      <c r="AK126" s="109" t="str">
        <f t="shared" si="34"/>
        <v/>
      </c>
      <c r="AO126"/>
    </row>
    <row r="127" spans="28:41" ht="25" customHeight="1">
      <c r="AB127" s="100"/>
      <c r="AC127" s="101"/>
      <c r="AD127" s="101"/>
      <c r="AE127" s="101"/>
      <c r="AF127" s="101"/>
      <c r="AG127" s="101"/>
      <c r="AH127" s="110" t="str">
        <f t="shared" si="32"/>
        <v/>
      </c>
      <c r="AI127" s="106"/>
      <c r="AJ127" s="106"/>
      <c r="AK127" s="109" t="str">
        <f t="shared" ref="AK127:AK139" si="35">IF(AND(AI127&lt;&gt;"",AJ127&lt;&gt;""),AI127*AJ127,"")</f>
        <v/>
      </c>
      <c r="AO127"/>
    </row>
    <row r="128" spans="28:41" ht="25" customHeight="1">
      <c r="AB128" s="100"/>
      <c r="AC128" s="101"/>
      <c r="AD128" s="101"/>
      <c r="AE128" s="101"/>
      <c r="AF128" s="101"/>
      <c r="AG128" s="101"/>
      <c r="AH128" s="110" t="str">
        <f t="shared" si="32"/>
        <v/>
      </c>
      <c r="AI128" s="106"/>
      <c r="AJ128" s="106"/>
      <c r="AK128" s="109" t="str">
        <f t="shared" si="35"/>
        <v/>
      </c>
      <c r="AO128"/>
    </row>
    <row r="129" spans="28:41" ht="25" customHeight="1">
      <c r="AB129" s="100"/>
      <c r="AC129" s="101"/>
      <c r="AD129" s="101"/>
      <c r="AE129" s="101"/>
      <c r="AF129" s="101"/>
      <c r="AG129" s="101"/>
      <c r="AH129" s="110" t="str">
        <f t="shared" si="32"/>
        <v/>
      </c>
      <c r="AI129" s="106"/>
      <c r="AJ129" s="106"/>
      <c r="AK129" s="109" t="str">
        <f t="shared" si="35"/>
        <v/>
      </c>
      <c r="AO129"/>
    </row>
    <row r="130" spans="28:41" ht="25" customHeight="1">
      <c r="AB130" s="100"/>
      <c r="AC130" s="101"/>
      <c r="AD130" s="101"/>
      <c r="AE130" s="101"/>
      <c r="AF130" s="101"/>
      <c r="AG130" s="101"/>
      <c r="AH130" s="110" t="str">
        <f t="shared" si="32"/>
        <v/>
      </c>
      <c r="AI130" s="106"/>
      <c r="AJ130" s="106"/>
      <c r="AK130" s="109" t="str">
        <f t="shared" si="35"/>
        <v/>
      </c>
      <c r="AO130"/>
    </row>
    <row r="131" spans="28:41" ht="25" customHeight="1">
      <c r="AB131" s="100"/>
      <c r="AC131" s="101"/>
      <c r="AD131" s="101"/>
      <c r="AE131" s="101"/>
      <c r="AF131" s="101"/>
      <c r="AG131" s="101"/>
      <c r="AH131" s="110" t="str">
        <f t="shared" si="32"/>
        <v/>
      </c>
      <c r="AI131" s="106"/>
      <c r="AJ131" s="106"/>
      <c r="AK131" s="109" t="str">
        <f t="shared" si="35"/>
        <v/>
      </c>
      <c r="AO131"/>
    </row>
    <row r="132" spans="28:41" ht="25" customHeight="1">
      <c r="AB132" s="100"/>
      <c r="AC132" s="101"/>
      <c r="AD132" s="101"/>
      <c r="AE132" s="101"/>
      <c r="AF132" s="101"/>
      <c r="AG132" s="101"/>
      <c r="AH132" s="110" t="str">
        <f t="shared" si="32"/>
        <v/>
      </c>
      <c r="AI132" s="106"/>
      <c r="AJ132" s="106"/>
      <c r="AK132" s="109" t="str">
        <f t="shared" si="35"/>
        <v/>
      </c>
      <c r="AO132"/>
    </row>
    <row r="133" spans="28:41" ht="25" customHeight="1">
      <c r="AB133" s="100"/>
      <c r="AC133" s="101"/>
      <c r="AD133" s="101"/>
      <c r="AE133" s="101"/>
      <c r="AF133" s="101"/>
      <c r="AG133" s="101"/>
      <c r="AH133" s="110" t="str">
        <f t="shared" si="32"/>
        <v/>
      </c>
      <c r="AI133" s="106"/>
      <c r="AJ133" s="106"/>
      <c r="AK133" s="109" t="str">
        <f t="shared" si="35"/>
        <v/>
      </c>
      <c r="AO133"/>
    </row>
    <row r="134" spans="28:41" ht="25" customHeight="1">
      <c r="AB134" s="100"/>
      <c r="AC134" s="101"/>
      <c r="AD134" s="101"/>
      <c r="AE134" s="101"/>
      <c r="AF134" s="101"/>
      <c r="AG134" s="101"/>
      <c r="AH134" s="110" t="str">
        <f t="shared" si="32"/>
        <v/>
      </c>
      <c r="AI134" s="106"/>
      <c r="AJ134" s="106"/>
      <c r="AK134" s="109" t="str">
        <f t="shared" si="35"/>
        <v/>
      </c>
      <c r="AO134"/>
    </row>
    <row r="135" spans="28:41" ht="25" customHeight="1">
      <c r="AB135" s="100"/>
      <c r="AC135" s="101"/>
      <c r="AD135" s="101"/>
      <c r="AE135" s="101"/>
      <c r="AF135" s="101"/>
      <c r="AG135" s="101"/>
      <c r="AH135" s="110" t="str">
        <f t="shared" si="32"/>
        <v/>
      </c>
      <c r="AI135" s="106"/>
      <c r="AJ135" s="106"/>
      <c r="AK135" s="109" t="str">
        <f t="shared" si="35"/>
        <v/>
      </c>
      <c r="AO135"/>
    </row>
    <row r="136" spans="28:41" ht="25" customHeight="1">
      <c r="AB136" s="100"/>
      <c r="AC136" s="101"/>
      <c r="AD136" s="101"/>
      <c r="AE136" s="101"/>
      <c r="AF136" s="101"/>
      <c r="AG136" s="101"/>
      <c r="AH136" s="110" t="str">
        <f t="shared" si="32"/>
        <v/>
      </c>
      <c r="AI136" s="106"/>
      <c r="AJ136" s="106"/>
      <c r="AK136" s="109" t="str">
        <f t="shared" si="35"/>
        <v/>
      </c>
      <c r="AO136"/>
    </row>
    <row r="137" spans="28:41" ht="25" customHeight="1">
      <c r="AB137" s="100"/>
      <c r="AC137" s="101"/>
      <c r="AD137" s="101"/>
      <c r="AE137" s="101"/>
      <c r="AF137" s="101"/>
      <c r="AG137" s="101"/>
      <c r="AH137" s="110" t="str">
        <f t="shared" si="32"/>
        <v/>
      </c>
      <c r="AI137" s="106"/>
      <c r="AJ137" s="106"/>
      <c r="AK137" s="109" t="str">
        <f t="shared" si="35"/>
        <v/>
      </c>
      <c r="AO137"/>
    </row>
    <row r="138" spans="28:41" ht="25" customHeight="1">
      <c r="AB138" s="100"/>
      <c r="AC138" s="101"/>
      <c r="AD138" s="101"/>
      <c r="AE138" s="101"/>
      <c r="AF138" s="101"/>
      <c r="AG138" s="101"/>
      <c r="AH138" s="110" t="str">
        <f t="shared" si="32"/>
        <v/>
      </c>
      <c r="AI138" s="106"/>
      <c r="AJ138" s="106"/>
      <c r="AK138" s="109" t="str">
        <f t="shared" si="35"/>
        <v/>
      </c>
      <c r="AO138"/>
    </row>
    <row r="139" spans="28:41" ht="25" customHeight="1">
      <c r="AB139" s="100"/>
      <c r="AC139" s="101"/>
      <c r="AD139" s="101"/>
      <c r="AE139" s="101"/>
      <c r="AF139" s="101"/>
      <c r="AG139" s="101"/>
      <c r="AH139" s="110" t="str">
        <f t="shared" si="32"/>
        <v/>
      </c>
      <c r="AI139" s="106"/>
      <c r="AJ139" s="106"/>
      <c r="AK139" s="109" t="str">
        <f t="shared" si="35"/>
        <v/>
      </c>
      <c r="AO139"/>
    </row>
    <row r="140" spans="28:41" ht="25" customHeight="1">
      <c r="AB140" s="100"/>
      <c r="AC140" s="101"/>
      <c r="AD140" s="101"/>
      <c r="AE140" s="101"/>
      <c r="AF140" s="101"/>
      <c r="AG140" s="101"/>
      <c r="AH140" s="110" t="str">
        <f t="shared" si="32"/>
        <v/>
      </c>
      <c r="AI140" s="106"/>
      <c r="AJ140" s="106"/>
      <c r="AK140" s="109" t="str">
        <f t="shared" ref="AK140:AK157" si="36">IF(AND(AI140&lt;&gt;"",AJ140&lt;&gt;""),AI140*AJ140,"")</f>
        <v/>
      </c>
      <c r="AO140"/>
    </row>
    <row r="141" spans="28:41" ht="25" customHeight="1">
      <c r="AB141" s="100"/>
      <c r="AC141" s="101"/>
      <c r="AD141" s="101"/>
      <c r="AE141" s="101"/>
      <c r="AF141" s="101"/>
      <c r="AG141" s="101"/>
      <c r="AH141" s="110" t="str">
        <f t="shared" si="32"/>
        <v/>
      </c>
      <c r="AI141" s="106"/>
      <c r="AJ141" s="106"/>
      <c r="AK141" s="109" t="str">
        <f t="shared" si="36"/>
        <v/>
      </c>
      <c r="AO141"/>
    </row>
    <row r="142" spans="28:41" ht="25" customHeight="1">
      <c r="AB142" s="100"/>
      <c r="AC142" s="101"/>
      <c r="AD142" s="101"/>
      <c r="AE142" s="101"/>
      <c r="AF142" s="101"/>
      <c r="AG142" s="101"/>
      <c r="AH142" s="110" t="str">
        <f t="shared" si="32"/>
        <v/>
      </c>
      <c r="AI142" s="106"/>
      <c r="AJ142" s="106"/>
      <c r="AK142" s="109" t="str">
        <f t="shared" si="36"/>
        <v/>
      </c>
      <c r="AO142"/>
    </row>
    <row r="143" spans="28:41" ht="25" customHeight="1">
      <c r="AB143" s="100"/>
      <c r="AC143" s="101"/>
      <c r="AD143" s="101"/>
      <c r="AE143" s="101"/>
      <c r="AF143" s="101"/>
      <c r="AG143" s="101"/>
      <c r="AH143" s="110" t="str">
        <f t="shared" si="32"/>
        <v/>
      </c>
      <c r="AI143" s="106"/>
      <c r="AJ143" s="106"/>
      <c r="AK143" s="109" t="str">
        <f t="shared" si="36"/>
        <v/>
      </c>
      <c r="AO143"/>
    </row>
    <row r="144" spans="28:41" ht="25" customHeight="1">
      <c r="AB144" s="100"/>
      <c r="AC144" s="101"/>
      <c r="AD144" s="101"/>
      <c r="AE144" s="101"/>
      <c r="AF144" s="101"/>
      <c r="AG144" s="101"/>
      <c r="AH144" s="110" t="str">
        <f t="shared" si="32"/>
        <v/>
      </c>
      <c r="AI144" s="106"/>
      <c r="AJ144" s="106"/>
      <c r="AK144" s="109" t="str">
        <f t="shared" si="36"/>
        <v/>
      </c>
      <c r="AO144"/>
    </row>
    <row r="145" spans="28:41" ht="25" customHeight="1">
      <c r="AB145" s="100"/>
      <c r="AC145" s="101"/>
      <c r="AD145" s="101"/>
      <c r="AE145" s="101"/>
      <c r="AF145" s="101"/>
      <c r="AG145" s="101"/>
      <c r="AH145" s="110" t="str">
        <f t="shared" si="32"/>
        <v/>
      </c>
      <c r="AI145" s="106"/>
      <c r="AJ145" s="106"/>
      <c r="AK145" s="109" t="str">
        <f t="shared" si="36"/>
        <v/>
      </c>
      <c r="AO145"/>
    </row>
    <row r="146" spans="28:41" ht="25" customHeight="1">
      <c r="AB146" s="100"/>
      <c r="AC146" s="101"/>
      <c r="AD146" s="101"/>
      <c r="AE146" s="101"/>
      <c r="AF146" s="101"/>
      <c r="AG146" s="101"/>
      <c r="AH146" s="110" t="str">
        <f t="shared" si="32"/>
        <v/>
      </c>
      <c r="AI146" s="106"/>
      <c r="AJ146" s="106"/>
      <c r="AK146" s="109" t="str">
        <f t="shared" si="36"/>
        <v/>
      </c>
      <c r="AO146"/>
    </row>
    <row r="147" spans="28:41" ht="25" customHeight="1">
      <c r="AB147" s="100"/>
      <c r="AC147" s="101"/>
      <c r="AD147" s="101"/>
      <c r="AE147" s="101"/>
      <c r="AF147" s="101"/>
      <c r="AG147" s="101"/>
      <c r="AH147" s="110" t="str">
        <f t="shared" si="32"/>
        <v/>
      </c>
      <c r="AI147" s="106"/>
      <c r="AJ147" s="106"/>
      <c r="AK147" s="109" t="str">
        <f t="shared" si="36"/>
        <v/>
      </c>
      <c r="AO147"/>
    </row>
    <row r="148" spans="28:41" ht="25" customHeight="1">
      <c r="AB148" s="100"/>
      <c r="AC148" s="101"/>
      <c r="AD148" s="101"/>
      <c r="AE148" s="101"/>
      <c r="AF148" s="101"/>
      <c r="AG148" s="101"/>
      <c r="AH148" s="110" t="str">
        <f t="shared" si="32"/>
        <v/>
      </c>
      <c r="AI148" s="106"/>
      <c r="AJ148" s="106"/>
      <c r="AK148" s="109" t="str">
        <f t="shared" si="36"/>
        <v/>
      </c>
      <c r="AO148"/>
    </row>
    <row r="149" spans="28:41" ht="25" customHeight="1">
      <c r="AB149" s="100"/>
      <c r="AC149" s="101"/>
      <c r="AD149" s="101"/>
      <c r="AE149" s="101"/>
      <c r="AF149" s="101"/>
      <c r="AG149" s="101"/>
      <c r="AH149" s="110" t="str">
        <f t="shared" si="32"/>
        <v/>
      </c>
      <c r="AI149" s="106"/>
      <c r="AJ149" s="106"/>
      <c r="AK149" s="109" t="str">
        <f t="shared" si="36"/>
        <v/>
      </c>
      <c r="AO149"/>
    </row>
    <row r="150" spans="28:41" ht="25" customHeight="1">
      <c r="AB150" s="100"/>
      <c r="AC150" s="101"/>
      <c r="AD150" s="101"/>
      <c r="AE150" s="101"/>
      <c r="AF150" s="101"/>
      <c r="AG150" s="101"/>
      <c r="AH150" s="110" t="str">
        <f t="shared" si="32"/>
        <v/>
      </c>
      <c r="AI150" s="106"/>
      <c r="AJ150" s="106"/>
      <c r="AK150" s="109" t="str">
        <f t="shared" si="36"/>
        <v/>
      </c>
      <c r="AO150"/>
    </row>
    <row r="151" spans="28:41" ht="25" customHeight="1">
      <c r="AB151" s="100"/>
      <c r="AC151" s="101"/>
      <c r="AD151" s="101"/>
      <c r="AE151" s="101"/>
      <c r="AF151" s="101"/>
      <c r="AG151" s="101"/>
      <c r="AH151" s="110" t="str">
        <f t="shared" si="32"/>
        <v/>
      </c>
      <c r="AI151" s="106"/>
      <c r="AJ151" s="106"/>
      <c r="AK151" s="109" t="str">
        <f t="shared" si="36"/>
        <v/>
      </c>
      <c r="AO151"/>
    </row>
    <row r="152" spans="28:41" ht="25" customHeight="1">
      <c r="AB152" s="100"/>
      <c r="AC152" s="101"/>
      <c r="AD152" s="101"/>
      <c r="AE152" s="101"/>
      <c r="AF152" s="101"/>
      <c r="AG152" s="101"/>
      <c r="AH152" s="110" t="str">
        <f t="shared" si="32"/>
        <v/>
      </c>
      <c r="AI152" s="106"/>
      <c r="AJ152" s="106"/>
      <c r="AK152" s="109" t="str">
        <f t="shared" si="36"/>
        <v/>
      </c>
      <c r="AO152"/>
    </row>
    <row r="153" spans="28:41" ht="25" customHeight="1">
      <c r="AB153" s="100"/>
      <c r="AC153" s="101"/>
      <c r="AD153" s="101"/>
      <c r="AE153" s="101"/>
      <c r="AF153" s="101"/>
      <c r="AG153" s="101"/>
      <c r="AH153" s="110" t="str">
        <f t="shared" si="32"/>
        <v/>
      </c>
      <c r="AI153" s="106"/>
      <c r="AJ153" s="106"/>
      <c r="AK153" s="109" t="str">
        <f t="shared" si="36"/>
        <v/>
      </c>
      <c r="AO153"/>
    </row>
    <row r="154" spans="28:41" ht="25" customHeight="1">
      <c r="AB154" s="100"/>
      <c r="AC154" s="101"/>
      <c r="AD154" s="101"/>
      <c r="AE154" s="101"/>
      <c r="AF154" s="101"/>
      <c r="AG154" s="101"/>
      <c r="AH154" s="110" t="str">
        <f t="shared" si="32"/>
        <v/>
      </c>
      <c r="AI154" s="106"/>
      <c r="AJ154" s="106"/>
      <c r="AK154" s="109" t="str">
        <f t="shared" si="36"/>
        <v/>
      </c>
      <c r="AO154"/>
    </row>
    <row r="155" spans="28:41" ht="25" customHeight="1">
      <c r="AB155" s="100"/>
      <c r="AC155" s="101"/>
      <c r="AD155" s="101"/>
      <c r="AE155" s="101"/>
      <c r="AF155" s="101"/>
      <c r="AG155" s="101"/>
      <c r="AH155" s="110" t="str">
        <f t="shared" si="32"/>
        <v/>
      </c>
      <c r="AI155" s="106"/>
      <c r="AJ155" s="106"/>
      <c r="AK155" s="109" t="str">
        <f t="shared" si="36"/>
        <v/>
      </c>
      <c r="AO155"/>
    </row>
    <row r="156" spans="28:41" ht="25" customHeight="1">
      <c r="AB156" s="100"/>
      <c r="AC156" s="101"/>
      <c r="AD156" s="101"/>
      <c r="AE156" s="101"/>
      <c r="AF156" s="101"/>
      <c r="AG156" s="101"/>
      <c r="AH156" s="110" t="str">
        <f t="shared" si="32"/>
        <v/>
      </c>
      <c r="AI156" s="106"/>
      <c r="AJ156" s="106"/>
      <c r="AK156" s="109" t="str">
        <f t="shared" si="36"/>
        <v/>
      </c>
      <c r="AO156"/>
    </row>
    <row r="157" spans="28:41" ht="25" customHeight="1">
      <c r="AB157" s="100"/>
      <c r="AC157" s="101"/>
      <c r="AD157" s="101"/>
      <c r="AE157" s="101"/>
      <c r="AF157" s="101"/>
      <c r="AG157" s="101"/>
      <c r="AH157" s="110" t="str">
        <f t="shared" si="32"/>
        <v/>
      </c>
      <c r="AI157" s="106"/>
      <c r="AJ157" s="106"/>
      <c r="AK157" s="109" t="str">
        <f t="shared" si="36"/>
        <v/>
      </c>
      <c r="AO157"/>
    </row>
    <row r="158" spans="28:41" ht="25" customHeight="1">
      <c r="AB158" s="100"/>
      <c r="AC158" s="101"/>
      <c r="AD158" s="101"/>
      <c r="AE158" s="101"/>
      <c r="AF158" s="101"/>
      <c r="AG158" s="101"/>
      <c r="AH158" s="110" t="str">
        <f t="shared" si="32"/>
        <v/>
      </c>
      <c r="AI158" s="106"/>
      <c r="AJ158" s="106"/>
      <c r="AK158" s="109" t="str">
        <f t="shared" ref="AK158" si="37">IF(AND(AI158&lt;&gt;"",AJ158&lt;&gt;""),AI158*AJ158,"")</f>
        <v/>
      </c>
      <c r="AO158"/>
    </row>
    <row r="159" spans="28:41" ht="25" customHeight="1">
      <c r="AB159" s="100"/>
      <c r="AC159" s="101"/>
      <c r="AD159" s="101"/>
      <c r="AE159" s="101"/>
      <c r="AF159" s="101"/>
      <c r="AG159" s="101"/>
      <c r="AH159" s="110" t="str">
        <f t="shared" si="32"/>
        <v/>
      </c>
      <c r="AI159" s="106"/>
      <c r="AJ159" s="106"/>
      <c r="AK159" s="109" t="str">
        <f t="shared" ref="AK159:AK176" si="38">IF(AND(AI159&lt;&gt;"",AJ159&lt;&gt;""),AI159*AJ159,"")</f>
        <v/>
      </c>
      <c r="AO159"/>
    </row>
    <row r="160" spans="28:41" ht="25" customHeight="1">
      <c r="AB160" s="100"/>
      <c r="AC160" s="101"/>
      <c r="AD160" s="101"/>
      <c r="AE160" s="101"/>
      <c r="AF160" s="101"/>
      <c r="AG160" s="101"/>
      <c r="AH160" s="110" t="str">
        <f t="shared" si="32"/>
        <v/>
      </c>
      <c r="AI160" s="106"/>
      <c r="AJ160" s="106"/>
      <c r="AK160" s="109" t="str">
        <f t="shared" si="38"/>
        <v/>
      </c>
      <c r="AO160"/>
    </row>
    <row r="161" spans="28:41" ht="25" customHeight="1">
      <c r="AB161" s="100"/>
      <c r="AC161" s="101"/>
      <c r="AD161" s="101"/>
      <c r="AE161" s="101"/>
      <c r="AF161" s="101"/>
      <c r="AG161" s="101"/>
      <c r="AH161" s="110" t="str">
        <f t="shared" si="32"/>
        <v/>
      </c>
      <c r="AI161" s="106"/>
      <c r="AJ161" s="106"/>
      <c r="AK161" s="109" t="str">
        <f t="shared" si="38"/>
        <v/>
      </c>
      <c r="AO161"/>
    </row>
    <row r="162" spans="28:41" ht="25" customHeight="1">
      <c r="AB162" s="100"/>
      <c r="AC162" s="101"/>
      <c r="AD162" s="101"/>
      <c r="AE162" s="101"/>
      <c r="AF162" s="101"/>
      <c r="AG162" s="101"/>
      <c r="AH162" s="110" t="str">
        <f t="shared" si="32"/>
        <v/>
      </c>
      <c r="AI162" s="106"/>
      <c r="AJ162" s="106"/>
      <c r="AK162" s="109" t="str">
        <f t="shared" si="38"/>
        <v/>
      </c>
      <c r="AO162"/>
    </row>
    <row r="163" spans="28:41" ht="25" customHeight="1">
      <c r="AB163" s="100"/>
      <c r="AC163" s="101"/>
      <c r="AD163" s="101"/>
      <c r="AE163" s="101"/>
      <c r="AF163" s="101"/>
      <c r="AG163" s="101"/>
      <c r="AH163" s="110" t="str">
        <f t="shared" si="32"/>
        <v/>
      </c>
      <c r="AI163" s="106"/>
      <c r="AJ163" s="106"/>
      <c r="AK163" s="109" t="str">
        <f t="shared" si="38"/>
        <v/>
      </c>
      <c r="AO163"/>
    </row>
    <row r="164" spans="28:41" ht="25" customHeight="1">
      <c r="AB164" s="100"/>
      <c r="AC164" s="101"/>
      <c r="AD164" s="101"/>
      <c r="AE164" s="101"/>
      <c r="AF164" s="101"/>
      <c r="AG164" s="101"/>
      <c r="AH164" s="110" t="str">
        <f t="shared" si="32"/>
        <v/>
      </c>
      <c r="AI164" s="106"/>
      <c r="AJ164" s="106"/>
      <c r="AK164" s="109" t="str">
        <f t="shared" si="38"/>
        <v/>
      </c>
      <c r="AO164"/>
    </row>
    <row r="165" spans="28:41" ht="25" customHeight="1">
      <c r="AB165" s="100"/>
      <c r="AC165" s="101"/>
      <c r="AD165" s="101"/>
      <c r="AE165" s="101"/>
      <c r="AF165" s="101"/>
      <c r="AG165" s="101"/>
      <c r="AH165" s="110" t="str">
        <f t="shared" si="32"/>
        <v/>
      </c>
      <c r="AI165" s="106"/>
      <c r="AJ165" s="106"/>
      <c r="AK165" s="109" t="str">
        <f t="shared" si="38"/>
        <v/>
      </c>
      <c r="AO165"/>
    </row>
    <row r="166" spans="28:41" ht="25" customHeight="1">
      <c r="AB166" s="100"/>
      <c r="AC166" s="101"/>
      <c r="AD166" s="101"/>
      <c r="AE166" s="101"/>
      <c r="AF166" s="101"/>
      <c r="AG166" s="101"/>
      <c r="AH166" s="110" t="str">
        <f t="shared" si="32"/>
        <v/>
      </c>
      <c r="AI166" s="106"/>
      <c r="AJ166" s="106"/>
      <c r="AK166" s="109" t="str">
        <f t="shared" si="38"/>
        <v/>
      </c>
      <c r="AO166"/>
    </row>
    <row r="167" spans="28:41" ht="25" customHeight="1">
      <c r="AB167" s="100"/>
      <c r="AC167" s="101"/>
      <c r="AD167" s="101"/>
      <c r="AE167" s="101"/>
      <c r="AF167" s="101"/>
      <c r="AG167" s="101"/>
      <c r="AH167" s="110" t="str">
        <f t="shared" ref="AH167:AH230" si="39">IF(AND(AF167&lt;&gt;"",AG167&lt;&gt;""),AF167*AG167,"")</f>
        <v/>
      </c>
      <c r="AI167" s="106"/>
      <c r="AJ167" s="106"/>
      <c r="AK167" s="109" t="str">
        <f t="shared" si="38"/>
        <v/>
      </c>
      <c r="AO167"/>
    </row>
    <row r="168" spans="28:41" ht="25" customHeight="1">
      <c r="AB168" s="100"/>
      <c r="AC168" s="101"/>
      <c r="AD168" s="101"/>
      <c r="AE168" s="101"/>
      <c r="AF168" s="101"/>
      <c r="AG168" s="101"/>
      <c r="AH168" s="110" t="str">
        <f t="shared" si="39"/>
        <v/>
      </c>
      <c r="AI168" s="106"/>
      <c r="AJ168" s="106"/>
      <c r="AK168" s="109" t="str">
        <f t="shared" si="38"/>
        <v/>
      </c>
      <c r="AO168"/>
    </row>
    <row r="169" spans="28:41" ht="25" customHeight="1">
      <c r="AB169" s="100"/>
      <c r="AC169" s="101"/>
      <c r="AD169" s="101"/>
      <c r="AE169" s="101"/>
      <c r="AF169" s="101"/>
      <c r="AG169" s="101"/>
      <c r="AH169" s="110" t="str">
        <f t="shared" si="39"/>
        <v/>
      </c>
      <c r="AI169" s="106"/>
      <c r="AJ169" s="106"/>
      <c r="AK169" s="109" t="str">
        <f t="shared" si="38"/>
        <v/>
      </c>
      <c r="AO169"/>
    </row>
    <row r="170" spans="28:41" ht="25" customHeight="1">
      <c r="AB170" s="100"/>
      <c r="AC170" s="101"/>
      <c r="AD170" s="101"/>
      <c r="AE170" s="101"/>
      <c r="AF170" s="101"/>
      <c r="AG170" s="101"/>
      <c r="AH170" s="110" t="str">
        <f t="shared" si="39"/>
        <v/>
      </c>
      <c r="AI170" s="106"/>
      <c r="AJ170" s="106"/>
      <c r="AK170" s="109" t="str">
        <f t="shared" si="38"/>
        <v/>
      </c>
      <c r="AO170"/>
    </row>
    <row r="171" spans="28:41" ht="25" customHeight="1">
      <c r="AB171" s="100"/>
      <c r="AC171" s="101"/>
      <c r="AD171" s="101"/>
      <c r="AE171" s="101"/>
      <c r="AF171" s="101"/>
      <c r="AG171" s="101"/>
      <c r="AH171" s="110" t="str">
        <f t="shared" si="39"/>
        <v/>
      </c>
      <c r="AI171" s="106"/>
      <c r="AJ171" s="106"/>
      <c r="AK171" s="109" t="str">
        <f t="shared" si="38"/>
        <v/>
      </c>
      <c r="AO171"/>
    </row>
    <row r="172" spans="28:41" ht="25" customHeight="1">
      <c r="AB172" s="100"/>
      <c r="AC172" s="101"/>
      <c r="AD172" s="101"/>
      <c r="AE172" s="101"/>
      <c r="AF172" s="101"/>
      <c r="AG172" s="101"/>
      <c r="AH172" s="110" t="str">
        <f t="shared" si="39"/>
        <v/>
      </c>
      <c r="AI172" s="106"/>
      <c r="AJ172" s="106"/>
      <c r="AK172" s="109" t="str">
        <f t="shared" si="38"/>
        <v/>
      </c>
      <c r="AO172"/>
    </row>
    <row r="173" spans="28:41" ht="25" customHeight="1">
      <c r="AB173" s="100"/>
      <c r="AC173" s="101"/>
      <c r="AD173" s="101"/>
      <c r="AE173" s="101"/>
      <c r="AF173" s="101"/>
      <c r="AG173" s="101"/>
      <c r="AH173" s="110" t="str">
        <f t="shared" si="39"/>
        <v/>
      </c>
      <c r="AI173" s="106"/>
      <c r="AJ173" s="106"/>
      <c r="AK173" s="109" t="str">
        <f t="shared" si="38"/>
        <v/>
      </c>
      <c r="AO173"/>
    </row>
    <row r="174" spans="28:41" ht="25" customHeight="1">
      <c r="AB174" s="100"/>
      <c r="AC174" s="101"/>
      <c r="AD174" s="101"/>
      <c r="AE174" s="101"/>
      <c r="AF174" s="101"/>
      <c r="AG174" s="101"/>
      <c r="AH174" s="110" t="str">
        <f t="shared" si="39"/>
        <v/>
      </c>
      <c r="AI174" s="106"/>
      <c r="AJ174" s="106"/>
      <c r="AK174" s="109" t="str">
        <f t="shared" si="38"/>
        <v/>
      </c>
      <c r="AO174"/>
    </row>
    <row r="175" spans="28:41" ht="25" customHeight="1">
      <c r="AB175" s="100"/>
      <c r="AC175" s="101"/>
      <c r="AD175" s="101"/>
      <c r="AE175" s="101"/>
      <c r="AF175" s="101"/>
      <c r="AG175" s="101"/>
      <c r="AH175" s="110" t="str">
        <f t="shared" si="39"/>
        <v/>
      </c>
      <c r="AI175" s="106"/>
      <c r="AJ175" s="106"/>
      <c r="AK175" s="109" t="str">
        <f t="shared" si="38"/>
        <v/>
      </c>
      <c r="AO175"/>
    </row>
    <row r="176" spans="28:41" ht="25" customHeight="1">
      <c r="AB176" s="100"/>
      <c r="AC176" s="101"/>
      <c r="AD176" s="101"/>
      <c r="AE176" s="101"/>
      <c r="AF176" s="101"/>
      <c r="AG176" s="101"/>
      <c r="AH176" s="110" t="str">
        <f t="shared" si="39"/>
        <v/>
      </c>
      <c r="AI176" s="106"/>
      <c r="AJ176" s="106"/>
      <c r="AK176" s="109" t="str">
        <f t="shared" si="38"/>
        <v/>
      </c>
      <c r="AO176"/>
    </row>
    <row r="177" spans="28:41" ht="25" customHeight="1">
      <c r="AB177" s="100"/>
      <c r="AC177" s="101"/>
      <c r="AD177" s="101"/>
      <c r="AE177" s="101"/>
      <c r="AF177" s="101"/>
      <c r="AG177" s="101"/>
      <c r="AH177" s="110" t="str">
        <f t="shared" si="39"/>
        <v/>
      </c>
      <c r="AI177" s="106"/>
      <c r="AJ177" s="106"/>
      <c r="AK177" s="109" t="str">
        <f t="shared" ref="AK177:AK189" si="40">IF(AND(AI177&lt;&gt;"",AJ177&lt;&gt;""),AI177*AJ177,"")</f>
        <v/>
      </c>
      <c r="AO177"/>
    </row>
    <row r="178" spans="28:41" ht="25" customHeight="1">
      <c r="AB178" s="100"/>
      <c r="AC178" s="101"/>
      <c r="AD178" s="101"/>
      <c r="AE178" s="101"/>
      <c r="AF178" s="101"/>
      <c r="AG178" s="101"/>
      <c r="AH178" s="110" t="str">
        <f t="shared" si="39"/>
        <v/>
      </c>
      <c r="AI178" s="106"/>
      <c r="AJ178" s="106"/>
      <c r="AK178" s="109" t="str">
        <f t="shared" si="40"/>
        <v/>
      </c>
      <c r="AO178"/>
    </row>
    <row r="179" spans="28:41" ht="25" customHeight="1">
      <c r="AB179" s="100"/>
      <c r="AC179" s="101"/>
      <c r="AD179" s="101"/>
      <c r="AE179" s="101"/>
      <c r="AF179" s="101"/>
      <c r="AG179" s="101"/>
      <c r="AH179" s="110" t="str">
        <f t="shared" si="39"/>
        <v/>
      </c>
      <c r="AI179" s="106"/>
      <c r="AJ179" s="106"/>
      <c r="AK179" s="109" t="str">
        <f t="shared" si="40"/>
        <v/>
      </c>
      <c r="AO179"/>
    </row>
    <row r="180" spans="28:41" ht="25" customHeight="1">
      <c r="AB180" s="100"/>
      <c r="AC180" s="101"/>
      <c r="AD180" s="101"/>
      <c r="AE180" s="101"/>
      <c r="AF180" s="101"/>
      <c r="AG180" s="101"/>
      <c r="AH180" s="110" t="str">
        <f t="shared" si="39"/>
        <v/>
      </c>
      <c r="AI180" s="106"/>
      <c r="AJ180" s="106"/>
      <c r="AK180" s="109" t="str">
        <f t="shared" si="40"/>
        <v/>
      </c>
      <c r="AO180"/>
    </row>
    <row r="181" spans="28:41" ht="25" customHeight="1">
      <c r="AB181" s="100"/>
      <c r="AC181" s="101"/>
      <c r="AD181" s="101"/>
      <c r="AE181" s="101"/>
      <c r="AF181" s="101"/>
      <c r="AG181" s="101"/>
      <c r="AH181" s="110" t="str">
        <f t="shared" si="39"/>
        <v/>
      </c>
      <c r="AI181" s="106"/>
      <c r="AJ181" s="106"/>
      <c r="AK181" s="109" t="str">
        <f t="shared" si="40"/>
        <v/>
      </c>
      <c r="AO181"/>
    </row>
    <row r="182" spans="28:41" ht="25" customHeight="1">
      <c r="AB182" s="100"/>
      <c r="AC182" s="101"/>
      <c r="AD182" s="101"/>
      <c r="AE182" s="101"/>
      <c r="AF182" s="101"/>
      <c r="AG182" s="101"/>
      <c r="AH182" s="110" t="str">
        <f t="shared" si="39"/>
        <v/>
      </c>
      <c r="AI182" s="106"/>
      <c r="AJ182" s="106"/>
      <c r="AK182" s="109" t="str">
        <f t="shared" si="40"/>
        <v/>
      </c>
      <c r="AO182"/>
    </row>
    <row r="183" spans="28:41" ht="25" customHeight="1">
      <c r="AB183" s="100"/>
      <c r="AC183" s="101"/>
      <c r="AD183" s="101"/>
      <c r="AE183" s="101"/>
      <c r="AF183" s="101"/>
      <c r="AG183" s="101"/>
      <c r="AH183" s="110" t="str">
        <f t="shared" si="39"/>
        <v/>
      </c>
      <c r="AI183" s="106"/>
      <c r="AJ183" s="106"/>
      <c r="AK183" s="109" t="str">
        <f t="shared" si="40"/>
        <v/>
      </c>
      <c r="AO183"/>
    </row>
    <row r="184" spans="28:41" ht="25" customHeight="1">
      <c r="AB184" s="100"/>
      <c r="AC184" s="101"/>
      <c r="AD184" s="101"/>
      <c r="AE184" s="101"/>
      <c r="AF184" s="101"/>
      <c r="AG184" s="101"/>
      <c r="AH184" s="110" t="str">
        <f t="shared" si="39"/>
        <v/>
      </c>
      <c r="AI184" s="106"/>
      <c r="AJ184" s="106"/>
      <c r="AK184" s="109" t="str">
        <f t="shared" si="40"/>
        <v/>
      </c>
      <c r="AO184"/>
    </row>
    <row r="185" spans="28:41" ht="25" customHeight="1">
      <c r="AB185" s="100"/>
      <c r="AC185" s="101"/>
      <c r="AD185" s="101"/>
      <c r="AE185" s="101"/>
      <c r="AF185" s="101"/>
      <c r="AG185" s="101"/>
      <c r="AH185" s="110" t="str">
        <f t="shared" si="39"/>
        <v/>
      </c>
      <c r="AI185" s="106"/>
      <c r="AJ185" s="106"/>
      <c r="AK185" s="109" t="str">
        <f t="shared" si="40"/>
        <v/>
      </c>
      <c r="AO185"/>
    </row>
    <row r="186" spans="28:41" ht="25" customHeight="1">
      <c r="AB186" s="100"/>
      <c r="AC186" s="101"/>
      <c r="AD186" s="101"/>
      <c r="AE186" s="101"/>
      <c r="AF186" s="101"/>
      <c r="AG186" s="101"/>
      <c r="AH186" s="110" t="str">
        <f t="shared" si="39"/>
        <v/>
      </c>
      <c r="AI186" s="106"/>
      <c r="AJ186" s="106"/>
      <c r="AK186" s="109" t="str">
        <f t="shared" si="40"/>
        <v/>
      </c>
      <c r="AO186"/>
    </row>
    <row r="187" spans="28:41" ht="25" customHeight="1">
      <c r="AB187" s="100"/>
      <c r="AC187" s="101"/>
      <c r="AD187" s="101"/>
      <c r="AE187" s="101"/>
      <c r="AF187" s="101"/>
      <c r="AG187" s="101"/>
      <c r="AH187" s="110" t="str">
        <f t="shared" si="39"/>
        <v/>
      </c>
      <c r="AI187" s="106"/>
      <c r="AJ187" s="106"/>
      <c r="AK187" s="109" t="str">
        <f t="shared" si="40"/>
        <v/>
      </c>
      <c r="AO187"/>
    </row>
    <row r="188" spans="28:41" ht="25" customHeight="1">
      <c r="AB188" s="100"/>
      <c r="AC188" s="101"/>
      <c r="AD188" s="101"/>
      <c r="AE188" s="101"/>
      <c r="AF188" s="101"/>
      <c r="AG188" s="101"/>
      <c r="AH188" s="110" t="str">
        <f t="shared" si="39"/>
        <v/>
      </c>
      <c r="AI188" s="106"/>
      <c r="AJ188" s="106"/>
      <c r="AK188" s="109" t="str">
        <f t="shared" si="40"/>
        <v/>
      </c>
      <c r="AO188"/>
    </row>
    <row r="189" spans="28:41" ht="25" customHeight="1">
      <c r="AB189" s="100"/>
      <c r="AC189" s="101"/>
      <c r="AD189" s="101"/>
      <c r="AE189" s="101"/>
      <c r="AF189" s="101"/>
      <c r="AG189" s="101"/>
      <c r="AH189" s="110" t="str">
        <f t="shared" si="39"/>
        <v/>
      </c>
      <c r="AI189" s="106"/>
      <c r="AJ189" s="106"/>
      <c r="AK189" s="109" t="str">
        <f t="shared" si="40"/>
        <v/>
      </c>
      <c r="AO189"/>
    </row>
    <row r="190" spans="28:41" ht="25" customHeight="1">
      <c r="AB190" s="100"/>
      <c r="AC190" s="101"/>
      <c r="AD190" s="101"/>
      <c r="AE190" s="101"/>
      <c r="AF190" s="101"/>
      <c r="AG190" s="101"/>
      <c r="AH190" s="110" t="str">
        <f t="shared" si="39"/>
        <v/>
      </c>
      <c r="AI190" s="106"/>
      <c r="AJ190" s="106"/>
      <c r="AK190" s="109" t="str">
        <f t="shared" ref="AK190:AK207" si="41">IF(AND(AI190&lt;&gt;"",AJ190&lt;&gt;""),AI190*AJ190,"")</f>
        <v/>
      </c>
      <c r="AO190"/>
    </row>
    <row r="191" spans="28:41" ht="25" customHeight="1">
      <c r="AB191" s="100"/>
      <c r="AC191" s="101"/>
      <c r="AD191" s="101"/>
      <c r="AE191" s="101"/>
      <c r="AF191" s="101"/>
      <c r="AG191" s="101"/>
      <c r="AH191" s="110" t="str">
        <f t="shared" si="39"/>
        <v/>
      </c>
      <c r="AI191" s="106"/>
      <c r="AJ191" s="106"/>
      <c r="AK191" s="109" t="str">
        <f t="shared" si="41"/>
        <v/>
      </c>
      <c r="AO191"/>
    </row>
    <row r="192" spans="28:41" ht="25" customHeight="1">
      <c r="AB192" s="100"/>
      <c r="AC192" s="101"/>
      <c r="AD192" s="101"/>
      <c r="AE192" s="101"/>
      <c r="AF192" s="101"/>
      <c r="AG192" s="101"/>
      <c r="AH192" s="110" t="str">
        <f t="shared" si="39"/>
        <v/>
      </c>
      <c r="AI192" s="106"/>
      <c r="AJ192" s="106"/>
      <c r="AK192" s="109" t="str">
        <f t="shared" si="41"/>
        <v/>
      </c>
      <c r="AO192"/>
    </row>
    <row r="193" spans="28:41" ht="25" customHeight="1">
      <c r="AB193" s="100"/>
      <c r="AC193" s="101"/>
      <c r="AD193" s="101"/>
      <c r="AE193" s="101"/>
      <c r="AF193" s="101"/>
      <c r="AG193" s="101"/>
      <c r="AH193" s="110" t="str">
        <f t="shared" si="39"/>
        <v/>
      </c>
      <c r="AI193" s="106"/>
      <c r="AJ193" s="106"/>
      <c r="AK193" s="109" t="str">
        <f t="shared" si="41"/>
        <v/>
      </c>
      <c r="AO193"/>
    </row>
    <row r="194" spans="28:41" ht="25" customHeight="1">
      <c r="AB194" s="100"/>
      <c r="AC194" s="101"/>
      <c r="AD194" s="101"/>
      <c r="AE194" s="101"/>
      <c r="AF194" s="101"/>
      <c r="AG194" s="101"/>
      <c r="AH194" s="110" t="str">
        <f t="shared" si="39"/>
        <v/>
      </c>
      <c r="AI194" s="106"/>
      <c r="AJ194" s="106"/>
      <c r="AK194" s="109" t="str">
        <f t="shared" si="41"/>
        <v/>
      </c>
      <c r="AO194"/>
    </row>
    <row r="195" spans="28:41" ht="25" customHeight="1">
      <c r="AB195" s="100"/>
      <c r="AC195" s="101"/>
      <c r="AD195" s="101"/>
      <c r="AE195" s="101"/>
      <c r="AF195" s="101"/>
      <c r="AG195" s="101"/>
      <c r="AH195" s="110" t="str">
        <f t="shared" si="39"/>
        <v/>
      </c>
      <c r="AI195" s="106"/>
      <c r="AJ195" s="106"/>
      <c r="AK195" s="109" t="str">
        <f t="shared" si="41"/>
        <v/>
      </c>
      <c r="AO195"/>
    </row>
    <row r="196" spans="28:41" ht="25" customHeight="1">
      <c r="AB196" s="100"/>
      <c r="AC196" s="101"/>
      <c r="AD196" s="101"/>
      <c r="AE196" s="101"/>
      <c r="AF196" s="101"/>
      <c r="AG196" s="101"/>
      <c r="AH196" s="110" t="str">
        <f t="shared" si="39"/>
        <v/>
      </c>
      <c r="AI196" s="106"/>
      <c r="AJ196" s="106"/>
      <c r="AK196" s="109" t="str">
        <f t="shared" si="41"/>
        <v/>
      </c>
      <c r="AO196"/>
    </row>
    <row r="197" spans="28:41" ht="25" customHeight="1">
      <c r="AB197" s="100"/>
      <c r="AC197" s="101"/>
      <c r="AD197" s="101"/>
      <c r="AE197" s="101"/>
      <c r="AF197" s="101"/>
      <c r="AG197" s="101"/>
      <c r="AH197" s="110" t="str">
        <f t="shared" si="39"/>
        <v/>
      </c>
      <c r="AI197" s="106"/>
      <c r="AJ197" s="106"/>
      <c r="AK197" s="109" t="str">
        <f t="shared" si="41"/>
        <v/>
      </c>
      <c r="AO197"/>
    </row>
    <row r="198" spans="28:41" ht="25" customHeight="1">
      <c r="AB198" s="100"/>
      <c r="AC198" s="101"/>
      <c r="AD198" s="101"/>
      <c r="AE198" s="101"/>
      <c r="AF198" s="101"/>
      <c r="AG198" s="101"/>
      <c r="AH198" s="110" t="str">
        <f t="shared" si="39"/>
        <v/>
      </c>
      <c r="AI198" s="106"/>
      <c r="AJ198" s="106"/>
      <c r="AK198" s="109" t="str">
        <f t="shared" si="41"/>
        <v/>
      </c>
      <c r="AO198"/>
    </row>
    <row r="199" spans="28:41" ht="25" customHeight="1">
      <c r="AB199" s="100"/>
      <c r="AC199" s="101"/>
      <c r="AD199" s="101"/>
      <c r="AE199" s="101"/>
      <c r="AF199" s="101"/>
      <c r="AG199" s="101"/>
      <c r="AH199" s="110" t="str">
        <f t="shared" si="39"/>
        <v/>
      </c>
      <c r="AI199" s="106"/>
      <c r="AJ199" s="106"/>
      <c r="AK199" s="109" t="str">
        <f t="shared" si="41"/>
        <v/>
      </c>
      <c r="AO199"/>
    </row>
    <row r="200" spans="28:41" ht="25" customHeight="1">
      <c r="AB200" s="100"/>
      <c r="AC200" s="101"/>
      <c r="AD200" s="101"/>
      <c r="AE200" s="101"/>
      <c r="AF200" s="101"/>
      <c r="AG200" s="101"/>
      <c r="AH200" s="110" t="str">
        <f t="shared" si="39"/>
        <v/>
      </c>
      <c r="AI200" s="106"/>
      <c r="AJ200" s="106"/>
      <c r="AK200" s="109" t="str">
        <f t="shared" si="41"/>
        <v/>
      </c>
      <c r="AO200"/>
    </row>
    <row r="201" spans="28:41" ht="25" customHeight="1">
      <c r="AB201" s="100"/>
      <c r="AC201" s="101"/>
      <c r="AD201" s="101"/>
      <c r="AE201" s="101"/>
      <c r="AF201" s="101"/>
      <c r="AG201" s="101"/>
      <c r="AH201" s="110" t="str">
        <f t="shared" si="39"/>
        <v/>
      </c>
      <c r="AI201" s="106"/>
      <c r="AJ201" s="106"/>
      <c r="AK201" s="109" t="str">
        <f t="shared" si="41"/>
        <v/>
      </c>
      <c r="AO201"/>
    </row>
    <row r="202" spans="28:41" ht="25" customHeight="1">
      <c r="AB202" s="100"/>
      <c r="AC202" s="101"/>
      <c r="AD202" s="101"/>
      <c r="AE202" s="101"/>
      <c r="AF202" s="101"/>
      <c r="AG202" s="101"/>
      <c r="AH202" s="110" t="str">
        <f t="shared" si="39"/>
        <v/>
      </c>
      <c r="AI202" s="106"/>
      <c r="AJ202" s="106"/>
      <c r="AK202" s="109" t="str">
        <f t="shared" si="41"/>
        <v/>
      </c>
      <c r="AO202"/>
    </row>
    <row r="203" spans="28:41" ht="25" customHeight="1">
      <c r="AB203" s="100"/>
      <c r="AC203" s="101"/>
      <c r="AD203" s="101"/>
      <c r="AE203" s="101"/>
      <c r="AF203" s="101"/>
      <c r="AG203" s="101"/>
      <c r="AH203" s="110" t="str">
        <f t="shared" si="39"/>
        <v/>
      </c>
      <c r="AI203" s="106"/>
      <c r="AJ203" s="106"/>
      <c r="AK203" s="109" t="str">
        <f t="shared" si="41"/>
        <v/>
      </c>
      <c r="AO203"/>
    </row>
    <row r="204" spans="28:41" ht="25" customHeight="1">
      <c r="AB204" s="100"/>
      <c r="AC204" s="101"/>
      <c r="AD204" s="101"/>
      <c r="AE204" s="101"/>
      <c r="AF204" s="101"/>
      <c r="AG204" s="101"/>
      <c r="AH204" s="110" t="str">
        <f t="shared" si="39"/>
        <v/>
      </c>
      <c r="AI204" s="106"/>
      <c r="AJ204" s="106"/>
      <c r="AK204" s="109" t="str">
        <f t="shared" si="41"/>
        <v/>
      </c>
      <c r="AO204"/>
    </row>
    <row r="205" spans="28:41" ht="25" customHeight="1">
      <c r="AB205" s="100"/>
      <c r="AC205" s="101"/>
      <c r="AD205" s="101"/>
      <c r="AE205" s="101"/>
      <c r="AF205" s="101"/>
      <c r="AG205" s="101"/>
      <c r="AH205" s="110" t="str">
        <f t="shared" si="39"/>
        <v/>
      </c>
      <c r="AI205" s="106"/>
      <c r="AJ205" s="106"/>
      <c r="AK205" s="109" t="str">
        <f t="shared" si="41"/>
        <v/>
      </c>
      <c r="AO205"/>
    </row>
    <row r="206" spans="28:41" ht="25" customHeight="1">
      <c r="AB206" s="100"/>
      <c r="AC206" s="101"/>
      <c r="AD206" s="101"/>
      <c r="AE206" s="101"/>
      <c r="AF206" s="101"/>
      <c r="AG206" s="101"/>
      <c r="AH206" s="110" t="str">
        <f t="shared" si="39"/>
        <v/>
      </c>
      <c r="AI206" s="106"/>
      <c r="AJ206" s="106"/>
      <c r="AK206" s="109" t="str">
        <f t="shared" si="41"/>
        <v/>
      </c>
      <c r="AO206"/>
    </row>
    <row r="207" spans="28:41" ht="25" customHeight="1">
      <c r="AB207" s="103"/>
      <c r="AC207" s="104"/>
      <c r="AD207" s="104"/>
      <c r="AE207" s="104"/>
      <c r="AF207" s="104"/>
      <c r="AG207" s="104"/>
      <c r="AH207" s="111" t="str">
        <f t="shared" si="39"/>
        <v/>
      </c>
      <c r="AI207" s="107"/>
      <c r="AJ207" s="107"/>
      <c r="AK207" s="108" t="str">
        <f t="shared" si="41"/>
        <v/>
      </c>
      <c r="AO207"/>
    </row>
    <row r="208" spans="28:41" ht="25" customHeight="1">
      <c r="AB208" s="100"/>
      <c r="AC208" s="101"/>
      <c r="AD208" s="101"/>
      <c r="AE208" s="101"/>
      <c r="AF208" s="101"/>
      <c r="AG208" s="101"/>
      <c r="AH208" s="110" t="str">
        <f t="shared" si="39"/>
        <v/>
      </c>
      <c r="AI208" s="106"/>
      <c r="AJ208" s="106"/>
      <c r="AK208" s="109" t="str">
        <f t="shared" ref="AK208" si="42">IF(AND(AI208&lt;&gt;"",AJ208&lt;&gt;""),AI208*AJ208,"")</f>
        <v/>
      </c>
      <c r="AO208"/>
    </row>
    <row r="209" spans="28:41" ht="25" customHeight="1">
      <c r="AB209" s="100"/>
      <c r="AC209" s="101"/>
      <c r="AD209" s="101"/>
      <c r="AE209" s="101"/>
      <c r="AF209" s="101"/>
      <c r="AG209" s="101"/>
      <c r="AH209" s="110" t="str">
        <f t="shared" si="39"/>
        <v/>
      </c>
      <c r="AI209" s="106"/>
      <c r="AJ209" s="106"/>
      <c r="AK209" s="109" t="str">
        <f t="shared" ref="AK209:AK226" si="43">IF(AND(AI209&lt;&gt;"",AJ209&lt;&gt;""),AI209*AJ209,"")</f>
        <v/>
      </c>
      <c r="AO209"/>
    </row>
    <row r="210" spans="28:41" ht="25" customHeight="1">
      <c r="AB210" s="100"/>
      <c r="AC210" s="101"/>
      <c r="AD210" s="101"/>
      <c r="AE210" s="101"/>
      <c r="AF210" s="101"/>
      <c r="AG210" s="101"/>
      <c r="AH210" s="110" t="str">
        <f t="shared" si="39"/>
        <v/>
      </c>
      <c r="AI210" s="106"/>
      <c r="AJ210" s="106"/>
      <c r="AK210" s="109" t="str">
        <f t="shared" si="43"/>
        <v/>
      </c>
      <c r="AO210"/>
    </row>
    <row r="211" spans="28:41" ht="25" customHeight="1">
      <c r="AB211" s="100"/>
      <c r="AC211" s="101"/>
      <c r="AD211" s="101"/>
      <c r="AE211" s="101"/>
      <c r="AF211" s="101"/>
      <c r="AG211" s="101"/>
      <c r="AH211" s="110" t="str">
        <f t="shared" si="39"/>
        <v/>
      </c>
      <c r="AI211" s="106"/>
      <c r="AJ211" s="106"/>
      <c r="AK211" s="109" t="str">
        <f t="shared" si="43"/>
        <v/>
      </c>
      <c r="AO211"/>
    </row>
    <row r="212" spans="28:41" ht="25" customHeight="1">
      <c r="AB212" s="100"/>
      <c r="AC212" s="101"/>
      <c r="AD212" s="101"/>
      <c r="AE212" s="101"/>
      <c r="AF212" s="101"/>
      <c r="AG212" s="101"/>
      <c r="AH212" s="110" t="str">
        <f t="shared" si="39"/>
        <v/>
      </c>
      <c r="AI212" s="106"/>
      <c r="AJ212" s="106"/>
      <c r="AK212" s="109" t="str">
        <f t="shared" si="43"/>
        <v/>
      </c>
      <c r="AO212"/>
    </row>
    <row r="213" spans="28:41" ht="25" customHeight="1">
      <c r="AB213" s="100"/>
      <c r="AC213" s="101"/>
      <c r="AD213" s="101"/>
      <c r="AE213" s="101"/>
      <c r="AF213" s="101"/>
      <c r="AG213" s="101"/>
      <c r="AH213" s="110" t="str">
        <f t="shared" si="39"/>
        <v/>
      </c>
      <c r="AI213" s="106"/>
      <c r="AJ213" s="106"/>
      <c r="AK213" s="109" t="str">
        <f t="shared" si="43"/>
        <v/>
      </c>
      <c r="AO213"/>
    </row>
    <row r="214" spans="28:41" ht="25" customHeight="1">
      <c r="AB214" s="100"/>
      <c r="AC214" s="101"/>
      <c r="AD214" s="101"/>
      <c r="AE214" s="101"/>
      <c r="AF214" s="101"/>
      <c r="AG214" s="101"/>
      <c r="AH214" s="110" t="str">
        <f t="shared" si="39"/>
        <v/>
      </c>
      <c r="AI214" s="106"/>
      <c r="AJ214" s="106"/>
      <c r="AK214" s="109" t="str">
        <f t="shared" si="43"/>
        <v/>
      </c>
      <c r="AO214"/>
    </row>
    <row r="215" spans="28:41" ht="25" customHeight="1">
      <c r="AB215" s="100"/>
      <c r="AC215" s="101"/>
      <c r="AD215" s="101"/>
      <c r="AE215" s="101"/>
      <c r="AF215" s="101"/>
      <c r="AG215" s="101"/>
      <c r="AH215" s="110" t="str">
        <f t="shared" si="39"/>
        <v/>
      </c>
      <c r="AI215" s="106"/>
      <c r="AJ215" s="106"/>
      <c r="AK215" s="109" t="str">
        <f t="shared" si="43"/>
        <v/>
      </c>
      <c r="AO215"/>
    </row>
    <row r="216" spans="28:41" ht="25" customHeight="1">
      <c r="AB216" s="100"/>
      <c r="AC216" s="101"/>
      <c r="AD216" s="101"/>
      <c r="AE216" s="101"/>
      <c r="AF216" s="101"/>
      <c r="AG216" s="101"/>
      <c r="AH216" s="110" t="str">
        <f t="shared" si="39"/>
        <v/>
      </c>
      <c r="AI216" s="106"/>
      <c r="AJ216" s="106"/>
      <c r="AK216" s="109" t="str">
        <f t="shared" si="43"/>
        <v/>
      </c>
      <c r="AO216"/>
    </row>
    <row r="217" spans="28:41" ht="25" customHeight="1">
      <c r="AB217" s="100"/>
      <c r="AC217" s="101"/>
      <c r="AD217" s="101"/>
      <c r="AE217" s="101"/>
      <c r="AF217" s="101"/>
      <c r="AG217" s="101"/>
      <c r="AH217" s="110" t="str">
        <f t="shared" si="39"/>
        <v/>
      </c>
      <c r="AI217" s="106"/>
      <c r="AJ217" s="106"/>
      <c r="AK217" s="109" t="str">
        <f t="shared" si="43"/>
        <v/>
      </c>
      <c r="AO217"/>
    </row>
    <row r="218" spans="28:41" ht="25" customHeight="1">
      <c r="AB218" s="100"/>
      <c r="AC218" s="101"/>
      <c r="AD218" s="101"/>
      <c r="AE218" s="101"/>
      <c r="AF218" s="101"/>
      <c r="AG218" s="101"/>
      <c r="AH218" s="110" t="str">
        <f t="shared" si="39"/>
        <v/>
      </c>
      <c r="AI218" s="106"/>
      <c r="AJ218" s="106"/>
      <c r="AK218" s="109" t="str">
        <f t="shared" si="43"/>
        <v/>
      </c>
      <c r="AO218"/>
    </row>
    <row r="219" spans="28:41" ht="25" customHeight="1">
      <c r="AB219" s="100"/>
      <c r="AC219" s="101"/>
      <c r="AD219" s="101"/>
      <c r="AE219" s="101"/>
      <c r="AF219" s="101"/>
      <c r="AG219" s="101"/>
      <c r="AH219" s="110" t="str">
        <f t="shared" si="39"/>
        <v/>
      </c>
      <c r="AI219" s="106"/>
      <c r="AJ219" s="106"/>
      <c r="AK219" s="109" t="str">
        <f t="shared" si="43"/>
        <v/>
      </c>
      <c r="AO219"/>
    </row>
    <row r="220" spans="28:41" ht="25" customHeight="1">
      <c r="AB220" s="100"/>
      <c r="AC220" s="101"/>
      <c r="AD220" s="101"/>
      <c r="AE220" s="101"/>
      <c r="AF220" s="101"/>
      <c r="AG220" s="101"/>
      <c r="AH220" s="110" t="str">
        <f t="shared" si="39"/>
        <v/>
      </c>
      <c r="AI220" s="106"/>
      <c r="AJ220" s="106"/>
      <c r="AK220" s="109" t="str">
        <f t="shared" si="43"/>
        <v/>
      </c>
      <c r="AO220"/>
    </row>
    <row r="221" spans="28:41" ht="25" customHeight="1">
      <c r="AB221" s="100"/>
      <c r="AC221" s="101"/>
      <c r="AD221" s="101"/>
      <c r="AE221" s="101"/>
      <c r="AF221" s="101"/>
      <c r="AG221" s="101"/>
      <c r="AH221" s="110" t="str">
        <f t="shared" si="39"/>
        <v/>
      </c>
      <c r="AI221" s="106"/>
      <c r="AJ221" s="106"/>
      <c r="AK221" s="109" t="str">
        <f t="shared" si="43"/>
        <v/>
      </c>
      <c r="AO221"/>
    </row>
    <row r="222" spans="28:41" ht="25" customHeight="1">
      <c r="AB222" s="100"/>
      <c r="AC222" s="101"/>
      <c r="AD222" s="101"/>
      <c r="AE222" s="101"/>
      <c r="AF222" s="101"/>
      <c r="AG222" s="101"/>
      <c r="AH222" s="110" t="str">
        <f t="shared" si="39"/>
        <v/>
      </c>
      <c r="AI222" s="106"/>
      <c r="AJ222" s="106"/>
      <c r="AK222" s="109" t="str">
        <f t="shared" si="43"/>
        <v/>
      </c>
      <c r="AO222"/>
    </row>
    <row r="223" spans="28:41" ht="25" customHeight="1">
      <c r="AB223" s="100"/>
      <c r="AC223" s="101"/>
      <c r="AD223" s="101"/>
      <c r="AE223" s="101"/>
      <c r="AF223" s="101"/>
      <c r="AG223" s="101"/>
      <c r="AH223" s="110" t="str">
        <f t="shared" si="39"/>
        <v/>
      </c>
      <c r="AI223" s="106"/>
      <c r="AJ223" s="106"/>
      <c r="AK223" s="109" t="str">
        <f t="shared" si="43"/>
        <v/>
      </c>
      <c r="AO223"/>
    </row>
    <row r="224" spans="28:41" ht="25" customHeight="1">
      <c r="AB224" s="100"/>
      <c r="AC224" s="101"/>
      <c r="AD224" s="101"/>
      <c r="AE224" s="101"/>
      <c r="AF224" s="101"/>
      <c r="AG224" s="101"/>
      <c r="AH224" s="110" t="str">
        <f t="shared" si="39"/>
        <v/>
      </c>
      <c r="AI224" s="106"/>
      <c r="AJ224" s="106"/>
      <c r="AK224" s="109" t="str">
        <f t="shared" si="43"/>
        <v/>
      </c>
      <c r="AO224"/>
    </row>
    <row r="225" spans="28:41" ht="25" customHeight="1">
      <c r="AB225" s="100"/>
      <c r="AC225" s="101"/>
      <c r="AD225" s="101"/>
      <c r="AE225" s="101"/>
      <c r="AF225" s="101"/>
      <c r="AG225" s="101"/>
      <c r="AH225" s="110" t="str">
        <f t="shared" si="39"/>
        <v/>
      </c>
      <c r="AI225" s="106"/>
      <c r="AJ225" s="106"/>
      <c r="AK225" s="109" t="str">
        <f t="shared" si="43"/>
        <v/>
      </c>
      <c r="AO225"/>
    </row>
    <row r="226" spans="28:41" ht="25" customHeight="1">
      <c r="AB226" s="100"/>
      <c r="AC226" s="101"/>
      <c r="AD226" s="101"/>
      <c r="AE226" s="101"/>
      <c r="AF226" s="101"/>
      <c r="AG226" s="101"/>
      <c r="AH226" s="110" t="str">
        <f t="shared" si="39"/>
        <v/>
      </c>
      <c r="AI226" s="106"/>
      <c r="AJ226" s="106"/>
      <c r="AK226" s="109" t="str">
        <f t="shared" si="43"/>
        <v/>
      </c>
      <c r="AO226"/>
    </row>
    <row r="227" spans="28:41" ht="25" customHeight="1">
      <c r="AB227" s="100"/>
      <c r="AC227" s="101"/>
      <c r="AD227" s="101"/>
      <c r="AE227" s="101"/>
      <c r="AF227" s="101"/>
      <c r="AG227" s="101"/>
      <c r="AH227" s="110" t="str">
        <f t="shared" si="39"/>
        <v/>
      </c>
      <c r="AI227" s="106"/>
      <c r="AJ227" s="106"/>
      <c r="AK227" s="109" t="str">
        <f t="shared" ref="AK227:AK239" si="44">IF(AND(AI227&lt;&gt;"",AJ227&lt;&gt;""),AI227*AJ227,"")</f>
        <v/>
      </c>
      <c r="AO227"/>
    </row>
    <row r="228" spans="28:41" ht="25" customHeight="1">
      <c r="AB228" s="100"/>
      <c r="AC228" s="101"/>
      <c r="AD228" s="101"/>
      <c r="AE228" s="101"/>
      <c r="AF228" s="101"/>
      <c r="AG228" s="101"/>
      <c r="AH228" s="110" t="str">
        <f t="shared" si="39"/>
        <v/>
      </c>
      <c r="AI228" s="106"/>
      <c r="AJ228" s="106"/>
      <c r="AK228" s="109" t="str">
        <f t="shared" si="44"/>
        <v/>
      </c>
      <c r="AO228"/>
    </row>
    <row r="229" spans="28:41" ht="25" customHeight="1">
      <c r="AB229" s="100"/>
      <c r="AC229" s="101"/>
      <c r="AD229" s="101"/>
      <c r="AE229" s="101"/>
      <c r="AF229" s="101"/>
      <c r="AG229" s="101"/>
      <c r="AH229" s="110" t="str">
        <f t="shared" si="39"/>
        <v/>
      </c>
      <c r="AI229" s="106"/>
      <c r="AJ229" s="106"/>
      <c r="AK229" s="109" t="str">
        <f t="shared" si="44"/>
        <v/>
      </c>
      <c r="AO229"/>
    </row>
    <row r="230" spans="28:41" ht="25" customHeight="1">
      <c r="AB230" s="100"/>
      <c r="AC230" s="101"/>
      <c r="AD230" s="101"/>
      <c r="AE230" s="101"/>
      <c r="AF230" s="101"/>
      <c r="AG230" s="101"/>
      <c r="AH230" s="110" t="str">
        <f t="shared" si="39"/>
        <v/>
      </c>
      <c r="AI230" s="106"/>
      <c r="AJ230" s="106"/>
      <c r="AK230" s="109" t="str">
        <f t="shared" si="44"/>
        <v/>
      </c>
      <c r="AO230"/>
    </row>
    <row r="231" spans="28:41" ht="25" customHeight="1">
      <c r="AB231" s="100"/>
      <c r="AC231" s="101"/>
      <c r="AD231" s="101"/>
      <c r="AE231" s="101"/>
      <c r="AF231" s="101"/>
      <c r="AG231" s="101"/>
      <c r="AH231" s="110" t="str">
        <f t="shared" ref="AH231:AH294" si="45">IF(AND(AF231&lt;&gt;"",AG231&lt;&gt;""),AF231*AG231,"")</f>
        <v/>
      </c>
      <c r="AI231" s="106"/>
      <c r="AJ231" s="106"/>
      <c r="AK231" s="109" t="str">
        <f t="shared" si="44"/>
        <v/>
      </c>
      <c r="AO231"/>
    </row>
    <row r="232" spans="28:41" ht="25" customHeight="1">
      <c r="AB232" s="100"/>
      <c r="AC232" s="101"/>
      <c r="AD232" s="101"/>
      <c r="AE232" s="101"/>
      <c r="AF232" s="101"/>
      <c r="AG232" s="101"/>
      <c r="AH232" s="110" t="str">
        <f t="shared" si="45"/>
        <v/>
      </c>
      <c r="AI232" s="106"/>
      <c r="AJ232" s="106"/>
      <c r="AK232" s="109" t="str">
        <f t="shared" si="44"/>
        <v/>
      </c>
      <c r="AO232"/>
    </row>
    <row r="233" spans="28:41" ht="25" customHeight="1">
      <c r="AB233" s="100"/>
      <c r="AC233" s="101"/>
      <c r="AD233" s="101"/>
      <c r="AE233" s="101"/>
      <c r="AF233" s="101"/>
      <c r="AG233" s="101"/>
      <c r="AH233" s="110" t="str">
        <f t="shared" si="45"/>
        <v/>
      </c>
      <c r="AI233" s="106"/>
      <c r="AJ233" s="106"/>
      <c r="AK233" s="109" t="str">
        <f t="shared" si="44"/>
        <v/>
      </c>
      <c r="AO233"/>
    </row>
    <row r="234" spans="28:41" ht="25" customHeight="1">
      <c r="AB234" s="100"/>
      <c r="AC234" s="101"/>
      <c r="AD234" s="101"/>
      <c r="AE234" s="101"/>
      <c r="AF234" s="101"/>
      <c r="AG234" s="101"/>
      <c r="AH234" s="110" t="str">
        <f t="shared" si="45"/>
        <v/>
      </c>
      <c r="AI234" s="106"/>
      <c r="AJ234" s="106"/>
      <c r="AK234" s="109" t="str">
        <f t="shared" si="44"/>
        <v/>
      </c>
      <c r="AO234"/>
    </row>
    <row r="235" spans="28:41" ht="25" customHeight="1">
      <c r="AB235" s="100"/>
      <c r="AC235" s="101"/>
      <c r="AD235" s="101"/>
      <c r="AE235" s="101"/>
      <c r="AF235" s="101"/>
      <c r="AG235" s="101"/>
      <c r="AH235" s="110" t="str">
        <f t="shared" si="45"/>
        <v/>
      </c>
      <c r="AI235" s="106"/>
      <c r="AJ235" s="106"/>
      <c r="AK235" s="109" t="str">
        <f t="shared" si="44"/>
        <v/>
      </c>
      <c r="AO235"/>
    </row>
    <row r="236" spans="28:41" ht="25" customHeight="1">
      <c r="AB236" s="100"/>
      <c r="AC236" s="101"/>
      <c r="AD236" s="101"/>
      <c r="AE236" s="101"/>
      <c r="AF236" s="101"/>
      <c r="AG236" s="101"/>
      <c r="AH236" s="110" t="str">
        <f t="shared" si="45"/>
        <v/>
      </c>
      <c r="AI236" s="106"/>
      <c r="AJ236" s="106"/>
      <c r="AK236" s="109" t="str">
        <f t="shared" si="44"/>
        <v/>
      </c>
      <c r="AO236"/>
    </row>
    <row r="237" spans="28:41" ht="25" customHeight="1">
      <c r="AB237" s="100"/>
      <c r="AC237" s="101"/>
      <c r="AD237" s="101"/>
      <c r="AE237" s="101"/>
      <c r="AF237" s="101"/>
      <c r="AG237" s="101"/>
      <c r="AH237" s="110" t="str">
        <f t="shared" si="45"/>
        <v/>
      </c>
      <c r="AI237" s="106"/>
      <c r="AJ237" s="106"/>
      <c r="AK237" s="109" t="str">
        <f t="shared" si="44"/>
        <v/>
      </c>
      <c r="AO237"/>
    </row>
    <row r="238" spans="28:41" ht="25" customHeight="1">
      <c r="AB238" s="100"/>
      <c r="AC238" s="101"/>
      <c r="AD238" s="101"/>
      <c r="AE238" s="101"/>
      <c r="AF238" s="101"/>
      <c r="AG238" s="101"/>
      <c r="AH238" s="110" t="str">
        <f t="shared" si="45"/>
        <v/>
      </c>
      <c r="AI238" s="106"/>
      <c r="AJ238" s="106"/>
      <c r="AK238" s="109" t="str">
        <f t="shared" si="44"/>
        <v/>
      </c>
      <c r="AO238"/>
    </row>
    <row r="239" spans="28:41" ht="25" customHeight="1">
      <c r="AB239" s="100"/>
      <c r="AC239" s="101"/>
      <c r="AD239" s="101"/>
      <c r="AE239" s="101"/>
      <c r="AF239" s="101"/>
      <c r="AG239" s="101"/>
      <c r="AH239" s="110" t="str">
        <f t="shared" si="45"/>
        <v/>
      </c>
      <c r="AI239" s="106"/>
      <c r="AJ239" s="106"/>
      <c r="AK239" s="109" t="str">
        <f t="shared" si="44"/>
        <v/>
      </c>
      <c r="AO239"/>
    </row>
    <row r="240" spans="28:41" ht="25" customHeight="1">
      <c r="AB240" s="100"/>
      <c r="AC240" s="101"/>
      <c r="AD240" s="101"/>
      <c r="AE240" s="101"/>
      <c r="AF240" s="101"/>
      <c r="AG240" s="101"/>
      <c r="AH240" s="110" t="str">
        <f t="shared" si="45"/>
        <v/>
      </c>
      <c r="AI240" s="106"/>
      <c r="AJ240" s="106"/>
      <c r="AK240" s="109" t="str">
        <f t="shared" ref="AK240:AK257" si="46">IF(AND(AI240&lt;&gt;"",AJ240&lt;&gt;""),AI240*AJ240,"")</f>
        <v/>
      </c>
      <c r="AO240"/>
    </row>
    <row r="241" spans="28:41" ht="25" customHeight="1">
      <c r="AB241" s="100"/>
      <c r="AC241" s="101"/>
      <c r="AD241" s="101"/>
      <c r="AE241" s="101"/>
      <c r="AF241" s="101"/>
      <c r="AG241" s="101"/>
      <c r="AH241" s="110" t="str">
        <f t="shared" si="45"/>
        <v/>
      </c>
      <c r="AI241" s="106"/>
      <c r="AJ241" s="106"/>
      <c r="AK241" s="109" t="str">
        <f t="shared" si="46"/>
        <v/>
      </c>
      <c r="AO241"/>
    </row>
    <row r="242" spans="28:41" ht="25" customHeight="1">
      <c r="AB242" s="100"/>
      <c r="AC242" s="101"/>
      <c r="AD242" s="101"/>
      <c r="AE242" s="101"/>
      <c r="AF242" s="101"/>
      <c r="AG242" s="101"/>
      <c r="AH242" s="110" t="str">
        <f t="shared" si="45"/>
        <v/>
      </c>
      <c r="AI242" s="106"/>
      <c r="AJ242" s="106"/>
      <c r="AK242" s="109" t="str">
        <f t="shared" si="46"/>
        <v/>
      </c>
      <c r="AO242"/>
    </row>
    <row r="243" spans="28:41" ht="25" customHeight="1">
      <c r="AB243" s="100"/>
      <c r="AC243" s="101"/>
      <c r="AD243" s="101"/>
      <c r="AE243" s="101"/>
      <c r="AF243" s="101"/>
      <c r="AG243" s="101"/>
      <c r="AH243" s="110" t="str">
        <f t="shared" si="45"/>
        <v/>
      </c>
      <c r="AI243" s="106"/>
      <c r="AJ243" s="106"/>
      <c r="AK243" s="109" t="str">
        <f t="shared" si="46"/>
        <v/>
      </c>
      <c r="AO243"/>
    </row>
    <row r="244" spans="28:41" ht="25" customHeight="1">
      <c r="AB244" s="100"/>
      <c r="AC244" s="101"/>
      <c r="AD244" s="101"/>
      <c r="AE244" s="101"/>
      <c r="AF244" s="101"/>
      <c r="AG244" s="101"/>
      <c r="AH244" s="110" t="str">
        <f t="shared" si="45"/>
        <v/>
      </c>
      <c r="AI244" s="106"/>
      <c r="AJ244" s="106"/>
      <c r="AK244" s="109" t="str">
        <f t="shared" si="46"/>
        <v/>
      </c>
      <c r="AO244"/>
    </row>
    <row r="245" spans="28:41" ht="25" customHeight="1">
      <c r="AB245" s="100"/>
      <c r="AC245" s="101"/>
      <c r="AD245" s="101"/>
      <c r="AE245" s="101"/>
      <c r="AF245" s="101"/>
      <c r="AG245" s="101"/>
      <c r="AH245" s="110" t="str">
        <f t="shared" si="45"/>
        <v/>
      </c>
      <c r="AI245" s="106"/>
      <c r="AJ245" s="106"/>
      <c r="AK245" s="109" t="str">
        <f t="shared" si="46"/>
        <v/>
      </c>
      <c r="AO245"/>
    </row>
    <row r="246" spans="28:41" ht="25" customHeight="1">
      <c r="AB246" s="100"/>
      <c r="AC246" s="101"/>
      <c r="AD246" s="101"/>
      <c r="AE246" s="101"/>
      <c r="AF246" s="101"/>
      <c r="AG246" s="101"/>
      <c r="AH246" s="110" t="str">
        <f t="shared" si="45"/>
        <v/>
      </c>
      <c r="AI246" s="106"/>
      <c r="AJ246" s="106"/>
      <c r="AK246" s="109" t="str">
        <f t="shared" si="46"/>
        <v/>
      </c>
      <c r="AO246"/>
    </row>
    <row r="247" spans="28:41" ht="25" customHeight="1">
      <c r="AB247" s="100"/>
      <c r="AC247" s="101"/>
      <c r="AD247" s="101"/>
      <c r="AE247" s="101"/>
      <c r="AF247" s="101"/>
      <c r="AG247" s="101"/>
      <c r="AH247" s="110" t="str">
        <f t="shared" si="45"/>
        <v/>
      </c>
      <c r="AI247" s="106"/>
      <c r="AJ247" s="106"/>
      <c r="AK247" s="109" t="str">
        <f t="shared" si="46"/>
        <v/>
      </c>
      <c r="AO247"/>
    </row>
    <row r="248" spans="28:41" ht="25" customHeight="1">
      <c r="AB248" s="100"/>
      <c r="AC248" s="101"/>
      <c r="AD248" s="101"/>
      <c r="AE248" s="101"/>
      <c r="AF248" s="101"/>
      <c r="AG248" s="101"/>
      <c r="AH248" s="110" t="str">
        <f t="shared" si="45"/>
        <v/>
      </c>
      <c r="AI248" s="106"/>
      <c r="AJ248" s="106"/>
      <c r="AK248" s="109" t="str">
        <f t="shared" si="46"/>
        <v/>
      </c>
      <c r="AO248"/>
    </row>
    <row r="249" spans="28:41" ht="25" customHeight="1">
      <c r="AB249" s="100"/>
      <c r="AC249" s="101"/>
      <c r="AD249" s="101"/>
      <c r="AE249" s="101"/>
      <c r="AF249" s="101"/>
      <c r="AG249" s="101"/>
      <c r="AH249" s="110" t="str">
        <f t="shared" si="45"/>
        <v/>
      </c>
      <c r="AI249" s="106"/>
      <c r="AJ249" s="106"/>
      <c r="AK249" s="109" t="str">
        <f t="shared" si="46"/>
        <v/>
      </c>
      <c r="AO249"/>
    </row>
    <row r="250" spans="28:41" ht="25" customHeight="1">
      <c r="AB250" s="100"/>
      <c r="AC250" s="101"/>
      <c r="AD250" s="101"/>
      <c r="AE250" s="101"/>
      <c r="AF250" s="101"/>
      <c r="AG250" s="101"/>
      <c r="AH250" s="110" t="str">
        <f t="shared" si="45"/>
        <v/>
      </c>
      <c r="AI250" s="106"/>
      <c r="AJ250" s="106"/>
      <c r="AK250" s="109" t="str">
        <f t="shared" si="46"/>
        <v/>
      </c>
      <c r="AO250"/>
    </row>
    <row r="251" spans="28:41" ht="25" customHeight="1">
      <c r="AB251" s="100"/>
      <c r="AC251" s="101"/>
      <c r="AD251" s="101"/>
      <c r="AE251" s="101"/>
      <c r="AF251" s="101"/>
      <c r="AG251" s="101"/>
      <c r="AH251" s="110" t="str">
        <f t="shared" si="45"/>
        <v/>
      </c>
      <c r="AI251" s="106"/>
      <c r="AJ251" s="106"/>
      <c r="AK251" s="109" t="str">
        <f t="shared" si="46"/>
        <v/>
      </c>
      <c r="AO251"/>
    </row>
    <row r="252" spans="28:41" ht="25" customHeight="1">
      <c r="AB252" s="100"/>
      <c r="AC252" s="101"/>
      <c r="AD252" s="101"/>
      <c r="AE252" s="101"/>
      <c r="AF252" s="101"/>
      <c r="AG252" s="101"/>
      <c r="AH252" s="110" t="str">
        <f t="shared" si="45"/>
        <v/>
      </c>
      <c r="AI252" s="106"/>
      <c r="AJ252" s="106"/>
      <c r="AK252" s="109" t="str">
        <f t="shared" si="46"/>
        <v/>
      </c>
      <c r="AO252"/>
    </row>
    <row r="253" spans="28:41" ht="25" customHeight="1">
      <c r="AB253" s="100"/>
      <c r="AC253" s="101"/>
      <c r="AD253" s="101"/>
      <c r="AE253" s="101"/>
      <c r="AF253" s="101"/>
      <c r="AG253" s="101"/>
      <c r="AH253" s="110" t="str">
        <f t="shared" si="45"/>
        <v/>
      </c>
      <c r="AI253" s="106"/>
      <c r="AJ253" s="106"/>
      <c r="AK253" s="109" t="str">
        <f t="shared" si="46"/>
        <v/>
      </c>
      <c r="AO253"/>
    </row>
    <row r="254" spans="28:41" ht="25" customHeight="1">
      <c r="AB254" s="100"/>
      <c r="AC254" s="101"/>
      <c r="AD254" s="101"/>
      <c r="AE254" s="101"/>
      <c r="AF254" s="101"/>
      <c r="AG254" s="101"/>
      <c r="AH254" s="110" t="str">
        <f t="shared" si="45"/>
        <v/>
      </c>
      <c r="AI254" s="106"/>
      <c r="AJ254" s="106"/>
      <c r="AK254" s="109" t="str">
        <f t="shared" si="46"/>
        <v/>
      </c>
      <c r="AO254"/>
    </row>
    <row r="255" spans="28:41" ht="25" customHeight="1">
      <c r="AB255" s="100"/>
      <c r="AC255" s="101"/>
      <c r="AD255" s="101"/>
      <c r="AE255" s="101"/>
      <c r="AF255" s="101"/>
      <c r="AG255" s="101"/>
      <c r="AH255" s="110" t="str">
        <f t="shared" si="45"/>
        <v/>
      </c>
      <c r="AI255" s="106"/>
      <c r="AJ255" s="106"/>
      <c r="AK255" s="109" t="str">
        <f t="shared" si="46"/>
        <v/>
      </c>
      <c r="AO255"/>
    </row>
    <row r="256" spans="28:41" ht="25" customHeight="1">
      <c r="AB256" s="100"/>
      <c r="AC256" s="101"/>
      <c r="AD256" s="101"/>
      <c r="AE256" s="101"/>
      <c r="AF256" s="101"/>
      <c r="AG256" s="101"/>
      <c r="AH256" s="110" t="str">
        <f t="shared" si="45"/>
        <v/>
      </c>
      <c r="AI256" s="106"/>
      <c r="AJ256" s="106"/>
      <c r="AK256" s="109" t="str">
        <f t="shared" si="46"/>
        <v/>
      </c>
      <c r="AO256"/>
    </row>
    <row r="257" spans="28:41" ht="25" customHeight="1">
      <c r="AB257" s="100"/>
      <c r="AC257" s="101"/>
      <c r="AD257" s="101"/>
      <c r="AE257" s="101"/>
      <c r="AF257" s="101"/>
      <c r="AG257" s="101"/>
      <c r="AH257" s="110" t="str">
        <f t="shared" si="45"/>
        <v/>
      </c>
      <c r="AI257" s="106"/>
      <c r="AJ257" s="106"/>
      <c r="AK257" s="109" t="str">
        <f t="shared" si="46"/>
        <v/>
      </c>
      <c r="AO257"/>
    </row>
    <row r="258" spans="28:41" ht="25" customHeight="1">
      <c r="AB258" s="100"/>
      <c r="AC258" s="101"/>
      <c r="AD258" s="101"/>
      <c r="AE258" s="101"/>
      <c r="AF258" s="101"/>
      <c r="AG258" s="101"/>
      <c r="AH258" s="110" t="str">
        <f t="shared" si="45"/>
        <v/>
      </c>
      <c r="AI258" s="106"/>
      <c r="AJ258" s="106"/>
      <c r="AK258" s="109" t="str">
        <f t="shared" ref="AK258" si="47">IF(AND(AI258&lt;&gt;"",AJ258&lt;&gt;""),AI258*AJ258,"")</f>
        <v/>
      </c>
      <c r="AO258"/>
    </row>
    <row r="259" spans="28:41" ht="25" customHeight="1">
      <c r="AB259" s="100"/>
      <c r="AC259" s="101"/>
      <c r="AD259" s="101"/>
      <c r="AE259" s="101"/>
      <c r="AF259" s="101"/>
      <c r="AG259" s="101"/>
      <c r="AH259" s="110" t="str">
        <f t="shared" si="45"/>
        <v/>
      </c>
      <c r="AI259" s="106"/>
      <c r="AJ259" s="106"/>
      <c r="AK259" s="109" t="str">
        <f t="shared" ref="AK259:AK276" si="48">IF(AND(AI259&lt;&gt;"",AJ259&lt;&gt;""),AI259*AJ259,"")</f>
        <v/>
      </c>
      <c r="AO259"/>
    </row>
    <row r="260" spans="28:41" ht="25" customHeight="1">
      <c r="AB260" s="100"/>
      <c r="AC260" s="101"/>
      <c r="AD260" s="101"/>
      <c r="AE260" s="101"/>
      <c r="AF260" s="101"/>
      <c r="AG260" s="101"/>
      <c r="AH260" s="110" t="str">
        <f t="shared" si="45"/>
        <v/>
      </c>
      <c r="AI260" s="106"/>
      <c r="AJ260" s="106"/>
      <c r="AK260" s="109" t="str">
        <f t="shared" si="48"/>
        <v/>
      </c>
      <c r="AO260"/>
    </row>
    <row r="261" spans="28:41" ht="25" customHeight="1">
      <c r="AB261" s="100"/>
      <c r="AC261" s="101"/>
      <c r="AD261" s="101"/>
      <c r="AE261" s="101"/>
      <c r="AF261" s="101"/>
      <c r="AG261" s="101"/>
      <c r="AH261" s="110" t="str">
        <f t="shared" si="45"/>
        <v/>
      </c>
      <c r="AI261" s="106"/>
      <c r="AJ261" s="106"/>
      <c r="AK261" s="109" t="str">
        <f t="shared" si="48"/>
        <v/>
      </c>
      <c r="AO261"/>
    </row>
    <row r="262" spans="28:41" ht="25" customHeight="1">
      <c r="AB262" s="100"/>
      <c r="AC262" s="101"/>
      <c r="AD262" s="101"/>
      <c r="AE262" s="101"/>
      <c r="AF262" s="101"/>
      <c r="AG262" s="101"/>
      <c r="AH262" s="110" t="str">
        <f t="shared" si="45"/>
        <v/>
      </c>
      <c r="AI262" s="106"/>
      <c r="AJ262" s="106"/>
      <c r="AK262" s="109" t="str">
        <f t="shared" si="48"/>
        <v/>
      </c>
      <c r="AO262"/>
    </row>
    <row r="263" spans="28:41" ht="25" customHeight="1">
      <c r="AB263" s="100"/>
      <c r="AC263" s="101"/>
      <c r="AD263" s="101"/>
      <c r="AE263" s="101"/>
      <c r="AF263" s="101"/>
      <c r="AG263" s="101"/>
      <c r="AH263" s="110" t="str">
        <f t="shared" si="45"/>
        <v/>
      </c>
      <c r="AI263" s="106"/>
      <c r="AJ263" s="106"/>
      <c r="AK263" s="109" t="str">
        <f t="shared" si="48"/>
        <v/>
      </c>
      <c r="AO263"/>
    </row>
    <row r="264" spans="28:41" ht="25" customHeight="1">
      <c r="AB264" s="100"/>
      <c r="AC264" s="101"/>
      <c r="AD264" s="101"/>
      <c r="AE264" s="101"/>
      <c r="AF264" s="101"/>
      <c r="AG264" s="101"/>
      <c r="AH264" s="110" t="str">
        <f t="shared" si="45"/>
        <v/>
      </c>
      <c r="AI264" s="106"/>
      <c r="AJ264" s="106"/>
      <c r="AK264" s="109" t="str">
        <f t="shared" si="48"/>
        <v/>
      </c>
      <c r="AO264"/>
    </row>
    <row r="265" spans="28:41" ht="25" customHeight="1">
      <c r="AB265" s="100"/>
      <c r="AC265" s="101"/>
      <c r="AD265" s="101"/>
      <c r="AE265" s="101"/>
      <c r="AF265" s="101"/>
      <c r="AG265" s="101"/>
      <c r="AH265" s="110" t="str">
        <f t="shared" si="45"/>
        <v/>
      </c>
      <c r="AI265" s="106"/>
      <c r="AJ265" s="106"/>
      <c r="AK265" s="109" t="str">
        <f t="shared" si="48"/>
        <v/>
      </c>
      <c r="AO265"/>
    </row>
    <row r="266" spans="28:41" ht="25" customHeight="1">
      <c r="AB266" s="100"/>
      <c r="AC266" s="101"/>
      <c r="AD266" s="101"/>
      <c r="AE266" s="101"/>
      <c r="AF266" s="101"/>
      <c r="AG266" s="101"/>
      <c r="AH266" s="110" t="str">
        <f t="shared" si="45"/>
        <v/>
      </c>
      <c r="AI266" s="106"/>
      <c r="AJ266" s="106"/>
      <c r="AK266" s="109" t="str">
        <f t="shared" si="48"/>
        <v/>
      </c>
      <c r="AO266"/>
    </row>
    <row r="267" spans="28:41" ht="25" customHeight="1">
      <c r="AB267" s="100"/>
      <c r="AC267" s="101"/>
      <c r="AD267" s="101"/>
      <c r="AE267" s="101"/>
      <c r="AF267" s="101"/>
      <c r="AG267" s="101"/>
      <c r="AH267" s="110" t="str">
        <f t="shared" si="45"/>
        <v/>
      </c>
      <c r="AI267" s="106"/>
      <c r="AJ267" s="106"/>
      <c r="AK267" s="109" t="str">
        <f t="shared" si="48"/>
        <v/>
      </c>
      <c r="AO267"/>
    </row>
    <row r="268" spans="28:41" ht="25" customHeight="1">
      <c r="AB268" s="100"/>
      <c r="AC268" s="101"/>
      <c r="AD268" s="101"/>
      <c r="AE268" s="101"/>
      <c r="AF268" s="101"/>
      <c r="AG268" s="101"/>
      <c r="AH268" s="110" t="str">
        <f t="shared" si="45"/>
        <v/>
      </c>
      <c r="AI268" s="106"/>
      <c r="AJ268" s="106"/>
      <c r="AK268" s="109" t="str">
        <f t="shared" si="48"/>
        <v/>
      </c>
      <c r="AO268"/>
    </row>
    <row r="269" spans="28:41" ht="25" customHeight="1">
      <c r="AB269" s="100"/>
      <c r="AC269" s="101"/>
      <c r="AD269" s="101"/>
      <c r="AE269" s="101"/>
      <c r="AF269" s="101"/>
      <c r="AG269" s="101"/>
      <c r="AH269" s="110" t="str">
        <f t="shared" si="45"/>
        <v/>
      </c>
      <c r="AI269" s="106"/>
      <c r="AJ269" s="106"/>
      <c r="AK269" s="109" t="str">
        <f t="shared" si="48"/>
        <v/>
      </c>
      <c r="AO269"/>
    </row>
    <row r="270" spans="28:41" ht="25" customHeight="1">
      <c r="AB270" s="100"/>
      <c r="AC270" s="101"/>
      <c r="AD270" s="101"/>
      <c r="AE270" s="101"/>
      <c r="AF270" s="101"/>
      <c r="AG270" s="101"/>
      <c r="AH270" s="110" t="str">
        <f t="shared" si="45"/>
        <v/>
      </c>
      <c r="AI270" s="106"/>
      <c r="AJ270" s="106"/>
      <c r="AK270" s="109" t="str">
        <f t="shared" si="48"/>
        <v/>
      </c>
      <c r="AO270"/>
    </row>
    <row r="271" spans="28:41" ht="25" customHeight="1">
      <c r="AB271" s="100"/>
      <c r="AC271" s="101"/>
      <c r="AD271" s="101"/>
      <c r="AE271" s="101"/>
      <c r="AF271" s="101"/>
      <c r="AG271" s="101"/>
      <c r="AH271" s="110" t="str">
        <f t="shared" si="45"/>
        <v/>
      </c>
      <c r="AI271" s="106"/>
      <c r="AJ271" s="106"/>
      <c r="AK271" s="109" t="str">
        <f t="shared" si="48"/>
        <v/>
      </c>
      <c r="AO271"/>
    </row>
    <row r="272" spans="28:41" ht="25" customHeight="1">
      <c r="AB272" s="100"/>
      <c r="AC272" s="101"/>
      <c r="AD272" s="101"/>
      <c r="AE272" s="101"/>
      <c r="AF272" s="101"/>
      <c r="AG272" s="101"/>
      <c r="AH272" s="110" t="str">
        <f t="shared" si="45"/>
        <v/>
      </c>
      <c r="AI272" s="106"/>
      <c r="AJ272" s="106"/>
      <c r="AK272" s="109" t="str">
        <f t="shared" si="48"/>
        <v/>
      </c>
      <c r="AO272"/>
    </row>
    <row r="273" spans="28:41" ht="25" customHeight="1">
      <c r="AB273" s="100"/>
      <c r="AC273" s="101"/>
      <c r="AD273" s="101"/>
      <c r="AE273" s="101"/>
      <c r="AF273" s="101"/>
      <c r="AG273" s="101"/>
      <c r="AH273" s="110" t="str">
        <f t="shared" si="45"/>
        <v/>
      </c>
      <c r="AI273" s="106"/>
      <c r="AJ273" s="106"/>
      <c r="AK273" s="109" t="str">
        <f t="shared" si="48"/>
        <v/>
      </c>
      <c r="AO273"/>
    </row>
    <row r="274" spans="28:41" ht="25" customHeight="1">
      <c r="AB274" s="100"/>
      <c r="AC274" s="101"/>
      <c r="AD274" s="101"/>
      <c r="AE274" s="101"/>
      <c r="AF274" s="101"/>
      <c r="AG274" s="101"/>
      <c r="AH274" s="110" t="str">
        <f t="shared" si="45"/>
        <v/>
      </c>
      <c r="AI274" s="106"/>
      <c r="AJ274" s="106"/>
      <c r="AK274" s="109" t="str">
        <f t="shared" si="48"/>
        <v/>
      </c>
      <c r="AO274"/>
    </row>
    <row r="275" spans="28:41" ht="25" customHeight="1">
      <c r="AB275" s="100"/>
      <c r="AC275" s="101"/>
      <c r="AD275" s="101"/>
      <c r="AE275" s="101"/>
      <c r="AF275" s="101"/>
      <c r="AG275" s="101"/>
      <c r="AH275" s="110" t="str">
        <f t="shared" si="45"/>
        <v/>
      </c>
      <c r="AI275" s="106"/>
      <c r="AJ275" s="106"/>
      <c r="AK275" s="109" t="str">
        <f t="shared" si="48"/>
        <v/>
      </c>
      <c r="AO275"/>
    </row>
    <row r="276" spans="28:41" ht="25" customHeight="1">
      <c r="AB276" s="100"/>
      <c r="AC276" s="101"/>
      <c r="AD276" s="101"/>
      <c r="AE276" s="101"/>
      <c r="AF276" s="101"/>
      <c r="AG276" s="101"/>
      <c r="AH276" s="110" t="str">
        <f t="shared" si="45"/>
        <v/>
      </c>
      <c r="AI276" s="106"/>
      <c r="AJ276" s="106"/>
      <c r="AK276" s="109" t="str">
        <f t="shared" si="48"/>
        <v/>
      </c>
      <c r="AO276"/>
    </row>
    <row r="277" spans="28:41" ht="25" customHeight="1">
      <c r="AB277" s="100"/>
      <c r="AC277" s="101"/>
      <c r="AD277" s="101"/>
      <c r="AE277" s="101"/>
      <c r="AF277" s="101"/>
      <c r="AG277" s="101"/>
      <c r="AH277" s="110" t="str">
        <f t="shared" si="45"/>
        <v/>
      </c>
      <c r="AI277" s="106"/>
      <c r="AJ277" s="106"/>
      <c r="AK277" s="109" t="str">
        <f t="shared" ref="AK277:AK289" si="49">IF(AND(AI277&lt;&gt;"",AJ277&lt;&gt;""),AI277*AJ277,"")</f>
        <v/>
      </c>
      <c r="AO277"/>
    </row>
    <row r="278" spans="28:41" ht="25" customHeight="1">
      <c r="AB278" s="100"/>
      <c r="AC278" s="101"/>
      <c r="AD278" s="101"/>
      <c r="AE278" s="101"/>
      <c r="AF278" s="101"/>
      <c r="AG278" s="101"/>
      <c r="AH278" s="110" t="str">
        <f t="shared" si="45"/>
        <v/>
      </c>
      <c r="AI278" s="106"/>
      <c r="AJ278" s="106"/>
      <c r="AK278" s="109" t="str">
        <f t="shared" si="49"/>
        <v/>
      </c>
      <c r="AO278"/>
    </row>
    <row r="279" spans="28:41" ht="25" customHeight="1">
      <c r="AB279" s="100"/>
      <c r="AC279" s="101"/>
      <c r="AD279" s="101"/>
      <c r="AE279" s="101"/>
      <c r="AF279" s="101"/>
      <c r="AG279" s="101"/>
      <c r="AH279" s="110" t="str">
        <f t="shared" si="45"/>
        <v/>
      </c>
      <c r="AI279" s="106"/>
      <c r="AJ279" s="106"/>
      <c r="AK279" s="109" t="str">
        <f t="shared" si="49"/>
        <v/>
      </c>
      <c r="AO279"/>
    </row>
    <row r="280" spans="28:41" ht="25" customHeight="1">
      <c r="AB280" s="100"/>
      <c r="AC280" s="101"/>
      <c r="AD280" s="101"/>
      <c r="AE280" s="101"/>
      <c r="AF280" s="101"/>
      <c r="AG280" s="101"/>
      <c r="AH280" s="110" t="str">
        <f t="shared" si="45"/>
        <v/>
      </c>
      <c r="AI280" s="106"/>
      <c r="AJ280" s="106"/>
      <c r="AK280" s="109" t="str">
        <f t="shared" si="49"/>
        <v/>
      </c>
      <c r="AO280"/>
    </row>
    <row r="281" spans="28:41" ht="25" customHeight="1">
      <c r="AB281" s="100"/>
      <c r="AC281" s="101"/>
      <c r="AD281" s="101"/>
      <c r="AE281" s="101"/>
      <c r="AF281" s="101"/>
      <c r="AG281" s="101"/>
      <c r="AH281" s="110" t="str">
        <f t="shared" si="45"/>
        <v/>
      </c>
      <c r="AI281" s="106"/>
      <c r="AJ281" s="106"/>
      <c r="AK281" s="109" t="str">
        <f t="shared" si="49"/>
        <v/>
      </c>
      <c r="AO281"/>
    </row>
    <row r="282" spans="28:41" ht="25" customHeight="1">
      <c r="AB282" s="100"/>
      <c r="AC282" s="101"/>
      <c r="AD282" s="101"/>
      <c r="AE282" s="101"/>
      <c r="AF282" s="101"/>
      <c r="AG282" s="101"/>
      <c r="AH282" s="110" t="str">
        <f t="shared" si="45"/>
        <v/>
      </c>
      <c r="AI282" s="106"/>
      <c r="AJ282" s="106"/>
      <c r="AK282" s="109" t="str">
        <f t="shared" si="49"/>
        <v/>
      </c>
      <c r="AO282"/>
    </row>
    <row r="283" spans="28:41" ht="25" customHeight="1">
      <c r="AB283" s="100"/>
      <c r="AC283" s="101"/>
      <c r="AD283" s="101"/>
      <c r="AE283" s="101"/>
      <c r="AF283" s="101"/>
      <c r="AG283" s="101"/>
      <c r="AH283" s="110" t="str">
        <f t="shared" si="45"/>
        <v/>
      </c>
      <c r="AI283" s="106"/>
      <c r="AJ283" s="106"/>
      <c r="AK283" s="109" t="str">
        <f t="shared" si="49"/>
        <v/>
      </c>
      <c r="AO283"/>
    </row>
    <row r="284" spans="28:41" ht="25" customHeight="1">
      <c r="AB284" s="100"/>
      <c r="AC284" s="101"/>
      <c r="AD284" s="101"/>
      <c r="AE284" s="101"/>
      <c r="AF284" s="101"/>
      <c r="AG284" s="101"/>
      <c r="AH284" s="110" t="str">
        <f t="shared" si="45"/>
        <v/>
      </c>
      <c r="AI284" s="106"/>
      <c r="AJ284" s="106"/>
      <c r="AK284" s="109" t="str">
        <f t="shared" si="49"/>
        <v/>
      </c>
      <c r="AO284"/>
    </row>
    <row r="285" spans="28:41" ht="25" customHeight="1">
      <c r="AB285" s="100"/>
      <c r="AC285" s="101"/>
      <c r="AD285" s="101"/>
      <c r="AE285" s="101"/>
      <c r="AF285" s="101"/>
      <c r="AG285" s="101"/>
      <c r="AH285" s="110" t="str">
        <f t="shared" si="45"/>
        <v/>
      </c>
      <c r="AI285" s="106"/>
      <c r="AJ285" s="106"/>
      <c r="AK285" s="109" t="str">
        <f t="shared" si="49"/>
        <v/>
      </c>
      <c r="AO285"/>
    </row>
    <row r="286" spans="28:41" ht="25" customHeight="1">
      <c r="AB286" s="100"/>
      <c r="AC286" s="101"/>
      <c r="AD286" s="101"/>
      <c r="AE286" s="101"/>
      <c r="AF286" s="101"/>
      <c r="AG286" s="101"/>
      <c r="AH286" s="110" t="str">
        <f t="shared" si="45"/>
        <v/>
      </c>
      <c r="AI286" s="106"/>
      <c r="AJ286" s="106"/>
      <c r="AK286" s="109" t="str">
        <f t="shared" si="49"/>
        <v/>
      </c>
      <c r="AO286"/>
    </row>
    <row r="287" spans="28:41" ht="25" customHeight="1">
      <c r="AB287" s="100"/>
      <c r="AC287" s="101"/>
      <c r="AD287" s="101"/>
      <c r="AE287" s="101"/>
      <c r="AF287" s="101"/>
      <c r="AG287" s="101"/>
      <c r="AH287" s="110" t="str">
        <f t="shared" si="45"/>
        <v/>
      </c>
      <c r="AI287" s="106"/>
      <c r="AJ287" s="106"/>
      <c r="AK287" s="109" t="str">
        <f t="shared" si="49"/>
        <v/>
      </c>
      <c r="AO287"/>
    </row>
    <row r="288" spans="28:41" ht="25" customHeight="1">
      <c r="AB288" s="100"/>
      <c r="AC288" s="101"/>
      <c r="AD288" s="101"/>
      <c r="AE288" s="101"/>
      <c r="AF288" s="101"/>
      <c r="AG288" s="101"/>
      <c r="AH288" s="110" t="str">
        <f t="shared" si="45"/>
        <v/>
      </c>
      <c r="AI288" s="106"/>
      <c r="AJ288" s="106"/>
      <c r="AK288" s="109" t="str">
        <f t="shared" si="49"/>
        <v/>
      </c>
      <c r="AO288"/>
    </row>
    <row r="289" spans="28:41" ht="25" customHeight="1">
      <c r="AB289" s="100"/>
      <c r="AC289" s="101"/>
      <c r="AD289" s="101"/>
      <c r="AE289" s="101"/>
      <c r="AF289" s="101"/>
      <c r="AG289" s="101"/>
      <c r="AH289" s="110" t="str">
        <f t="shared" si="45"/>
        <v/>
      </c>
      <c r="AI289" s="106"/>
      <c r="AJ289" s="106"/>
      <c r="AK289" s="109" t="str">
        <f t="shared" si="49"/>
        <v/>
      </c>
      <c r="AO289"/>
    </row>
    <row r="290" spans="28:41" ht="25" customHeight="1">
      <c r="AB290" s="100"/>
      <c r="AC290" s="101"/>
      <c r="AD290" s="101"/>
      <c r="AE290" s="101"/>
      <c r="AF290" s="101"/>
      <c r="AG290" s="101"/>
      <c r="AH290" s="110" t="str">
        <f t="shared" si="45"/>
        <v/>
      </c>
      <c r="AI290" s="106"/>
      <c r="AJ290" s="106"/>
      <c r="AK290" s="109" t="str">
        <f t="shared" ref="AK290:AK307" si="50">IF(AND(AI290&lt;&gt;"",AJ290&lt;&gt;""),AI290*AJ290,"")</f>
        <v/>
      </c>
      <c r="AO290"/>
    </row>
    <row r="291" spans="28:41" ht="25" customHeight="1">
      <c r="AB291" s="100"/>
      <c r="AC291" s="101"/>
      <c r="AD291" s="101"/>
      <c r="AE291" s="101"/>
      <c r="AF291" s="101"/>
      <c r="AG291" s="101"/>
      <c r="AH291" s="110" t="str">
        <f t="shared" si="45"/>
        <v/>
      </c>
      <c r="AI291" s="106"/>
      <c r="AJ291" s="106"/>
      <c r="AK291" s="109" t="str">
        <f t="shared" si="50"/>
        <v/>
      </c>
      <c r="AO291"/>
    </row>
    <row r="292" spans="28:41" ht="25" customHeight="1">
      <c r="AB292" s="100"/>
      <c r="AC292" s="101"/>
      <c r="AD292" s="101"/>
      <c r="AE292" s="101"/>
      <c r="AF292" s="101"/>
      <c r="AG292" s="101"/>
      <c r="AH292" s="110" t="str">
        <f t="shared" si="45"/>
        <v/>
      </c>
      <c r="AI292" s="106"/>
      <c r="AJ292" s="106"/>
      <c r="AK292" s="109" t="str">
        <f t="shared" si="50"/>
        <v/>
      </c>
      <c r="AO292"/>
    </row>
    <row r="293" spans="28:41" ht="25" customHeight="1">
      <c r="AB293" s="100"/>
      <c r="AC293" s="101"/>
      <c r="AD293" s="101"/>
      <c r="AE293" s="101"/>
      <c r="AF293" s="101"/>
      <c r="AG293" s="101"/>
      <c r="AH293" s="110" t="str">
        <f t="shared" si="45"/>
        <v/>
      </c>
      <c r="AI293" s="106"/>
      <c r="AJ293" s="106"/>
      <c r="AK293" s="109" t="str">
        <f t="shared" si="50"/>
        <v/>
      </c>
      <c r="AO293"/>
    </row>
    <row r="294" spans="28:41" ht="25" customHeight="1">
      <c r="AB294" s="100"/>
      <c r="AC294" s="101"/>
      <c r="AD294" s="101"/>
      <c r="AE294" s="101"/>
      <c r="AF294" s="101"/>
      <c r="AG294" s="101"/>
      <c r="AH294" s="110" t="str">
        <f t="shared" si="45"/>
        <v/>
      </c>
      <c r="AI294" s="106"/>
      <c r="AJ294" s="106"/>
      <c r="AK294" s="109" t="str">
        <f t="shared" si="50"/>
        <v/>
      </c>
      <c r="AO294"/>
    </row>
    <row r="295" spans="28:41" ht="25" customHeight="1">
      <c r="AB295" s="100"/>
      <c r="AC295" s="101"/>
      <c r="AD295" s="101"/>
      <c r="AE295" s="101"/>
      <c r="AF295" s="101"/>
      <c r="AG295" s="101"/>
      <c r="AH295" s="110" t="str">
        <f t="shared" ref="AH295:AH307" si="51">IF(AND(AF295&lt;&gt;"",AG295&lt;&gt;""),AF295*AG295,"")</f>
        <v/>
      </c>
      <c r="AI295" s="106"/>
      <c r="AJ295" s="106"/>
      <c r="AK295" s="109" t="str">
        <f t="shared" si="50"/>
        <v/>
      </c>
      <c r="AO295"/>
    </row>
    <row r="296" spans="28:41" ht="25" customHeight="1">
      <c r="AB296" s="100"/>
      <c r="AC296" s="101"/>
      <c r="AD296" s="101"/>
      <c r="AE296" s="101"/>
      <c r="AF296" s="101"/>
      <c r="AG296" s="101"/>
      <c r="AH296" s="110" t="str">
        <f t="shared" si="51"/>
        <v/>
      </c>
      <c r="AI296" s="106"/>
      <c r="AJ296" s="106"/>
      <c r="AK296" s="109" t="str">
        <f t="shared" si="50"/>
        <v/>
      </c>
      <c r="AO296"/>
    </row>
    <row r="297" spans="28:41" ht="25" customHeight="1">
      <c r="AB297" s="100"/>
      <c r="AC297" s="101"/>
      <c r="AD297" s="101"/>
      <c r="AE297" s="101"/>
      <c r="AF297" s="101"/>
      <c r="AG297" s="101"/>
      <c r="AH297" s="110" t="str">
        <f t="shared" si="51"/>
        <v/>
      </c>
      <c r="AI297" s="106"/>
      <c r="AJ297" s="106"/>
      <c r="AK297" s="109" t="str">
        <f t="shared" si="50"/>
        <v/>
      </c>
      <c r="AO297"/>
    </row>
    <row r="298" spans="28:41" ht="25" customHeight="1">
      <c r="AB298" s="100"/>
      <c r="AC298" s="101"/>
      <c r="AD298" s="101"/>
      <c r="AE298" s="101"/>
      <c r="AF298" s="101"/>
      <c r="AG298" s="101"/>
      <c r="AH298" s="110" t="str">
        <f t="shared" si="51"/>
        <v/>
      </c>
      <c r="AI298" s="106"/>
      <c r="AJ298" s="106"/>
      <c r="AK298" s="109" t="str">
        <f t="shared" si="50"/>
        <v/>
      </c>
      <c r="AO298"/>
    </row>
    <row r="299" spans="28:41" ht="25" customHeight="1">
      <c r="AB299" s="100"/>
      <c r="AC299" s="101"/>
      <c r="AD299" s="101"/>
      <c r="AE299" s="101"/>
      <c r="AF299" s="101"/>
      <c r="AG299" s="101"/>
      <c r="AH299" s="110" t="str">
        <f t="shared" si="51"/>
        <v/>
      </c>
      <c r="AI299" s="106"/>
      <c r="AJ299" s="106"/>
      <c r="AK299" s="109" t="str">
        <f t="shared" si="50"/>
        <v/>
      </c>
      <c r="AO299"/>
    </row>
    <row r="300" spans="28:41" ht="25" customHeight="1">
      <c r="AB300" s="100"/>
      <c r="AC300" s="101"/>
      <c r="AD300" s="101"/>
      <c r="AE300" s="101"/>
      <c r="AF300" s="101"/>
      <c r="AG300" s="101"/>
      <c r="AH300" s="110" t="str">
        <f t="shared" si="51"/>
        <v/>
      </c>
      <c r="AI300" s="106"/>
      <c r="AJ300" s="106"/>
      <c r="AK300" s="109" t="str">
        <f t="shared" si="50"/>
        <v/>
      </c>
      <c r="AO300"/>
    </row>
    <row r="301" spans="28:41" ht="25" customHeight="1">
      <c r="AB301" s="100"/>
      <c r="AC301" s="101"/>
      <c r="AD301" s="101"/>
      <c r="AE301" s="101"/>
      <c r="AF301" s="101"/>
      <c r="AG301" s="101"/>
      <c r="AH301" s="110" t="str">
        <f t="shared" si="51"/>
        <v/>
      </c>
      <c r="AI301" s="106"/>
      <c r="AJ301" s="106"/>
      <c r="AK301" s="109" t="str">
        <f t="shared" si="50"/>
        <v/>
      </c>
      <c r="AO301"/>
    </row>
    <row r="302" spans="28:41" ht="25" customHeight="1">
      <c r="AB302" s="100"/>
      <c r="AC302" s="101"/>
      <c r="AD302" s="101"/>
      <c r="AE302" s="101"/>
      <c r="AF302" s="101"/>
      <c r="AG302" s="101"/>
      <c r="AH302" s="110" t="str">
        <f t="shared" si="51"/>
        <v/>
      </c>
      <c r="AI302" s="106"/>
      <c r="AJ302" s="106"/>
      <c r="AK302" s="109" t="str">
        <f t="shared" si="50"/>
        <v/>
      </c>
      <c r="AO302"/>
    </row>
    <row r="303" spans="28:41" ht="25" customHeight="1">
      <c r="AB303" s="100"/>
      <c r="AC303" s="101"/>
      <c r="AD303" s="101"/>
      <c r="AE303" s="101"/>
      <c r="AF303" s="101"/>
      <c r="AG303" s="101"/>
      <c r="AH303" s="110" t="str">
        <f t="shared" si="51"/>
        <v/>
      </c>
      <c r="AI303" s="106"/>
      <c r="AJ303" s="106"/>
      <c r="AK303" s="109" t="str">
        <f t="shared" si="50"/>
        <v/>
      </c>
      <c r="AO303"/>
    </row>
    <row r="304" spans="28:41" ht="25" customHeight="1">
      <c r="AB304" s="100"/>
      <c r="AC304" s="101"/>
      <c r="AD304" s="101"/>
      <c r="AE304" s="101"/>
      <c r="AF304" s="101"/>
      <c r="AG304" s="101"/>
      <c r="AH304" s="110" t="str">
        <f t="shared" si="51"/>
        <v/>
      </c>
      <c r="AI304" s="106"/>
      <c r="AJ304" s="106"/>
      <c r="AK304" s="109" t="str">
        <f t="shared" si="50"/>
        <v/>
      </c>
      <c r="AO304"/>
    </row>
    <row r="305" spans="28:41" ht="25" customHeight="1">
      <c r="AB305" s="100"/>
      <c r="AC305" s="101"/>
      <c r="AD305" s="101"/>
      <c r="AE305" s="101"/>
      <c r="AF305" s="101"/>
      <c r="AG305" s="101"/>
      <c r="AH305" s="110" t="str">
        <f t="shared" si="51"/>
        <v/>
      </c>
      <c r="AI305" s="106"/>
      <c r="AJ305" s="106"/>
      <c r="AK305" s="109" t="str">
        <f t="shared" si="50"/>
        <v/>
      </c>
      <c r="AO305"/>
    </row>
    <row r="306" spans="28:41" ht="25" customHeight="1">
      <c r="AB306" s="100"/>
      <c r="AC306" s="101"/>
      <c r="AD306" s="101"/>
      <c r="AE306" s="101"/>
      <c r="AF306" s="101"/>
      <c r="AG306" s="101"/>
      <c r="AH306" s="110" t="str">
        <f t="shared" si="51"/>
        <v/>
      </c>
      <c r="AI306" s="106"/>
      <c r="AJ306" s="106"/>
      <c r="AK306" s="109" t="str">
        <f t="shared" si="50"/>
        <v/>
      </c>
      <c r="AO306"/>
    </row>
    <row r="307" spans="28:41" ht="25" customHeight="1">
      <c r="AB307" s="103"/>
      <c r="AC307" s="104"/>
      <c r="AD307" s="104"/>
      <c r="AE307" s="104"/>
      <c r="AF307" s="104"/>
      <c r="AG307" s="104"/>
      <c r="AH307" s="111" t="str">
        <f t="shared" si="51"/>
        <v/>
      </c>
      <c r="AI307" s="107"/>
      <c r="AJ307" s="107"/>
      <c r="AK307" s="108" t="str">
        <f t="shared" si="50"/>
        <v/>
      </c>
      <c r="AO307"/>
    </row>
  </sheetData>
  <mergeCells count="9">
    <mergeCell ref="B2:D2"/>
    <mergeCell ref="B3:D3"/>
    <mergeCell ref="B4:D4"/>
    <mergeCell ref="AB5:AK5"/>
    <mergeCell ref="O20:Q30"/>
    <mergeCell ref="O6:R6"/>
    <mergeCell ref="O16:R16"/>
    <mergeCell ref="AB6:AK6"/>
    <mergeCell ref="AL5:AR5"/>
  </mergeCells>
  <phoneticPr fontId="22" type="noConversion"/>
  <conditionalFormatting sqref="D8:D65">
    <cfRule type="cellIs" dxfId="6" priority="8" operator="equal">
      <formula>"해당"</formula>
    </cfRule>
  </conditionalFormatting>
  <conditionalFormatting sqref="E38:G38">
    <cfRule type="dataBar" priority="16">
      <dataBar>
        <cfvo type="min"/>
        <cfvo type="max"/>
        <color rgb="FF34D399"/>
      </dataBar>
      <extLst>
        <ext xmlns:x14="http://schemas.microsoft.com/office/spreadsheetml/2009/9/main" uri="{B025F937-C7B1-47D3-B67F-A62EFF666E3E}">
          <x14:id>{77BED46B-81FC-B945-B91C-B19FDF64CB8D}</x14:id>
        </ext>
      </extLst>
    </cfRule>
  </conditionalFormatting>
  <conditionalFormatting sqref="E41:G41">
    <cfRule type="dataBar" priority="21">
      <dataBar>
        <cfvo type="min"/>
        <cfvo type="max"/>
        <color rgb="FF34D399"/>
      </dataBar>
      <extLst>
        <ext xmlns:x14="http://schemas.microsoft.com/office/spreadsheetml/2009/9/main" uri="{B025F937-C7B1-47D3-B67F-A62EFF666E3E}">
          <x14:id>{AA8267FD-1EE7-5446-85F6-1439B9B7AFA3}</x14:id>
        </ext>
      </extLst>
    </cfRule>
  </conditionalFormatting>
  <conditionalFormatting sqref="E43:G43">
    <cfRule type="dataBar" priority="17">
      <dataBar>
        <cfvo type="min"/>
        <cfvo type="max"/>
        <color rgb="FF34D399"/>
      </dataBar>
      <extLst>
        <ext xmlns:x14="http://schemas.microsoft.com/office/spreadsheetml/2009/9/main" uri="{B025F937-C7B1-47D3-B67F-A62EFF666E3E}">
          <x14:id>{4DFF195F-9461-E742-A366-6E504839F545}</x14:id>
        </ext>
      </extLst>
    </cfRule>
  </conditionalFormatting>
  <conditionalFormatting sqref="E44:G44">
    <cfRule type="dataBar" priority="18">
      <dataBar>
        <cfvo type="min"/>
        <cfvo type="max"/>
        <color rgb="FF34D399"/>
      </dataBar>
      <extLst>
        <ext xmlns:x14="http://schemas.microsoft.com/office/spreadsheetml/2009/9/main" uri="{B025F937-C7B1-47D3-B67F-A62EFF666E3E}">
          <x14:id>{237F836B-F80A-824B-9D51-DC2C6DC14442}</x14:id>
        </ext>
      </extLst>
    </cfRule>
  </conditionalFormatting>
  <conditionalFormatting sqref="E53:M53">
    <cfRule type="dataBar" priority="19">
      <dataBar>
        <cfvo type="min"/>
        <cfvo type="max"/>
        <color rgb="FF34D399"/>
      </dataBar>
      <extLst>
        <ext xmlns:x14="http://schemas.microsoft.com/office/spreadsheetml/2009/9/main" uri="{B025F937-C7B1-47D3-B67F-A62EFF666E3E}">
          <x14:id>{3711C047-EEBD-C841-8411-7358C743387E}</x14:id>
        </ext>
      </extLst>
    </cfRule>
  </conditionalFormatting>
  <conditionalFormatting sqref="E61:M61">
    <cfRule type="dataBar" priority="20">
      <dataBar>
        <cfvo type="min"/>
        <cfvo type="max"/>
        <color rgb="FF34D399"/>
      </dataBar>
      <extLst>
        <ext xmlns:x14="http://schemas.microsoft.com/office/spreadsheetml/2009/9/main" uri="{B025F937-C7B1-47D3-B67F-A62EFF666E3E}">
          <x14:id>{B736AEC4-C2C1-E244-9836-C363E893F116}</x14:id>
        </ext>
      </extLst>
    </cfRule>
  </conditionalFormatting>
  <conditionalFormatting sqref="J8:K17">
    <cfRule type="cellIs" dxfId="5" priority="1" operator="equal">
      <formula>"해당"</formula>
    </cfRule>
  </conditionalFormatting>
  <conditionalFormatting sqref="T8:T36 C37:C65 C18:M18 I8:K17 C8:G17 C19:G36">
    <cfRule type="dataBar" priority="10">
      <dataBar>
        <cfvo type="min"/>
        <cfvo type="max"/>
        <color rgb="FF34D399"/>
      </dataBar>
      <extLst>
        <ext xmlns:x14="http://schemas.microsoft.com/office/spreadsheetml/2009/9/main" uri="{B025F937-C7B1-47D3-B67F-A62EFF666E3E}">
          <x14:id>{339653E7-B687-6E48-B06B-DAA6F00F9146}</x14:id>
        </ext>
      </extLst>
    </cfRule>
  </conditionalFormatting>
  <conditionalFormatting sqref="AR8:AR57">
    <cfRule type="containsText" dxfId="4" priority="22" operator="containsText" text="고위험">
      <formula>NOT(ISERROR(SEARCH("고위험",AR8)))</formula>
    </cfRule>
    <cfRule type="containsText" dxfId="3" priority="23" operator="containsText" text="중위험">
      <formula>NOT(ISERROR(SEARCH("중위험",AR8)))</formula>
    </cfRule>
    <cfRule type="containsText" dxfId="2" priority="24" operator="containsText" text="저위험">
      <formula>NOT(ISERROR(SEARCH("저위험",AR8)))</formula>
    </cfRule>
    <cfRule type="containsText" dxfId="1" priority="25" operator="containsText" text="미입력">
      <formula>NOT(ISERROR(SEARCH("미입력",AR8)))</formula>
    </cfRule>
  </conditionalFormatting>
  <dataValidations count="1">
    <dataValidation type="list" allowBlank="1" showInputMessage="1" showErrorMessage="1" sqref="D8:D65 J8:K17" xr:uid="{7555AFC7-F491-5D45-8906-BD07C4067ECD}">
      <formula1>"해당,미해당"</formula1>
    </dataValidation>
  </dataValidations>
  <printOptions horizontalCentered="1"/>
  <pageMargins left="0.5" right="0.5" top="0.5" bottom="0.5" header="0.3" footer="0.3"/>
  <pageSetup paperSize="9" scale="0" orientation="landscape" horizontalDpi="0" verticalDpi="0" copies="0"/>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77BED46B-81FC-B945-B91C-B19FDF64CB8D}">
            <x14:dataBar minLength="0" maxLength="100" border="1" direction="leftToRight" negativeBarColorSameAsPositive="1" axisPosition="none">
              <x14:cfvo type="min"/>
              <x14:cfvo type="max"/>
              <x14:borderColor rgb="FF059669"/>
            </x14:dataBar>
          </x14:cfRule>
          <xm:sqref>E38:G38</xm:sqref>
        </x14:conditionalFormatting>
        <x14:conditionalFormatting xmlns:xm="http://schemas.microsoft.com/office/excel/2006/main">
          <x14:cfRule type="dataBar" id="{AA8267FD-1EE7-5446-85F6-1439B9B7AFA3}">
            <x14:dataBar minLength="0" maxLength="100" border="1" direction="leftToRight" negativeBarColorSameAsPositive="1" axisPosition="none">
              <x14:cfvo type="min"/>
              <x14:cfvo type="max"/>
              <x14:borderColor rgb="FF059669"/>
            </x14:dataBar>
          </x14:cfRule>
          <xm:sqref>E41:G41</xm:sqref>
        </x14:conditionalFormatting>
        <x14:conditionalFormatting xmlns:xm="http://schemas.microsoft.com/office/excel/2006/main">
          <x14:cfRule type="dataBar" id="{4DFF195F-9461-E742-A366-6E504839F545}">
            <x14:dataBar minLength="0" maxLength="100" border="1" direction="leftToRight" negativeBarColorSameAsPositive="1" axisPosition="none">
              <x14:cfvo type="min"/>
              <x14:cfvo type="max"/>
              <x14:borderColor rgb="FF059669"/>
            </x14:dataBar>
          </x14:cfRule>
          <xm:sqref>E43:G43</xm:sqref>
        </x14:conditionalFormatting>
        <x14:conditionalFormatting xmlns:xm="http://schemas.microsoft.com/office/excel/2006/main">
          <x14:cfRule type="dataBar" id="{237F836B-F80A-824B-9D51-DC2C6DC14442}">
            <x14:dataBar minLength="0" maxLength="100" border="1" direction="leftToRight" negativeBarColorSameAsPositive="1" axisPosition="none">
              <x14:cfvo type="min"/>
              <x14:cfvo type="max"/>
              <x14:borderColor rgb="FF059669"/>
            </x14:dataBar>
          </x14:cfRule>
          <xm:sqref>E44:G44</xm:sqref>
        </x14:conditionalFormatting>
        <x14:conditionalFormatting xmlns:xm="http://schemas.microsoft.com/office/excel/2006/main">
          <x14:cfRule type="dataBar" id="{3711C047-EEBD-C841-8411-7358C743387E}">
            <x14:dataBar minLength="0" maxLength="100" border="1" direction="leftToRight" negativeBarColorSameAsPositive="1" axisPosition="none">
              <x14:cfvo type="min"/>
              <x14:cfvo type="max"/>
              <x14:borderColor rgb="FF059669"/>
            </x14:dataBar>
          </x14:cfRule>
          <xm:sqref>E53:M53</xm:sqref>
        </x14:conditionalFormatting>
        <x14:conditionalFormatting xmlns:xm="http://schemas.microsoft.com/office/excel/2006/main">
          <x14:cfRule type="dataBar" id="{B736AEC4-C2C1-E244-9836-C363E893F116}">
            <x14:dataBar minLength="0" maxLength="100" border="1" direction="leftToRight" negativeBarColorSameAsPositive="1" axisPosition="none">
              <x14:cfvo type="min"/>
              <x14:cfvo type="max"/>
              <x14:borderColor rgb="FF059669"/>
            </x14:dataBar>
          </x14:cfRule>
          <xm:sqref>E61:M61</xm:sqref>
        </x14:conditionalFormatting>
        <x14:conditionalFormatting xmlns:xm="http://schemas.microsoft.com/office/excel/2006/main">
          <x14:cfRule type="dataBar" id="{339653E7-B687-6E48-B06B-DAA6F00F9146}">
            <x14:dataBar minLength="0" maxLength="100" border="1" direction="leftToRight" negativeBarColorSameAsPositive="1" axisPosition="none">
              <x14:cfvo type="min"/>
              <x14:cfvo type="max"/>
              <x14:borderColor rgb="FF059669"/>
            </x14:dataBar>
          </x14:cfRule>
          <xm:sqref>T8:T36 C37:C65 C18:M18 I8:K17 C8:G17 C19:G36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BD44-05BC-1E41-A208-FDFD71BE2B47}">
  <dimension ref="A1:AB81"/>
  <sheetViews>
    <sheetView zoomScale="67" zoomScaleNormal="50" workbookViewId="0">
      <pane ySplit="9" topLeftCell="A10" activePane="bottomLeft" state="frozen"/>
      <selection pane="bottomLeft" activeCell="C5" sqref="C5:D5"/>
    </sheetView>
  </sheetViews>
  <sheetFormatPr baseColWidth="10" defaultRowHeight="32" customHeight="1"/>
  <cols>
    <col min="1" max="1" width="7.3984375" customWidth="1"/>
    <col min="2" max="2" width="24.796875" customWidth="1"/>
    <col min="3" max="3" width="23.796875" bestFit="1" customWidth="1"/>
    <col min="4" max="4" width="13.796875" customWidth="1"/>
    <col min="5" max="5" width="11.796875" customWidth="1"/>
    <col min="6" max="6" width="11.3984375" customWidth="1"/>
    <col min="7" max="7" width="82.3984375" customWidth="1"/>
    <col min="8" max="8" width="47.59765625" hidden="1" customWidth="1"/>
    <col min="9" max="9" width="12.59765625" hidden="1" customWidth="1"/>
    <col min="10" max="10" width="57.3984375" hidden="1" customWidth="1"/>
    <col min="11" max="11" width="12.59765625" customWidth="1"/>
    <col min="12" max="12" width="12.3984375" customWidth="1"/>
    <col min="13" max="13" width="16" customWidth="1"/>
    <col min="14" max="14" width="120" customWidth="1"/>
    <col min="15" max="15" width="13" customWidth="1"/>
    <col min="16" max="16" width="12" customWidth="1"/>
    <col min="17" max="17" width="16" customWidth="1"/>
    <col min="18" max="18" width="114" customWidth="1"/>
    <col min="19" max="35" width="0" hidden="1" customWidth="1"/>
  </cols>
  <sheetData>
    <row r="1" spans="1:28" ht="32" customHeight="1">
      <c r="A1" s="89"/>
      <c r="B1" s="90" t="s">
        <v>5977</v>
      </c>
      <c r="C1" s="91"/>
      <c r="D1" s="91"/>
      <c r="E1" s="91"/>
      <c r="F1" s="91"/>
      <c r="G1" s="91"/>
      <c r="H1" s="91"/>
      <c r="I1" s="91"/>
      <c r="J1" s="91"/>
      <c r="K1" s="91"/>
      <c r="L1" s="92"/>
      <c r="M1" s="92"/>
      <c r="N1" s="92"/>
      <c r="O1" s="92"/>
      <c r="S1" t="str" cm="1">
        <f t="array" ref="S1:S18">_xlfn._xlws.FILTER(B12:B69,D12:D69="해당","—")</f>
        <v>지붕(처마,홈통)</v>
      </c>
    </row>
    <row r="2" spans="1:28" ht="32" customHeight="1">
      <c r="A2" s="89"/>
      <c r="B2" s="93" t="s">
        <v>5953</v>
      </c>
      <c r="C2" s="89"/>
      <c r="D2" s="89"/>
      <c r="E2" s="89"/>
      <c r="F2" s="89"/>
      <c r="G2" s="89"/>
      <c r="H2" s="89"/>
      <c r="I2" s="89"/>
      <c r="J2" s="89"/>
      <c r="K2" s="89"/>
      <c r="L2" s="92"/>
      <c r="M2" s="92"/>
      <c r="N2" s="92"/>
      <c r="O2" s="92"/>
      <c r="S2" t="str">
        <v>사다리</v>
      </c>
    </row>
    <row r="3" spans="1:28" ht="25" customHeight="1">
      <c r="A3" s="178" t="s">
        <v>6067</v>
      </c>
      <c r="S3" t="str">
        <v>굴착기</v>
      </c>
    </row>
    <row r="4" spans="1:28" ht="42" customHeight="1" thickBot="1">
      <c r="A4" s="265" t="s">
        <v>5954</v>
      </c>
      <c r="B4" s="265"/>
      <c r="C4" s="265" t="s">
        <v>6066</v>
      </c>
      <c r="D4" s="265"/>
      <c r="F4" s="263" t="s">
        <v>6064</v>
      </c>
      <c r="G4" s="264"/>
      <c r="S4" t="str">
        <v>개구부(바닥개구부)</v>
      </c>
    </row>
    <row r="5" spans="1:28" ht="42" customHeight="1">
      <c r="A5" s="270" t="s">
        <v>6063</v>
      </c>
      <c r="B5" s="270"/>
      <c r="C5" s="266" t="s">
        <v>2617</v>
      </c>
      <c r="D5" s="266"/>
      <c r="F5" s="257" t="str">
        <f>IF(C5="","","기인물 "&amp;""&amp;C5&amp;"는 "&amp;G23&amp;", "&amp;G24&amp;", "&amp;G25&amp;" 등에 대한 위험요인과 그에 따른 대책 검토가 필요합니다. 사고사망사례와 주요 개선대책을 참조해주신 후 위험성평가에 반영해주시고, TBM 시에도 사고사망사례와 개선대책을 전달해 주시기 바랍니다.")</f>
        <v>기인물 계단는 떨어짐  (28건), 부딪힘 접촉  (2건), 깔림 뒤집힘  (1건) 등에 대한 위험요인과 그에 따른 대책 검토가 필요합니다. 사고사망사례와 주요 개선대책을 참조해주신 후 위험성평가에 반영해주시고, TBM 시에도 사고사망사례와 개선대책을 전달해 주시기 바랍니다.</v>
      </c>
      <c r="G5" s="258"/>
      <c r="H5" s="181"/>
      <c r="S5" t="str">
        <v>기계설비</v>
      </c>
    </row>
    <row r="6" spans="1:28" ht="42" customHeight="1">
      <c r="A6" s="271" t="s">
        <v>5957</v>
      </c>
      <c r="B6" s="271"/>
      <c r="C6" s="267" t="str">
        <f>IF(C5="","—",IFERROR(INDEX('SIF DB'!F$2:F$2575,MATCH(C5,'SIF DB'!G$2:G$2575,0)),"—"))</f>
        <v>계단</v>
      </c>
      <c r="D6" s="267"/>
      <c r="F6" s="259"/>
      <c r="G6" s="260"/>
      <c r="H6" s="181"/>
      <c r="S6" t="str">
        <v>이동식비계</v>
      </c>
    </row>
    <row r="7" spans="1:28" ht="42" customHeight="1">
      <c r="A7" s="271" t="s">
        <v>6065</v>
      </c>
      <c r="B7" s="271"/>
      <c r="C7" s="268">
        <f>IF(C5="","—",COUNTIF('SIF DB'!G$2:G$2575,C5))</f>
        <v>32</v>
      </c>
      <c r="D7" s="268"/>
      <c r="F7" s="259"/>
      <c r="G7" s="260"/>
      <c r="H7" s="181"/>
      <c r="S7" t="str">
        <v>토사</v>
      </c>
    </row>
    <row r="8" spans="1:28" ht="42" customHeight="1" thickBot="1">
      <c r="A8" s="271" t="s">
        <v>5976</v>
      </c>
      <c r="B8" s="271"/>
      <c r="C8" s="269" t="str">
        <f>IF(C5="","—",IFERROR(INDEX(A$12:A$70,MATCH(C5,B$12:B$70,0))&amp;"위","—"))</f>
        <v>28위</v>
      </c>
      <c r="D8" s="269"/>
      <c r="F8" s="261"/>
      <c r="G8" s="262"/>
      <c r="H8" s="181"/>
      <c r="S8" t="str">
        <v>기타자재(내부마감재,시멘트,마대)</v>
      </c>
    </row>
    <row r="9" spans="1:28" ht="42" customHeight="1">
      <c r="I9" s="33"/>
      <c r="J9" s="33"/>
      <c r="K9" s="33"/>
      <c r="S9" t="str">
        <v>이동식크레인</v>
      </c>
    </row>
    <row r="10" spans="1:28" ht="42" customHeight="1">
      <c r="A10" s="182" t="s">
        <v>5955</v>
      </c>
      <c r="B10" s="182"/>
      <c r="C10" s="182"/>
      <c r="F10" s="178" t="s">
        <v>6062</v>
      </c>
      <c r="L10" s="180" t="s">
        <v>6068</v>
      </c>
      <c r="M10" s="180"/>
      <c r="N10" s="180"/>
      <c r="O10" s="180"/>
      <c r="P10" s="178" t="s">
        <v>6069</v>
      </c>
      <c r="Q10" s="180"/>
      <c r="R10" s="180"/>
      <c r="S10" t="str">
        <v>철골(철골자재)</v>
      </c>
      <c r="AA10" s="37" t="s">
        <v>5958</v>
      </c>
      <c r="AB10" s="37"/>
    </row>
    <row r="11" spans="1:28" ht="75" customHeight="1">
      <c r="A11" s="64" t="s">
        <v>5956</v>
      </c>
      <c r="B11" s="65" t="s">
        <v>157</v>
      </c>
      <c r="C11" s="66" t="s">
        <v>5951</v>
      </c>
      <c r="D11" s="66" t="s">
        <v>5989</v>
      </c>
      <c r="L11" s="186" t="s">
        <v>5956</v>
      </c>
      <c r="M11" s="187" t="s">
        <v>5967</v>
      </c>
      <c r="N11" s="188" t="s">
        <v>5961</v>
      </c>
      <c r="O11" s="185"/>
      <c r="P11" s="198" t="s">
        <v>5956</v>
      </c>
      <c r="Q11" s="199" t="s">
        <v>5967</v>
      </c>
      <c r="R11" s="200" t="s">
        <v>5962</v>
      </c>
      <c r="S11" t="str">
        <v>벽체</v>
      </c>
      <c r="AA11" s="40" t="s">
        <v>5956</v>
      </c>
      <c r="AB11" s="86" t="s">
        <v>5959</v>
      </c>
    </row>
    <row r="12" spans="1:28" ht="75" customHeight="1">
      <c r="A12" s="67">
        <v>1</v>
      </c>
      <c r="B12" s="68" t="s">
        <v>3379</v>
      </c>
      <c r="C12" s="69">
        <f>COUNTIF('SIF DB'!G:G,B12)</f>
        <v>129</v>
      </c>
      <c r="D12" s="127" t="str">
        <f>'Dashboard 입력'!D8</f>
        <v>해당</v>
      </c>
      <c r="L12" s="189">
        <v>1</v>
      </c>
      <c r="M12" s="190" t="str" cm="1">
        <f t="array" ref="M12">IF($C$5="","",IFERROR(INDEX(_Helper!E:E,_xlfn.AGGREGATE(15,6,ROW(_Helper!A$2:A$581)/((_Helper!A$2:A$581=$C$5)*(_Helper!H$2:H$581&lt;1)*(_Helper!H$2:H$581+_Helper!I$2:I$581&gt;=1)),1)),""))</f>
        <v>떨어짐</v>
      </c>
      <c r="N12" s="191" t="str" cm="1">
        <f t="array" ref="N12">IF(OR($C$5="",M12=""),"",IFERROR(INDEX('SIF DB'!P:P,_xlfn.AGGREGATE(15,6,ROW('SIF DB'!P$2:P$2575)/(('SIF DB'!G$2:G$2575=$C$5)*('SIF DB'!O$2:O$2575=M12)),1-INDEX(_Helper!H:H,_xlfn.AGGREGATE(15,6,ROW(_Helper!A$2:A$581)/((_Helper!A$2:A$581=$C$5)*(_Helper!E$2:E$581=M12)),1)))),""))</f>
        <v>2016년 11월경 근생 및 단독신축 현장에서 재해자가 옥상에서 철근배근 작업을 하고 오전 간식을 먹기 위해 계단으로 내려오던 중 지상 1층 중간 계단참에서 실족하여 옹벽 외부 바닥으로 떨어져(높이 약 2.8m) 사망</v>
      </c>
      <c r="O12" s="83"/>
      <c r="P12" s="201">
        <v>1</v>
      </c>
      <c r="Q12" s="202" t="str" cm="1">
        <f t="array" ref="Q12">IF($C$5="","",IFERROR(INDEX(_Helper!E:E,_xlfn.AGGREGATE(15,6,ROW(_Helper!A$2:A$581)/((_Helper!A$2:A$581=$C$5)*(_Helper!H$2:H$581&lt;1)*(_Helper!H$2:H$581+_Helper!I$2:I$581&gt;=1)),1)),""))</f>
        <v>떨어짐</v>
      </c>
      <c r="R12" s="203" t="str" cm="1">
        <f t="array" ref="R12">IF(OR($C$5="",Q12=""),"",IFERROR(INDEX('SIF DB'!R:R,_xlfn.AGGREGATE(15,6,ROW('SIF DB'!R$2:R$2575)/(('SIF DB'!G$2:G$2575=$C$5)*('SIF DB'!O$2:O$2575=Q12)),1-INDEX(_Helper!H:H,_xlfn.AGGREGATE(15,6,ROW(_Helper!A$2:A$581)/((_Helper!A$2:A$581=$C$5)*(_Helper!E$2:E$581=Q12)),1)))),""))</f>
        <v>▶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v>
      </c>
      <c r="S12" t="str">
        <v>기타건설장비</v>
      </c>
      <c r="AA12" s="42">
        <v>1</v>
      </c>
      <c r="AB12" s="43" t="str" cm="1">
        <f t="array" ref="AB12">IF($C$5="","",IFERROR(IF(INDEX(_Helper!C$2:C$581,_xlfn.AGGREGATE(15,6,ROW(_Helper!A$2:A$581)-1/((_Helper!A$2:A$581=$C$5)*(_Helper!B$2:B$581=1)),1))="","",INDEX(_Helper!C$2:C$581,_xlfn.AGGREGATE(15,6,ROW(_Helper!A$2:A$581)-1/((_Helper!A$2:A$581=$C$5)*(_Helper!B$2:B$581=1)),1))&amp;"  ("&amp;INDEX(_Helper!D$2:D$581,_xlfn.AGGREGATE(15,6,ROW(_Helper!A$2:A$581)-1/((_Helper!A$2:A$581=$C$5)*(_Helper!B$2:B$581=1)),1))&amp;"건)"),""))</f>
        <v>4.1 조적, 미장 및 견출작업  (6건)</v>
      </c>
    </row>
    <row r="13" spans="1:28" ht="75" customHeight="1">
      <c r="A13" s="67">
        <v>2</v>
      </c>
      <c r="B13" s="68" t="s">
        <v>3776</v>
      </c>
      <c r="C13" s="69">
        <f>COUNTIF('SIF DB'!G:G,B13)</f>
        <v>129</v>
      </c>
      <c r="D13" s="127" t="str">
        <f>'Dashboard 입력'!D9</f>
        <v>미해당</v>
      </c>
      <c r="L13" s="192">
        <v>2</v>
      </c>
      <c r="M13" s="193" t="str" cm="1">
        <f t="array" ref="M13">IF($C$5="","",IFERROR(INDEX(_Helper!E:E,_xlfn.AGGREGATE(15,6,ROW(_Helper!A$2:A$581)/((_Helper!A$2:A$581=$C$5)*(_Helper!H$2:H$581&lt;2)*(_Helper!H$2:H$581+_Helper!I$2:I$581&gt;=2)),1)),""))</f>
        <v>떨어짐</v>
      </c>
      <c r="N13" s="194" t="str" cm="1">
        <f t="array" ref="N13">IF(OR($C$5="",M13=""),"",IFERROR(INDEX('SIF DB'!P:P,_xlfn.AGGREGATE(15,6,ROW('SIF DB'!P$2:P$2575)/(('SIF DB'!G$2:G$2575=$C$5)*('SIF DB'!O$2:O$2575=M13)),2-INDEX(_Helper!H:H,_xlfn.AGGREGATE(15,6,ROW(_Helper!A$2:A$581)/((_Helper!A$2:A$581=$C$5)*(_Helper!E$2:E$581=M13)),1)))),""))</f>
        <v>2016년 1월경 OO건설(주)이 시공하는 OO주거복합시설 신축현장에서 재해자가 지상14층 돌음계단 거푸집조립·해체 작업 중 계단실내 개구부로 추락하여 사망</v>
      </c>
      <c r="O13" s="83"/>
      <c r="P13" s="204">
        <v>2</v>
      </c>
      <c r="Q13" s="190" t="str" cm="1">
        <f t="array" ref="Q13">IF($C$5="","",IFERROR(INDEX(_Helper!E:E,_xlfn.AGGREGATE(15,6,ROW(_Helper!A$2:A$581)/((_Helper!A$2:A$581=$C$5)*(_Helper!H$2:H$581&lt;2)*(_Helper!H$2:H$581+_Helper!I$2:I$581&gt;=2)),1)),""))</f>
        <v>떨어짐</v>
      </c>
      <c r="R13" s="205" t="str" cm="1">
        <f t="array" ref="R13">IF(OR($C$5="",Q13=""),"",IFERROR(INDEX('SIF DB'!R:R,_xlfn.AGGREGATE(15,6,ROW('SIF DB'!R$2:R$2575)/(('SIF DB'!G$2:G$2575=$C$5)*('SIF DB'!O$2:O$2575=Q13)),2-INDEX(_Helper!H:H,_xlfn.AGGREGATE(15,6,ROW(_Helper!A$2:A$581)/((_Helper!A$2:A$581=$C$5)*(_Helper!E$2:E$581=Q13)),1)))),""))</f>
        <v>▶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v>
      </c>
      <c r="S13" t="str">
        <v>계단</v>
      </c>
      <c r="AA13" s="46">
        <v>2</v>
      </c>
      <c r="AB13" s="47" t="str" cm="1">
        <f t="array" ref="AB13">IF($C$5="","",IFERROR(IF(INDEX(_Helper!C$2:C$581,_xlfn.AGGREGATE(15,6,ROW(_Helper!A$2:A$581)-1/((_Helper!A$2:A$581=$C$5)*(_Helper!B$2:B$581=2)),1))="","",INDEX(_Helper!C$2:C$581,_xlfn.AGGREGATE(15,6,ROW(_Helper!A$2:A$581)-1/((_Helper!A$2:A$581=$C$5)*(_Helper!B$2:B$581=2)),1))&amp;"  ("&amp;INDEX(_Helper!D$2:D$581,_xlfn.AGGREGATE(15,6,ROW(_Helper!A$2:A$581)-1/((_Helper!A$2:A$581=$C$5)*(_Helper!B$2:B$581=2)),1))&amp;"건)"),""))</f>
        <v>4.3 석재 및 타일 작업  (6건)</v>
      </c>
    </row>
    <row r="14" spans="1:28" ht="75" customHeight="1">
      <c r="A14" s="67">
        <v>3</v>
      </c>
      <c r="B14" s="68" t="s">
        <v>2046</v>
      </c>
      <c r="C14" s="69">
        <f>COUNTIF('SIF DB'!G:G,B14)</f>
        <v>118</v>
      </c>
      <c r="D14" s="127" t="str">
        <f>'Dashboard 입력'!D10</f>
        <v>미해당</v>
      </c>
      <c r="L14" s="189">
        <v>3</v>
      </c>
      <c r="M14" s="190" t="str" cm="1">
        <f t="array" ref="M14">IF($C$5="","",IFERROR(INDEX(_Helper!E:E,_xlfn.AGGREGATE(15,6,ROW(_Helper!A$2:A$581)/((_Helper!A$2:A$581=$C$5)*(_Helper!H$2:H$581&lt;3)*(_Helper!H$2:H$581+_Helper!I$2:I$581&gt;=3)),1)),""))</f>
        <v>떨어짐</v>
      </c>
      <c r="N14" s="191" t="str" cm="1">
        <f t="array" ref="N14">IF(OR($C$5="",M14=""),"",IFERROR(INDEX('SIF DB'!P:P,_xlfn.AGGREGATE(15,6,ROW('SIF DB'!P$2:P$2575)/(('SIF DB'!G$2:G$2575=$C$5)*('SIF DB'!O$2:O$2575=M14)),3-INDEX(_Helper!H:H,_xlfn.AGGREGATE(15,6,ROW(_Helper!A$2:A$581)/((_Helper!A$2:A$581=$C$5)*(_Helper!E$2:E$581=M14)),1)))),""))</f>
        <v>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v>
      </c>
      <c r="O14" s="83"/>
      <c r="P14" s="201">
        <v>3</v>
      </c>
      <c r="Q14" s="202" t="str" cm="1">
        <f t="array" ref="Q14">IF($C$5="","",IFERROR(INDEX(_Helper!E:E,_xlfn.AGGREGATE(15,6,ROW(_Helper!A$2:A$581)/((_Helper!A$2:A$581=$C$5)*(_Helper!H$2:H$581&lt;3)*(_Helper!H$2:H$581+_Helper!I$2:I$581&gt;=3)),1)),""))</f>
        <v>떨어짐</v>
      </c>
      <c r="R14" s="203" t="str" cm="1">
        <f t="array" ref="R14">IF(OR($C$5="",Q14=""),"",IFERROR(INDEX('SIF DB'!R:R,_xlfn.AGGREGATE(15,6,ROW('SIF DB'!R$2:R$2575)/(('SIF DB'!G$2:G$2575=$C$5)*('SIF DB'!O$2:O$2575=Q14)),3-INDEX(_Helper!H:H,_xlfn.AGGREGATE(15,6,ROW(_Helper!A$2:A$581)/((_Helper!A$2:A$581=$C$5)*(_Helper!E$2:E$581=Q14)),1)))),""))</f>
        <v>▶ 추락위험이 있는 구간에는 추락방호망, 안전난간 설치 또는 및 안전대 착용후 작업
▶ 작업발판 설치시 작업발판이 뒤집어지거나 떨어지지 않도록 견고히 고정</v>
      </c>
      <c r="S14" t="str">
        <v>천공기/항타기</v>
      </c>
      <c r="AA14" s="42">
        <v>3</v>
      </c>
      <c r="AB14" s="43" t="str" cm="1">
        <f t="array" ref="AB14">IF($C$5="","",IFERROR(IF(INDEX(_Helper!C$2:C$581,_xlfn.AGGREGATE(15,6,ROW(_Helper!A$2:A$581)-1/((_Helper!A$2:A$581=$C$5)*(_Helper!B$2:B$581=3)),1))="","",INDEX(_Helper!C$2:C$581,_xlfn.AGGREGATE(15,6,ROW(_Helper!A$2:A$581)-1/((_Helper!A$2:A$581=$C$5)*(_Helper!B$2:B$581=3)),1))&amp;"  ("&amp;INDEX(_Helper!D$2:D$581,_xlfn.AGGREGATE(15,6,ROW(_Helper!A$2:A$581)-1/((_Helper!A$2:A$581=$C$5)*(_Helper!B$2:B$581=3)),1))&amp;"건)"),""))</f>
        <v>2.1 거푸집 작업  (4건)</v>
      </c>
    </row>
    <row r="15" spans="1:28" ht="75" customHeight="1">
      <c r="A15" s="70">
        <v>4</v>
      </c>
      <c r="B15" s="71" t="s">
        <v>4536</v>
      </c>
      <c r="C15" s="72">
        <f>COUNTIF('SIF DB'!G:G,B15)</f>
        <v>116</v>
      </c>
      <c r="D15" s="127" t="str">
        <f>'Dashboard 입력'!D11</f>
        <v>해당</v>
      </c>
      <c r="K15" s="33"/>
      <c r="L15" s="192">
        <v>4</v>
      </c>
      <c r="M15" s="193" t="str" cm="1">
        <f t="array" ref="M15">IF($C$5="","",IFERROR(INDEX(_Helper!E:E,_xlfn.AGGREGATE(15,6,ROW(_Helper!A$2:A$581)/((_Helper!A$2:A$581=$C$5)*(_Helper!H$2:H$581&lt;4)*(_Helper!H$2:H$581+_Helper!I$2:I$581&gt;=4)),1)),""))</f>
        <v>떨어짐</v>
      </c>
      <c r="N15" s="194" t="str" cm="1">
        <f t="array" ref="N15">IF(OR($C$5="",M15=""),"",IFERROR(INDEX('SIF DB'!P:P,_xlfn.AGGREGATE(15,6,ROW('SIF DB'!P$2:P$2575)/(('SIF DB'!G$2:G$2575=$C$5)*('SIF DB'!O$2:O$2575=M15)),4-INDEX(_Helper!H:H,_xlfn.AGGREGATE(15,6,ROW(_Helper!A$2:A$581)/((_Helper!A$2:A$581=$C$5)*(_Helper!E$2:E$581=M15)),1)))),""))</f>
        <v>2019년 6월경 OO건설(주)에서 시공중인 OO빌딩신축공사 현장에서 협력업체 소속 재해자가 단독으로 지하1층 계단실 자재 정리·정돈 또는 청소작업 중, 몸의 중심을 잃고 지하1층 계단참으로 떨어져(H≒2.0m) 사망</v>
      </c>
      <c r="O15" s="83"/>
      <c r="P15" s="204">
        <v>4</v>
      </c>
      <c r="Q15" s="190" t="str" cm="1">
        <f t="array" ref="Q15">IF($C$5="","",IFERROR(INDEX(_Helper!E:E,_xlfn.AGGREGATE(15,6,ROW(_Helper!A$2:A$581)/((_Helper!A$2:A$581=$C$5)*(_Helper!H$2:H$581&lt;4)*(_Helper!H$2:H$581+_Helper!I$2:I$581&gt;=4)),1)),""))</f>
        <v>떨어짐</v>
      </c>
      <c r="R15" s="205" t="str" cm="1">
        <f t="array" ref="R15">IF(OR($C$5="",Q15=""),"",IFERROR(INDEX('SIF DB'!R:R,_xlfn.AGGREGATE(15,6,ROW('SIF DB'!R$2:R$2575)/(('SIF DB'!G$2:G$2575=$C$5)*('SIF DB'!O$2:O$2575=Q15)),4-INDEX(_Helper!H:H,_xlfn.AGGREGATE(15,6,ROW(_Helper!A$2:A$581)/((_Helper!A$2:A$581=$C$5)*(_Helper!E$2:E$581=Q15)),1)))),""))</f>
        <v>▶ 추락위험이 있는 구간에는 추락방호망, 안전난간 설치 또는 및 안전대 착용후 작업
▶ 작업장에서 넘어지거나 미끄러지는 등 위험이 없도록 작업장 바닥 등을 안전하고 청결한 상태로 유지 후 작업 시행</v>
      </c>
      <c r="S15" t="str">
        <v>리프트</v>
      </c>
      <c r="AA15" s="50">
        <v>4</v>
      </c>
      <c r="AB15" s="51" t="str" cm="1">
        <f t="array" ref="AB15">IF($C$5="","",IFERROR(IF(INDEX(_Helper!C$2:C$581,_xlfn.AGGREGATE(15,6,ROW(_Helper!A$2:A$581)-1/((_Helper!A$2:A$581=$C$5)*(_Helper!B$2:B$581=4)),1))="","",INDEX(_Helper!C$2:C$581,_xlfn.AGGREGATE(15,6,ROW(_Helper!A$2:A$581)-1/((_Helper!A$2:A$581=$C$5)*(_Helper!B$2:B$581=4)),1))&amp;"  ("&amp;INDEX(_Helper!D$2:D$581,_xlfn.AGGREGATE(15,6,ROW(_Helper!A$2:A$581)-1/((_Helper!A$2:A$581=$C$5)*(_Helper!B$2:B$581=4)),1))&amp;"건)"),""))</f>
        <v>3.1 철골 작업  (3건)</v>
      </c>
    </row>
    <row r="16" spans="1:28" ht="75" customHeight="1">
      <c r="A16" s="73">
        <v>5</v>
      </c>
      <c r="B16" s="74" t="s">
        <v>2694</v>
      </c>
      <c r="C16" s="75">
        <f>COUNTIF('SIF DB'!G:G,B16)</f>
        <v>114</v>
      </c>
      <c r="D16" s="127" t="str">
        <f>'Dashboard 입력'!D12</f>
        <v>미해당</v>
      </c>
      <c r="L16" s="189">
        <v>5</v>
      </c>
      <c r="M16" s="190" t="str" cm="1">
        <f t="array" ref="M16">IF($C$5="","",IFERROR(INDEX(_Helper!E:E,_xlfn.AGGREGATE(15,6,ROW(_Helper!A$2:A$581)/((_Helper!A$2:A$581=$C$5)*(_Helper!H$2:H$581&lt;5)*(_Helper!H$2:H$581+_Helper!I$2:I$581&gt;=5)),1)),""))</f>
        <v>떨어짐</v>
      </c>
      <c r="N16" s="191" t="str" cm="1">
        <f t="array" ref="N16">IF(OR($C$5="",M16=""),"",IFERROR(INDEX('SIF DB'!P:P,_xlfn.AGGREGATE(15,6,ROW('SIF DB'!P$2:P$2575)/(('SIF DB'!G$2:G$2575=$C$5)*('SIF DB'!O$2:O$2575=M16)),5-INDEX(_Helper!H:H,_xlfn.AGGREGATE(15,6,ROW(_Helper!A$2:A$581)/((_Helper!A$2:A$581=$C$5)*(_Helper!E$2:E$581=M16)),1)))),""))</f>
        <v>2016년 8월경 OO 공사현장에서 재해자가 슬라브의 철근조립 및 운반작업 후 휴식을 취하던 중 계단실 부위 개구부(폭 1m× 길이 2.6m)를 통해 약 3m 아래의 지하1층 콘크리트 바닥으로 추락하여 사망</v>
      </c>
      <c r="O16" s="83"/>
      <c r="P16" s="201">
        <v>5</v>
      </c>
      <c r="Q16" s="202" t="str" cm="1">
        <f t="array" ref="Q16">IF($C$5="","",IFERROR(INDEX(_Helper!E:E,_xlfn.AGGREGATE(15,6,ROW(_Helper!A$2:A$581)/((_Helper!A$2:A$581=$C$5)*(_Helper!H$2:H$581&lt;5)*(_Helper!H$2:H$581+_Helper!I$2:I$581&gt;=5)),1)),""))</f>
        <v>떨어짐</v>
      </c>
      <c r="R16" s="203" t="str" cm="1">
        <f t="array" ref="R16">IF(OR($C$5="",Q16=""),"",IFERROR(INDEX('SIF DB'!R:R,_xlfn.AGGREGATE(15,6,ROW('SIF DB'!R$2:R$2575)/(('SIF DB'!G$2:G$2575=$C$5)*('SIF DB'!O$2:O$2575=Q16)),5-INDEX(_Helper!H:H,_xlfn.AGGREGATE(15,6,ROW(_Helper!A$2:A$581)/((_Helper!A$2:A$581=$C$5)*(_Helper!E$2:E$581=Q16)),1)))),""))</f>
        <v>▶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v>
      </c>
      <c r="S16" t="str">
        <v>지게차</v>
      </c>
      <c r="AA16" s="54">
        <v>5</v>
      </c>
      <c r="AB16" s="55" t="str" cm="1">
        <f t="array" ref="AB16">IF($C$5="","",IFERROR(IF(INDEX(_Helper!C$2:C$581,_xlfn.AGGREGATE(15,6,ROW(_Helper!A$2:A$581)-1/((_Helper!A$2:A$581=$C$5)*(_Helper!B$2:B$581=5)),1))="","",INDEX(_Helper!C$2:C$581,_xlfn.AGGREGATE(15,6,ROW(_Helper!A$2:A$581)-1/((_Helper!A$2:A$581=$C$5)*(_Helper!B$2:B$581=5)),1))&amp;"  ("&amp;INDEX(_Helper!D$2:D$581,_xlfn.AGGREGATE(15,6,ROW(_Helper!A$2:A$581)-1/((_Helper!A$2:A$581=$C$5)*(_Helper!B$2:B$581=5)),1))&amp;"건)"),""))</f>
        <v>12.7 기타(작업환경, 청소 등)  (2건)</v>
      </c>
    </row>
    <row r="17" spans="1:28" ht="75" customHeight="1">
      <c r="A17" s="76">
        <v>6</v>
      </c>
      <c r="B17" s="77" t="s">
        <v>970</v>
      </c>
      <c r="C17" s="78">
        <f>COUNTIF('SIF DB'!G:G,B17)</f>
        <v>104</v>
      </c>
      <c r="D17" s="127" t="str">
        <f>'Dashboard 입력'!D13</f>
        <v>해당</v>
      </c>
      <c r="L17" s="192">
        <v>6</v>
      </c>
      <c r="M17" s="193" t="str" cm="1">
        <f t="array" ref="M17">IF($C$5="","",IFERROR(INDEX(_Helper!E:E,_xlfn.AGGREGATE(15,6,ROW(_Helper!A$2:A$581)/((_Helper!A$2:A$581=$C$5)*(_Helper!H$2:H$581&lt;6)*(_Helper!H$2:H$581+_Helper!I$2:I$581&gt;=6)),1)),""))</f>
        <v>부딪힘 접촉</v>
      </c>
      <c r="N17" s="194" t="str" cm="1">
        <f t="array" ref="N17">IF(OR($C$5="",M17=""),"",IFERROR(INDEX('SIF DB'!P:P,_xlfn.AGGREGATE(15,6,ROW('SIF DB'!P$2:P$2575)/(('SIF DB'!G$2:G$2575=$C$5)*('SIF DB'!O$2:O$2575=M17)),6-INDEX(_Helper!H:H,_xlfn.AGGREGATE(15,6,ROW(_Helper!A$2:A$581)/((_Helper!A$2:A$581=$C$5)*(_Helper!E$2:E$581=M17)),1)))),""))</f>
        <v>2020년 1월경 OO공동주택 신축공사 현장에서 재해자가 옥상층에서 자재정리 등 청소작업을 마치고 현장 내부 계단으로 내려오던 중 몸의 중심을 잃고 떨어지면서 세대 내부 구조체에 부딪혀 사망</v>
      </c>
      <c r="O17" s="83"/>
      <c r="P17" s="204">
        <v>6</v>
      </c>
      <c r="Q17" s="190" t="str" cm="1">
        <f t="array" ref="Q17">IF($C$5="","",IFERROR(INDEX(_Helper!E:E,_xlfn.AGGREGATE(15,6,ROW(_Helper!A$2:A$581)/((_Helper!A$2:A$581=$C$5)*(_Helper!H$2:H$581&lt;6)*(_Helper!H$2:H$581+_Helper!I$2:I$581&gt;=6)),1)),""))</f>
        <v>부딪힘 접촉</v>
      </c>
      <c r="R17" s="205" t="str" cm="1">
        <f t="array" ref="R17">IF(OR($C$5="",Q17=""),"",IFERROR(INDEX('SIF DB'!R:R,_xlfn.AGGREGATE(15,6,ROW('SIF DB'!R$2:R$2575)/(('SIF DB'!G$2:G$2575=$C$5)*('SIF DB'!O$2:O$2575=Q17)),6-INDEX(_Helper!H:H,_xlfn.AGGREGATE(15,6,ROW(_Helper!A$2:A$581)/((_Helper!A$2:A$581=$C$5)*(_Helper!E$2:E$581=Q17)),1)))),""))</f>
        <v>▶ 계단실 등 추락단부 안전난간대 설치 등 추락방호조치 실시
▶ 근로자 개인보호구, 안전대 체결여부 점검 및 관리감독</v>
      </c>
      <c r="S17" t="str">
        <v>분류불능</v>
      </c>
      <c r="AA17" s="50">
        <v>6</v>
      </c>
      <c r="AB17" s="51" t="str" cm="1">
        <f t="array" ref="AB17">IF($C$5="","",IFERROR(IF(INDEX(_Helper!C$2:C$581,_xlfn.AGGREGATE(15,6,ROW(_Helper!A$2:A$581)-1/((_Helper!A$2:A$581=$C$5)*(_Helper!B$2:B$581=6)),1))="","",INDEX(_Helper!C$2:C$581,_xlfn.AGGREGATE(15,6,ROW(_Helper!A$2:A$581)-1/((_Helper!A$2:A$581=$C$5)*(_Helper!B$2:B$581=6)),1))&amp;"  ("&amp;INDEX(_Helper!D$2:D$581,_xlfn.AGGREGATE(15,6,ROW(_Helper!A$2:A$581)-1/((_Helper!A$2:A$581=$C$5)*(_Helper!B$2:B$581=6)),1))&amp;"건)"),""))</f>
        <v>4.4 도장작업  (2건)</v>
      </c>
    </row>
    <row r="18" spans="1:28" ht="75" customHeight="1">
      <c r="A18" s="73">
        <v>7</v>
      </c>
      <c r="B18" s="74" t="s">
        <v>4810</v>
      </c>
      <c r="C18" s="75">
        <f>COUNTIF('SIF DB'!G:G,B18)</f>
        <v>92</v>
      </c>
      <c r="D18" s="127" t="str">
        <f>'Dashboard 입력'!D14</f>
        <v>미해당</v>
      </c>
      <c r="L18" s="189">
        <v>7</v>
      </c>
      <c r="M18" s="190" t="str" cm="1">
        <f t="array" ref="M18">IF($C$5="","",IFERROR(INDEX(_Helper!E:E,_xlfn.AGGREGATE(15,6,ROW(_Helper!A$2:A$581)/((_Helper!A$2:A$581=$C$5)*(_Helper!H$2:H$581&lt;7)*(_Helper!H$2:H$581+_Helper!I$2:I$581&gt;=7)),1)),""))</f>
        <v>부딪힘 접촉</v>
      </c>
      <c r="N18" s="191" t="str" cm="1">
        <f t="array" ref="N18">IF(OR($C$5="",M18=""),"",IFERROR(INDEX('SIF DB'!P:P,_xlfn.AGGREGATE(15,6,ROW('SIF DB'!P$2:P$2575)/(('SIF DB'!G$2:G$2575=$C$5)*('SIF DB'!O$2:O$2575=M18)),7-INDEX(_Helper!H:H,_xlfn.AGGREGATE(15,6,ROW(_Helper!A$2:A$581)/((_Helper!A$2:A$581=$C$5)*(_Helper!E$2:E$581=M18)),1)))),""))</f>
        <v>2017년 9월 OO(주) OO아파트 주택재건축 현장에서 재해자가 아파트 계단실에서 이동하던 중 뒤로 넘어지면서 콘크리트 바닥에 머리를 부딪쳐 사망</v>
      </c>
      <c r="O18" s="83"/>
      <c r="P18" s="201">
        <v>7</v>
      </c>
      <c r="Q18" s="202" t="str" cm="1">
        <f t="array" ref="Q18">IF($C$5="","",IFERROR(INDEX(_Helper!E:E,_xlfn.AGGREGATE(15,6,ROW(_Helper!A$2:A$581)/((_Helper!A$2:A$581=$C$5)*(_Helper!H$2:H$581&lt;7)*(_Helper!H$2:H$581+_Helper!I$2:I$581&gt;=7)),1)),""))</f>
        <v>부딪힘 접촉</v>
      </c>
      <c r="R18" s="203" t="str" cm="1">
        <f t="array" ref="R18">IF(OR($C$5="",Q18=""),"",IFERROR(INDEX('SIF DB'!R:R,_xlfn.AGGREGATE(15,6,ROW('SIF DB'!R$2:R$2575)/(('SIF DB'!G$2:G$2575=$C$5)*('SIF DB'!O$2:O$2575=Q18)),7-INDEX(_Helper!H:H,_xlfn.AGGREGATE(15,6,ROW(_Helper!A$2:A$581)/((_Helper!A$2:A$581=$C$5)*(_Helper!E$2:E$581=Q18)),1)))),""))</f>
        <v>▶ 근로자는 계단실을 이용하여 이동할 경우 안전난간을 잡고 이동 하는 등 안전하게 통행</v>
      </c>
      <c r="S18" t="str">
        <v>원인미상</v>
      </c>
      <c r="AA18" s="54">
        <v>7</v>
      </c>
      <c r="AB18" s="55" t="str" cm="1">
        <f t="array" ref="AB18">IF($C$5="","",IFERROR(IF(INDEX(_Helper!C$2:C$581,_xlfn.AGGREGATE(15,6,ROW(_Helper!A$2:A$581)-1/((_Helper!A$2:A$581=$C$5)*(_Helper!B$2:B$581=7)),1))="","",INDEX(_Helper!C$2:C$581,_xlfn.AGGREGATE(15,6,ROW(_Helper!A$2:A$581)-1/((_Helper!A$2:A$581=$C$5)*(_Helper!B$2:B$581=7)),1))&amp;"  ("&amp;INDEX(_Helper!D$2:D$581,_xlfn.AGGREGATE(15,6,ROW(_Helper!A$2:A$581)-1/((_Helper!A$2:A$581=$C$5)*(_Helper!B$2:B$581=7)),1))&amp;"건)"),""))</f>
        <v>5.2 기계설비 작업  (2건)</v>
      </c>
    </row>
    <row r="19" spans="1:28" ht="75" customHeight="1">
      <c r="A19" s="76">
        <v>8</v>
      </c>
      <c r="B19" s="77" t="s">
        <v>3382</v>
      </c>
      <c r="C19" s="78">
        <f>COUNTIF('SIF DB'!G:G,B19)</f>
        <v>90</v>
      </c>
      <c r="D19" s="127" t="str">
        <f>'Dashboard 입력'!D15</f>
        <v>미해당</v>
      </c>
      <c r="L19" s="192">
        <v>8</v>
      </c>
      <c r="M19" s="193" t="str" cm="1">
        <f t="array" ref="M19">IF($C$5="","",IFERROR(INDEX(_Helper!E:E,_xlfn.AGGREGATE(15,6,ROW(_Helper!A$2:A$581)/((_Helper!A$2:A$581=$C$5)*(_Helper!H$2:H$581&lt;8)*(_Helper!H$2:H$581+_Helper!I$2:I$581&gt;=8)),1)),""))</f>
        <v>깔림 뒤집힘</v>
      </c>
      <c r="N19" s="194" t="str" cm="1">
        <f t="array" ref="N19">IF(OR($C$5="",M19=""),"",IFERROR(INDEX('SIF DB'!P:P,_xlfn.AGGREGATE(15,6,ROW('SIF DB'!P$2:P$2575)/(('SIF DB'!G$2:G$2575=$C$5)*('SIF DB'!O$2:O$2575=M19)),8-INDEX(_Helper!H:H,_xlfn.AGGREGATE(15,6,ROW(_Helper!A$2:A$581)/((_Helper!A$2:A$581=$C$5)*(_Helper!E$2:E$581=M19)),1)))),""))</f>
        <v>2016년 9월경 단독주택신축공사 현장에서 외부 계단슬래브 하부 거푸집동바리 해체작업 중이던 재해자가 무너져 내린 계단슬래브 구조물에 깔려 사망</v>
      </c>
      <c r="O19" s="83"/>
      <c r="P19" s="204">
        <v>8</v>
      </c>
      <c r="Q19" s="190" t="str" cm="1">
        <f t="array" ref="Q19">IF($C$5="","",IFERROR(INDEX(_Helper!E:E,_xlfn.AGGREGATE(15,6,ROW(_Helper!A$2:A$581)/((_Helper!A$2:A$581=$C$5)*(_Helper!H$2:H$581&lt;8)*(_Helper!H$2:H$581+_Helper!I$2:I$581&gt;=8)),1)),""))</f>
        <v>깔림 뒤집힘</v>
      </c>
      <c r="R19" s="205" t="str" cm="1">
        <f t="array" ref="R19">IF(OR($C$5="",Q19=""),"",IFERROR(INDEX('SIF DB'!R:R,_xlfn.AGGREGATE(15,6,ROW('SIF DB'!R$2:R$2575)/(('SIF DB'!G$2:G$2575=$C$5)*('SIF DB'!O$2:O$2575=Q19)),8-INDEX(_Helper!H:H,_xlfn.AGGREGATE(15,6,ROW(_Helper!A$2:A$581)/((_Helper!A$2:A$581=$C$5)*(_Helper!E$2:E$581=Q19)),1)))),""))</f>
        <v>▶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v>
      </c>
      <c r="AA19" s="50">
        <v>8</v>
      </c>
      <c r="AB19" s="51" t="str" cm="1">
        <f t="array" ref="AB19">IF($C$5="","",IFERROR(IF(INDEX(_Helper!C$2:C$581,_xlfn.AGGREGATE(15,6,ROW(_Helper!A$2:A$581)-1/((_Helper!A$2:A$581=$C$5)*(_Helper!B$2:B$581=8)),1))="","",INDEX(_Helper!C$2:C$581,_xlfn.AGGREGATE(15,6,ROW(_Helper!A$2:A$581)-1/((_Helper!A$2:A$581=$C$5)*(_Helper!B$2:B$581=8)),1))&amp;"  ("&amp;INDEX(_Helper!D$2:D$581,_xlfn.AGGREGATE(15,6,ROW(_Helper!A$2:A$581)-1/((_Helper!A$2:A$581=$C$5)*(_Helper!B$2:B$581=8)),1))&amp;"건)"),""))</f>
        <v>2.3 철근 작업  (1건)</v>
      </c>
    </row>
    <row r="20" spans="1:28" ht="75" customHeight="1">
      <c r="A20" s="73">
        <v>9</v>
      </c>
      <c r="B20" s="74" t="s">
        <v>5260</v>
      </c>
      <c r="C20" s="75">
        <f>COUNTIF('SIF DB'!G:G,B20)</f>
        <v>85</v>
      </c>
      <c r="D20" s="127" t="str">
        <f>'Dashboard 입력'!D16</f>
        <v>미해당</v>
      </c>
      <c r="L20" s="189">
        <v>9</v>
      </c>
      <c r="M20" s="190" t="str" cm="1">
        <f t="array" ref="M20">IF($C$5="","",IFERROR(INDEX(_Helper!E:E,_xlfn.AGGREGATE(15,6,ROW(_Helper!A$2:A$581)/((_Helper!A$2:A$581=$C$5)*(_Helper!H$2:H$581&lt;9)*(_Helper!H$2:H$581+_Helper!I$2:I$581&gt;=9)),1)),""))</f>
        <v>넘어짐</v>
      </c>
      <c r="N20" s="191" t="str" cm="1">
        <f t="array" ref="N20">IF(OR($C$5="",M20=""),"",IFERROR(INDEX('SIF DB'!P:P,_xlfn.AGGREGATE(15,6,ROW('SIF DB'!P$2:P$2575)/(('SIF DB'!G$2:G$2575=$C$5)*('SIF DB'!O$2:O$2575=M20)),9-INDEX(_Helper!H:H,_xlfn.AGGREGATE(15,6,ROW(_Helper!A$2:A$581)/((_Helper!A$2:A$581=$C$5)*(_Helper!E$2:E$581=M20)),1)))),""))</f>
        <v>2016년 3월경 OO신축공사에서 2층 계단실 벽체 미장작업을 위해 계단위를 오르던 중 몸의 중심을 잃고 넘어져 사망</v>
      </c>
      <c r="O20" s="83"/>
      <c r="P20" s="201">
        <v>9</v>
      </c>
      <c r="Q20" s="202" t="str" cm="1">
        <f t="array" ref="Q20">IF($C$5="","",IFERROR(INDEX(_Helper!E:E,_xlfn.AGGREGATE(15,6,ROW(_Helper!A$2:A$581)/((_Helper!A$2:A$581=$C$5)*(_Helper!H$2:H$581&lt;9)*(_Helper!H$2:H$581+_Helper!I$2:I$581&gt;=9)),1)),""))</f>
        <v>넘어짐</v>
      </c>
      <c r="R20" s="203" t="str" cm="1">
        <f t="array" ref="R20">IF(OR($C$5="",Q20=""),"",IFERROR(INDEX('SIF DB'!R:R,_xlfn.AGGREGATE(15,6,ROW('SIF DB'!R$2:R$2575)/(('SIF DB'!G$2:G$2575=$C$5)*('SIF DB'!O$2:O$2575=Q20)),9-INDEX(_Helper!H:H,_xlfn.AGGREGATE(15,6,ROW(_Helper!A$2:A$581)/((_Helper!A$2:A$581=$C$5)*(_Helper!E$2:E$581=Q20)),1)))),""))</f>
        <v>▶ 계단 단부 등 추락위험이 있는 장소에는 안전난간 견고하게 설치
▶ 개인보호구 착용 철저</v>
      </c>
      <c r="AA20" s="54">
        <v>9</v>
      </c>
      <c r="AB20" s="55" t="str" cm="1">
        <f t="array" ref="AB20">IF($C$5="","",IFERROR(IF(INDEX(_Helper!C$2:C$581,_xlfn.AGGREGATE(15,6,ROW(_Helper!A$2:A$581)-1/((_Helper!A$2:A$581=$C$5)*(_Helper!B$2:B$581=9)),1))="","",INDEX(_Helper!C$2:C$581,_xlfn.AGGREGATE(15,6,ROW(_Helper!A$2:A$581)-1/((_Helper!A$2:A$581=$C$5)*(_Helper!B$2:B$581=9)),1))&amp;"  ("&amp;INDEX(_Helper!D$2:D$581,_xlfn.AGGREGATE(15,6,ROW(_Helper!A$2:A$581)-1/((_Helper!A$2:A$581=$C$5)*(_Helper!B$2:B$581=9)),1))&amp;"건)"),""))</f>
        <v>2.4 콘크리트 작업  (1건)</v>
      </c>
    </row>
    <row r="21" spans="1:28" ht="75" customHeight="1">
      <c r="A21" s="76">
        <v>10</v>
      </c>
      <c r="B21" s="77" t="s">
        <v>390</v>
      </c>
      <c r="C21" s="78">
        <f>COUNTIF('SIF DB'!G:G,B21)</f>
        <v>80</v>
      </c>
      <c r="D21" s="127" t="str">
        <f>'Dashboard 입력'!D17</f>
        <v>해당</v>
      </c>
      <c r="F21" s="39" t="s">
        <v>5960</v>
      </c>
      <c r="G21" s="39"/>
      <c r="L21" s="192">
        <v>10</v>
      </c>
      <c r="M21" s="193" t="str" cm="1">
        <f t="array" ref="M21">IF($C$5="","",IFERROR(INDEX(_Helper!E:E,_xlfn.AGGREGATE(15,6,ROW(_Helper!A$2:A$581)/((_Helper!A$2:A$581=$C$5)*(_Helper!H$2:H$581&lt;10)*(_Helper!H$2:H$581+_Helper!I$2:I$581&gt;=10)),1)),""))</f>
        <v/>
      </c>
      <c r="N21" s="194" t="str" cm="1">
        <f t="array" ref="N21">IF(OR($C$5="",M21=""),"",IFERROR(INDEX('SIF DB'!P:P,_xlfn.AGGREGATE(15,6,ROW('SIF DB'!P$2:P$2575)/(('SIF DB'!G$2:G$2575=$C$5)*('SIF DB'!O$2:O$2575=M21)),10-INDEX(_Helper!H:H,_xlfn.AGGREGATE(15,6,ROW(_Helper!A$2:A$581)/((_Helper!A$2:A$581=$C$5)*(_Helper!E$2:E$581=M21)),1)))),""))</f>
        <v/>
      </c>
      <c r="O21" s="83"/>
      <c r="P21" s="206">
        <v>10</v>
      </c>
      <c r="Q21" s="207" t="str" cm="1">
        <f t="array" ref="Q21">IF($C$5="","",IFERROR(INDEX(_Helper!E:E,_xlfn.AGGREGATE(15,6,ROW(_Helper!A$2:A$581)/((_Helper!A$2:A$581=$C$5)*(_Helper!H$2:H$581&lt;10)*(_Helper!H$2:H$581+_Helper!I$2:I$581&gt;=10)),1)),""))</f>
        <v/>
      </c>
      <c r="R21" s="208" t="str" cm="1">
        <f t="array" ref="R21">IF(OR($C$5="",Q21=""),"",IFERROR(INDEX('SIF DB'!R:R,_xlfn.AGGREGATE(15,6,ROW('SIF DB'!R$2:R$2575)/(('SIF DB'!G$2:G$2575=$C$5)*('SIF DB'!O$2:O$2575=Q21)),10-INDEX(_Helper!H:H,_xlfn.AGGREGATE(15,6,ROW(_Helper!A$2:A$581)/((_Helper!A$2:A$581=$C$5)*(_Helper!E$2:E$581=Q21)),1)))),""))</f>
        <v/>
      </c>
      <c r="AA21" s="60">
        <v>10</v>
      </c>
      <c r="AB21" s="61" t="str" cm="1">
        <f t="array" ref="AB21">IF($C$5="","",IFERROR(IF(INDEX(_Helper!C$2:C$581,_xlfn.AGGREGATE(15,6,ROW(_Helper!A$2:A$581)-1/((_Helper!A$2:A$581=$C$5)*(_Helper!B$2:B$581=10)),1))="","",INDEX(_Helper!C$2:C$581,_xlfn.AGGREGATE(15,6,ROW(_Helper!A$2:A$581)-1/((_Helper!A$2:A$581=$C$5)*(_Helper!B$2:B$581=10)),1))&amp;"  ("&amp;INDEX(_Helper!D$2:D$581,_xlfn.AGGREGATE(15,6,ROW(_Helper!A$2:A$581)-1/((_Helper!A$2:A$581=$C$5)*(_Helper!B$2:B$581=10)),1))&amp;"건)"),""))</f>
        <v>4.2 방수 작업  (1건)</v>
      </c>
    </row>
    <row r="22" spans="1:28" ht="75" customHeight="1">
      <c r="A22" s="73">
        <v>11</v>
      </c>
      <c r="B22" s="74" t="s">
        <v>793</v>
      </c>
      <c r="C22" s="75">
        <f>COUNTIF('SIF DB'!G:G,B22)</f>
        <v>80</v>
      </c>
      <c r="D22" s="127" t="str">
        <f>'Dashboard 입력'!D18</f>
        <v>미해당</v>
      </c>
      <c r="F22" s="41" t="s">
        <v>5956</v>
      </c>
      <c r="G22" s="88" t="s">
        <v>5950</v>
      </c>
      <c r="H22" s="24"/>
      <c r="I22" s="33"/>
      <c r="L22" s="189">
        <v>11</v>
      </c>
      <c r="M22" s="190" t="str" cm="1">
        <f t="array" ref="M22">IF($C$5="","",IFERROR(INDEX(_Helper!E:E,_xlfn.AGGREGATE(15,6,ROW(_Helper!A$2:A$581)/((_Helper!A$2:A$581=$C$5)*(_Helper!H$2:H$581&lt;11)*(_Helper!H$2:H$581+_Helper!I$2:I$581&gt;=11)),1)),""))</f>
        <v/>
      </c>
      <c r="N22" s="191" t="str" cm="1">
        <f t="array" ref="N22">IF(OR($C$5="",M22=""),"",IFERROR(INDEX('SIF DB'!P:P,_xlfn.AGGREGATE(15,6,ROW('SIF DB'!P$2:P$2575)/(('SIF DB'!G$2:G$2575=$C$5)*('SIF DB'!O$2:O$2575=M22)),11-INDEX(_Helper!H:H,_xlfn.AGGREGATE(15,6,ROW(_Helper!A$2:A$581)/((_Helper!A$2:A$581=$C$5)*(_Helper!E$2:E$581=M22)),1)))),""))</f>
        <v/>
      </c>
      <c r="O22" s="83"/>
      <c r="P22" s="201">
        <v>11</v>
      </c>
      <c r="Q22" s="202" t="str" cm="1">
        <f t="array" ref="Q22">IF($C$5="","",IFERROR(INDEX(_Helper!E:E,_xlfn.AGGREGATE(15,6,ROW(_Helper!A$2:A$581)/((_Helper!A$2:A$581=$C$5)*(_Helper!H$2:H$581&lt;11)*(_Helper!H$2:H$581+_Helper!I$2:I$581&gt;=11)),1)),""))</f>
        <v/>
      </c>
      <c r="R22" s="203" t="str" cm="1">
        <f t="array" ref="R22">IF(OR($C$5="",Q22=""),"",IFERROR(INDEX('SIF DB'!R:R,_xlfn.AGGREGATE(15,6,ROW('SIF DB'!R$2:R$2575)/(('SIF DB'!G$2:G$2575=$C$5)*('SIF DB'!O$2:O$2575=Q22)),11-INDEX(_Helper!H:H,_xlfn.AGGREGATE(15,6,ROW(_Helper!A$2:A$581)/((_Helper!A$2:A$581=$C$5)*(_Helper!E$2:E$581=Q22)),1)))),""))</f>
        <v/>
      </c>
    </row>
    <row r="23" spans="1:28" ht="75" customHeight="1">
      <c r="A23" s="76">
        <v>12</v>
      </c>
      <c r="B23" s="77" t="s">
        <v>2951</v>
      </c>
      <c r="C23" s="78">
        <f>COUNTIF('SIF DB'!G:G,B23)</f>
        <v>80</v>
      </c>
      <c r="D23" s="127" t="str">
        <f>'Dashboard 입력'!D19</f>
        <v>해당</v>
      </c>
      <c r="F23" s="44">
        <v>1</v>
      </c>
      <c r="G23" s="45" t="str" cm="1">
        <f t="array" ref="G23">IF($C$5="","",IFERROR(IF(INDEX(_Helper!E$2:E$581,_xlfn.AGGREGATE(15,6,ROW(_Helper!A$2:A$581)-1/((_Helper!A$2:A$581=$C$5)*(_Helper!B$2:B$581=1)),1))="","",INDEX(_Helper!E$2:E$581,_xlfn.AGGREGATE(15,6,ROW(_Helper!A$2:A$581)-1/((_Helper!A$2:A$581=$C$5)*(_Helper!B$2:B$581=1)),1))&amp;"  ("&amp;INDEX(_Helper!F$2:F$581,_xlfn.AGGREGATE(15,6,ROW(_Helper!A$2:A$581)-1/((_Helper!A$2:A$581=$C$5)*(_Helper!B$2:B$581=1)),1))&amp;"건)"),""))</f>
        <v>떨어짐  (28건)</v>
      </c>
      <c r="H23" s="179"/>
      <c r="L23" s="192">
        <v>12</v>
      </c>
      <c r="M23" s="193" t="str" cm="1">
        <f t="array" ref="M23">IF($C$5="","",IFERROR(INDEX(_Helper!E:E,_xlfn.AGGREGATE(15,6,ROW(_Helper!A$2:A$581)/((_Helper!A$2:A$581=$C$5)*(_Helper!H$2:H$581&lt;12)*(_Helper!H$2:H$581+_Helper!I$2:I$581&gt;=12)),1)),""))</f>
        <v/>
      </c>
      <c r="N23" s="194" t="str" cm="1">
        <f t="array" ref="N23">IF(OR($C$5="",M23=""),"",IFERROR(INDEX('SIF DB'!P:P,_xlfn.AGGREGATE(15,6,ROW('SIF DB'!P$2:P$2575)/(('SIF DB'!G$2:G$2575=$C$5)*('SIF DB'!O$2:O$2575=M23)),12-INDEX(_Helper!H:H,_xlfn.AGGREGATE(15,6,ROW(_Helper!A$2:A$581)/((_Helper!A$2:A$581=$C$5)*(_Helper!E$2:E$581=M23)),1)))),""))</f>
        <v/>
      </c>
      <c r="O23" s="83"/>
      <c r="P23" s="204">
        <v>12</v>
      </c>
      <c r="Q23" s="190" t="str" cm="1">
        <f t="array" ref="Q23">IF($C$5="","",IFERROR(INDEX(_Helper!E:E,_xlfn.AGGREGATE(15,6,ROW(_Helper!A$2:A$581)/((_Helper!A$2:A$581=$C$5)*(_Helper!H$2:H$581&lt;12)*(_Helper!H$2:H$581+_Helper!I$2:I$581&gt;=12)),1)),""))</f>
        <v/>
      </c>
      <c r="R23" s="205" t="str" cm="1">
        <f t="array" ref="R23">IF(OR($C$5="",Q23=""),"",IFERROR(INDEX('SIF DB'!R:R,_xlfn.AGGREGATE(15,6,ROW('SIF DB'!R$2:R$2575)/(('SIF DB'!G$2:G$2575=$C$5)*('SIF DB'!O$2:O$2575=Q23)),12-INDEX(_Helper!H:H,_xlfn.AGGREGATE(15,6,ROW(_Helper!A$2:A$581)/((_Helper!A$2:A$581=$C$5)*(_Helper!E$2:E$581=Q23)),1)))),""))</f>
        <v/>
      </c>
    </row>
    <row r="24" spans="1:28" ht="75" customHeight="1">
      <c r="A24" s="73">
        <v>13</v>
      </c>
      <c r="B24" s="74" t="s">
        <v>1000</v>
      </c>
      <c r="C24" s="75">
        <f>COUNTIF('SIF DB'!G:G,B24)</f>
        <v>76</v>
      </c>
      <c r="D24" s="127" t="str">
        <f>'Dashboard 입력'!D20</f>
        <v>미해당</v>
      </c>
      <c r="F24" s="48">
        <v>2</v>
      </c>
      <c r="G24" s="49" t="str" cm="1">
        <f t="array" ref="G24">IF($C$5="","",IFERROR(IF(INDEX(_Helper!E$2:E$581,_xlfn.AGGREGATE(15,6,ROW(_Helper!A$2:A$581)-1/((_Helper!A$2:A$581=$C$5)*(_Helper!B$2:B$581=2)),1))="","",INDEX(_Helper!E$2:E$581,_xlfn.AGGREGATE(15,6,ROW(_Helper!A$2:A$581)-1/((_Helper!A$2:A$581=$C$5)*(_Helper!B$2:B$581=2)),1))&amp;"  ("&amp;INDEX(_Helper!F$2:F$581,_xlfn.AGGREGATE(15,6,ROW(_Helper!A$2:A$581)-1/((_Helper!A$2:A$581=$C$5)*(_Helper!B$2:B$581=2)),1))&amp;"건)"),""))</f>
        <v>부딪힘 접촉  (2건)</v>
      </c>
      <c r="H24" s="87"/>
      <c r="L24" s="189">
        <v>13</v>
      </c>
      <c r="M24" s="190" t="str" cm="1">
        <f t="array" ref="M24">IF($C$5="","",IFERROR(INDEX(_Helper!E:E,_xlfn.AGGREGATE(15,6,ROW(_Helper!A$2:A$581)/((_Helper!A$2:A$581=$C$5)*(_Helper!H$2:H$581&lt;13)*(_Helper!H$2:H$581+_Helper!I$2:I$581&gt;=13)),1)),""))</f>
        <v/>
      </c>
      <c r="N24" s="191" t="str" cm="1">
        <f t="array" ref="N24">IF(OR($C$5="",M24=""),"",IFERROR(INDEX('SIF DB'!P:P,_xlfn.AGGREGATE(15,6,ROW('SIF DB'!P$2:P$2575)/(('SIF DB'!G$2:G$2575=$C$5)*('SIF DB'!O$2:O$2575=M24)),13-INDEX(_Helper!H:H,_xlfn.AGGREGATE(15,6,ROW(_Helper!A$2:A$581)/((_Helper!A$2:A$581=$C$5)*(_Helper!E$2:E$581=M24)),1)))),""))</f>
        <v/>
      </c>
      <c r="O24" s="83"/>
      <c r="P24" s="201">
        <v>13</v>
      </c>
      <c r="Q24" s="202" t="str" cm="1">
        <f t="array" ref="Q24">IF($C$5="","",IFERROR(INDEX(_Helper!E:E,_xlfn.AGGREGATE(15,6,ROW(_Helper!A$2:A$581)/((_Helper!A$2:A$581=$C$5)*(_Helper!H$2:H$581&lt;13)*(_Helper!H$2:H$581+_Helper!I$2:I$581&gt;=13)),1)),""))</f>
        <v/>
      </c>
      <c r="R24" s="203" t="str" cm="1">
        <f t="array" ref="R24">IF(OR($C$5="",Q24=""),"",IFERROR(INDEX('SIF DB'!R:R,_xlfn.AGGREGATE(15,6,ROW('SIF DB'!R$2:R$2575)/(('SIF DB'!G$2:G$2575=$C$5)*('SIF DB'!O$2:O$2575=Q24)),13-INDEX(_Helper!H:H,_xlfn.AGGREGATE(15,6,ROW(_Helper!A$2:A$581)/((_Helper!A$2:A$581=$C$5)*(_Helper!E$2:E$581=Q24)),1)))),""))</f>
        <v/>
      </c>
    </row>
    <row r="25" spans="1:28" ht="75" customHeight="1">
      <c r="A25" s="76">
        <v>14</v>
      </c>
      <c r="B25" s="77" t="s">
        <v>4213</v>
      </c>
      <c r="C25" s="78">
        <f>COUNTIF('SIF DB'!G:G,B25)</f>
        <v>70</v>
      </c>
      <c r="D25" s="127" t="str">
        <f>'Dashboard 입력'!D21</f>
        <v>미해당</v>
      </c>
      <c r="F25" s="44">
        <v>3</v>
      </c>
      <c r="G25" s="45" t="str" cm="1">
        <f t="array" ref="G25">IF($C$5="","",IFERROR(IF(INDEX(_Helper!E$2:E$581,_xlfn.AGGREGATE(15,6,ROW(_Helper!A$2:A$581)-1/((_Helper!A$2:A$581=$C$5)*(_Helper!B$2:B$581=3)),1))="","",INDEX(_Helper!E$2:E$581,_xlfn.AGGREGATE(15,6,ROW(_Helper!A$2:A$581)-1/((_Helper!A$2:A$581=$C$5)*(_Helper!B$2:B$581=3)),1))&amp;"  ("&amp;INDEX(_Helper!F$2:F$581,_xlfn.AGGREGATE(15,6,ROW(_Helper!A$2:A$581)-1/((_Helper!A$2:A$581=$C$5)*(_Helper!B$2:B$581=3)),1))&amp;"건)"),""))</f>
        <v>깔림 뒤집힘  (1건)</v>
      </c>
      <c r="H25" s="38"/>
      <c r="L25" s="192">
        <v>14</v>
      </c>
      <c r="M25" s="193" t="str" cm="1">
        <f t="array" ref="M25">IF($C$5="","",IFERROR(INDEX(_Helper!E:E,_xlfn.AGGREGATE(15,6,ROW(_Helper!A$2:A$581)/((_Helper!A$2:A$581=$C$5)*(_Helper!H$2:H$581&lt;14)*(_Helper!H$2:H$581+_Helper!I$2:I$581&gt;=14)),1)),""))</f>
        <v/>
      </c>
      <c r="N25" s="194" t="str" cm="1">
        <f t="array" ref="N25">IF(OR($C$5="",M25=""),"",IFERROR(INDEX('SIF DB'!P:P,_xlfn.AGGREGATE(15,6,ROW('SIF DB'!P$2:P$2575)/(('SIF DB'!G$2:G$2575=$C$5)*('SIF DB'!O$2:O$2575=M25)),14-INDEX(_Helper!H:H,_xlfn.AGGREGATE(15,6,ROW(_Helper!A$2:A$581)/((_Helper!A$2:A$581=$C$5)*(_Helper!E$2:E$581=M25)),1)))),""))</f>
        <v/>
      </c>
      <c r="O25" s="83"/>
      <c r="P25" s="204">
        <v>14</v>
      </c>
      <c r="Q25" s="190" t="str" cm="1">
        <f t="array" ref="Q25">IF($C$5="","",IFERROR(INDEX(_Helper!E:E,_xlfn.AGGREGATE(15,6,ROW(_Helper!A$2:A$581)/((_Helper!A$2:A$581=$C$5)*(_Helper!H$2:H$581&lt;14)*(_Helper!H$2:H$581+_Helper!I$2:I$581&gt;=14)),1)),""))</f>
        <v/>
      </c>
      <c r="R25" s="205" t="str" cm="1">
        <f t="array" ref="R25">IF(OR($C$5="",Q25=""),"",IFERROR(INDEX('SIF DB'!R:R,_xlfn.AGGREGATE(15,6,ROW('SIF DB'!R$2:R$2575)/(('SIF DB'!G$2:G$2575=$C$5)*('SIF DB'!O$2:O$2575=Q25)),14-INDEX(_Helper!H:H,_xlfn.AGGREGATE(15,6,ROW(_Helper!A$2:A$581)/((_Helper!A$2:A$581=$C$5)*(_Helper!E$2:E$581=Q25)),1)))),""))</f>
        <v/>
      </c>
    </row>
    <row r="26" spans="1:28" ht="75" customHeight="1">
      <c r="A26" s="73">
        <v>15</v>
      </c>
      <c r="B26" s="74" t="s">
        <v>5127</v>
      </c>
      <c r="C26" s="75">
        <f>COUNTIF('SIF DB'!G:G,B26)</f>
        <v>70</v>
      </c>
      <c r="D26" s="127" t="str">
        <f>'Dashboard 입력'!D22</f>
        <v>해당</v>
      </c>
      <c r="F26" s="52">
        <v>4</v>
      </c>
      <c r="G26" s="53" t="str" cm="1">
        <f t="array" ref="G26">IF($C$5="","",IFERROR(IF(INDEX(_Helper!E$2:E$581,_xlfn.AGGREGATE(15,6,ROW(_Helper!A$2:A$581)-1/((_Helper!A$2:A$581=$C$5)*(_Helper!B$2:B$581=4)),1))="","",INDEX(_Helper!E$2:E$581,_xlfn.AGGREGATE(15,6,ROW(_Helper!A$2:A$581)-1/((_Helper!A$2:A$581=$C$5)*(_Helper!B$2:B$581=4)),1))&amp;"  ("&amp;INDEX(_Helper!F$2:F$581,_xlfn.AGGREGATE(15,6,ROW(_Helper!A$2:A$581)-1/((_Helper!A$2:A$581=$C$5)*(_Helper!B$2:B$581=4)),1))&amp;"건)"),""))</f>
        <v>넘어짐  (1건)</v>
      </c>
      <c r="H26" s="38"/>
      <c r="L26" s="189">
        <v>15</v>
      </c>
      <c r="M26" s="190" t="str" cm="1">
        <f t="array" ref="M26">IF($C$5="","",IFERROR(INDEX(_Helper!E:E,_xlfn.AGGREGATE(15,6,ROW(_Helper!A$2:A$581)/((_Helper!A$2:A$581=$C$5)*(_Helper!H$2:H$581&lt;15)*(_Helper!H$2:H$581+_Helper!I$2:I$581&gt;=15)),1)),""))</f>
        <v/>
      </c>
      <c r="N26" s="191" t="str" cm="1">
        <f t="array" ref="N26">IF(OR($C$5="",M26=""),"",IFERROR(INDEX('SIF DB'!P:P,_xlfn.AGGREGATE(15,6,ROW('SIF DB'!P$2:P$2575)/(('SIF DB'!G$2:G$2575=$C$5)*('SIF DB'!O$2:O$2575=M26)),15-INDEX(_Helper!H:H,_xlfn.AGGREGATE(15,6,ROW(_Helper!A$2:A$581)/((_Helper!A$2:A$581=$C$5)*(_Helper!E$2:E$581=M26)),1)))),""))</f>
        <v/>
      </c>
      <c r="O26" s="83"/>
      <c r="P26" s="201">
        <v>15</v>
      </c>
      <c r="Q26" s="202" t="str" cm="1">
        <f t="array" ref="Q26">IF($C$5="","",IFERROR(INDEX(_Helper!E:E,_xlfn.AGGREGATE(15,6,ROW(_Helper!A$2:A$581)/((_Helper!A$2:A$581=$C$5)*(_Helper!H$2:H$581&lt;15)*(_Helper!H$2:H$581+_Helper!I$2:I$581&gt;=15)),1)),""))</f>
        <v/>
      </c>
      <c r="R26" s="203" t="str" cm="1">
        <f t="array" ref="R26">IF(OR($C$5="",Q26=""),"",IFERROR(INDEX('SIF DB'!R:R,_xlfn.AGGREGATE(15,6,ROW('SIF DB'!R$2:R$2575)/(('SIF DB'!G$2:G$2575=$C$5)*('SIF DB'!O$2:O$2575=Q26)),15-INDEX(_Helper!H:H,_xlfn.AGGREGATE(15,6,ROW(_Helper!A$2:A$581)/((_Helper!A$2:A$581=$C$5)*(_Helper!E$2:E$581=Q26)),1)))),""))</f>
        <v/>
      </c>
    </row>
    <row r="27" spans="1:28" ht="75" customHeight="1">
      <c r="A27" s="76">
        <v>16</v>
      </c>
      <c r="B27" s="77" t="s">
        <v>5450</v>
      </c>
      <c r="C27" s="78">
        <f>COUNTIF('SIF DB'!G:G,B27)</f>
        <v>69</v>
      </c>
      <c r="D27" s="127" t="str">
        <f>'Dashboard 입력'!D23</f>
        <v>미해당</v>
      </c>
      <c r="F27" s="56">
        <v>5</v>
      </c>
      <c r="G27" s="57" t="str" cm="1">
        <f t="array" ref="G27">IF($C$5="","",IFERROR(IF(INDEX(_Helper!E$2:E$581,_xlfn.AGGREGATE(15,6,ROW(_Helper!A$2:A$581)-1/((_Helper!A$2:A$581=$C$5)*(_Helper!B$2:B$581=5)),1))="","",INDEX(_Helper!E$2:E$581,_xlfn.AGGREGATE(15,6,ROW(_Helper!A$2:A$581)-1/((_Helper!A$2:A$581=$C$5)*(_Helper!B$2:B$581=5)),1))&amp;"  ("&amp;INDEX(_Helper!F$2:F$581,_xlfn.AGGREGATE(15,6,ROW(_Helper!A$2:A$581)-1/((_Helper!A$2:A$581=$C$5)*(_Helper!B$2:B$581=5)),1))&amp;"건)"),""))</f>
        <v/>
      </c>
      <c r="H27" s="38"/>
      <c r="L27" s="192">
        <v>16</v>
      </c>
      <c r="M27" s="193" t="str" cm="1">
        <f t="array" ref="M27">IF($C$5="","",IFERROR(INDEX(_Helper!E:E,_xlfn.AGGREGATE(15,6,ROW(_Helper!A$2:A$581)/((_Helper!A$2:A$581=$C$5)*(_Helper!H$2:H$581&lt;16)*(_Helper!H$2:H$581+_Helper!I$2:I$581&gt;=16)),1)),""))</f>
        <v/>
      </c>
      <c r="N27" s="194" t="str" cm="1">
        <f t="array" ref="N27">IF(OR($C$5="",M27=""),"",IFERROR(INDEX('SIF DB'!P:P,_xlfn.AGGREGATE(15,6,ROW('SIF DB'!P$2:P$2575)/(('SIF DB'!G$2:G$2575=$C$5)*('SIF DB'!O$2:O$2575=M27)),16-INDEX(_Helper!H:H,_xlfn.AGGREGATE(15,6,ROW(_Helper!A$2:A$581)/((_Helper!A$2:A$581=$C$5)*(_Helper!E$2:E$581=M27)),1)))),""))</f>
        <v/>
      </c>
      <c r="O27" s="83"/>
      <c r="P27" s="204">
        <v>16</v>
      </c>
      <c r="Q27" s="190" t="str" cm="1">
        <f t="array" ref="Q27">IF($C$5="","",IFERROR(INDEX(_Helper!E:E,_xlfn.AGGREGATE(15,6,ROW(_Helper!A$2:A$581)/((_Helper!A$2:A$581=$C$5)*(_Helper!H$2:H$581&lt;16)*(_Helper!H$2:H$581+_Helper!I$2:I$581&gt;=16)),1)),""))</f>
        <v/>
      </c>
      <c r="R27" s="205" t="str" cm="1">
        <f t="array" ref="R27">IF(OR($C$5="",Q27=""),"",IFERROR(INDEX('SIF DB'!R:R,_xlfn.AGGREGATE(15,6,ROW('SIF DB'!R$2:R$2575)/(('SIF DB'!G$2:G$2575=$C$5)*('SIF DB'!O$2:O$2575=Q27)),16-INDEX(_Helper!H:H,_xlfn.AGGREGATE(15,6,ROW(_Helper!A$2:A$581)/((_Helper!A$2:A$581=$C$5)*(_Helper!E$2:E$581=Q27)),1)))),""))</f>
        <v/>
      </c>
    </row>
    <row r="28" spans="1:28" ht="75" customHeight="1">
      <c r="A28" s="70">
        <v>17</v>
      </c>
      <c r="B28" s="71" t="s">
        <v>383</v>
      </c>
      <c r="C28" s="72">
        <f>COUNTIF('SIF DB'!G:G,B28)</f>
        <v>67</v>
      </c>
      <c r="D28" s="127" t="str">
        <f>'Dashboard 입력'!D24</f>
        <v>미해당</v>
      </c>
      <c r="F28" s="52">
        <v>6</v>
      </c>
      <c r="G28" s="53" t="str" cm="1">
        <f t="array" ref="G28">IF($C$5="","",IFERROR(IF(INDEX(_Helper!E$2:E$581,_xlfn.AGGREGATE(15,6,ROW(_Helper!A$2:A$581)-1/((_Helper!A$2:A$581=$C$5)*(_Helper!B$2:B$581=6)),1))="","",INDEX(_Helper!E$2:E$581,_xlfn.AGGREGATE(15,6,ROW(_Helper!A$2:A$581)-1/((_Helper!A$2:A$581=$C$5)*(_Helper!B$2:B$581=6)),1))&amp;"  ("&amp;INDEX(_Helper!F$2:F$581,_xlfn.AGGREGATE(15,6,ROW(_Helper!A$2:A$581)-1/((_Helper!A$2:A$581=$C$5)*(_Helper!B$2:B$581=6)),1))&amp;"건)"),""))</f>
        <v/>
      </c>
      <c r="H28" s="38"/>
      <c r="L28" s="189">
        <v>17</v>
      </c>
      <c r="M28" s="190" t="str" cm="1">
        <f t="array" ref="M28">IF($C$5="","",IFERROR(INDEX(_Helper!E:E,_xlfn.AGGREGATE(15,6,ROW(_Helper!A$2:A$581)/((_Helper!A$2:A$581=$C$5)*(_Helper!H$2:H$581&lt;17)*(_Helper!H$2:H$581+_Helper!I$2:I$581&gt;=17)),1)),""))</f>
        <v/>
      </c>
      <c r="N28" s="191" t="str" cm="1">
        <f t="array" ref="N28">IF(OR($C$5="",M28=""),"",IFERROR(INDEX('SIF DB'!P:P,_xlfn.AGGREGATE(15,6,ROW('SIF DB'!P$2:P$2575)/(('SIF DB'!G$2:G$2575=$C$5)*('SIF DB'!O$2:O$2575=M28)),17-INDEX(_Helper!H:H,_xlfn.AGGREGATE(15,6,ROW(_Helper!A$2:A$581)/((_Helper!A$2:A$581=$C$5)*(_Helper!E$2:E$581=M28)),1)))),""))</f>
        <v/>
      </c>
      <c r="O28" s="83"/>
      <c r="P28" s="201">
        <v>17</v>
      </c>
      <c r="Q28" s="202" t="str" cm="1">
        <f t="array" ref="Q28">IF($C$5="","",IFERROR(INDEX(_Helper!E:E,_xlfn.AGGREGATE(15,6,ROW(_Helper!A$2:A$581)/((_Helper!A$2:A$581=$C$5)*(_Helper!H$2:H$581&lt;17)*(_Helper!H$2:H$581+_Helper!I$2:I$581&gt;=17)),1)),""))</f>
        <v/>
      </c>
      <c r="R28" s="203" t="str" cm="1">
        <f t="array" ref="R28">IF(OR($C$5="",Q28=""),"",IFERROR(INDEX('SIF DB'!R:R,_xlfn.AGGREGATE(15,6,ROW('SIF DB'!R$2:R$2575)/(('SIF DB'!G$2:G$2575=$C$5)*('SIF DB'!O$2:O$2575=Q28)),17-INDEX(_Helper!H:H,_xlfn.AGGREGATE(15,6,ROW(_Helper!A$2:A$581)/((_Helper!A$2:A$581=$C$5)*(_Helper!E$2:E$581=Q28)),1)))),""))</f>
        <v/>
      </c>
    </row>
    <row r="29" spans="1:28" ht="75" customHeight="1">
      <c r="A29" s="76">
        <v>18</v>
      </c>
      <c r="B29" s="77" t="s">
        <v>5664</v>
      </c>
      <c r="C29" s="78">
        <f>COUNTIF('SIF DB'!G:G,B29)</f>
        <v>65</v>
      </c>
      <c r="D29" s="127" t="str">
        <f>'Dashboard 입력'!D25</f>
        <v>해당</v>
      </c>
      <c r="F29" s="56">
        <v>7</v>
      </c>
      <c r="G29" s="57" t="str" cm="1">
        <f t="array" ref="G29">IF($C$5="","",IFERROR(IF(INDEX(_Helper!E$2:E$581,_xlfn.AGGREGATE(15,6,ROW(_Helper!A$2:A$581)-1/((_Helper!A$2:A$581=$C$5)*(_Helper!B$2:B$581=7)),1))="","",INDEX(_Helper!E$2:E$581,_xlfn.AGGREGATE(15,6,ROW(_Helper!A$2:A$581)-1/((_Helper!A$2:A$581=$C$5)*(_Helper!B$2:B$581=7)),1))&amp;"  ("&amp;INDEX(_Helper!F$2:F$581,_xlfn.AGGREGATE(15,6,ROW(_Helper!A$2:A$581)-1/((_Helper!A$2:A$581=$C$5)*(_Helper!B$2:B$581=7)),1))&amp;"건)"),""))</f>
        <v/>
      </c>
      <c r="H29" s="38"/>
      <c r="L29" s="192">
        <v>18</v>
      </c>
      <c r="M29" s="193" t="str" cm="1">
        <f t="array" ref="M29">IF($C$5="","",IFERROR(INDEX(_Helper!E:E,_xlfn.AGGREGATE(15,6,ROW(_Helper!A$2:A$581)/((_Helper!A$2:A$581=$C$5)*(_Helper!H$2:H$581&lt;18)*(_Helper!H$2:H$581+_Helper!I$2:I$581&gt;=18)),1)),""))</f>
        <v/>
      </c>
      <c r="N29" s="194" t="str" cm="1">
        <f t="array" ref="N29">IF(OR($C$5="",M29=""),"",IFERROR(INDEX('SIF DB'!P:P,_xlfn.AGGREGATE(15,6,ROW('SIF DB'!P$2:P$2575)/(('SIF DB'!G$2:G$2575=$C$5)*('SIF DB'!O$2:O$2575=M29)),18-INDEX(_Helper!H:H,_xlfn.AGGREGATE(15,6,ROW(_Helper!A$2:A$581)/((_Helper!A$2:A$581=$C$5)*(_Helper!E$2:E$581=M29)),1)))),""))</f>
        <v/>
      </c>
      <c r="O29" s="83"/>
      <c r="P29" s="204">
        <v>18</v>
      </c>
      <c r="Q29" s="190" t="str" cm="1">
        <f t="array" ref="Q29">IF($C$5="","",IFERROR(INDEX(_Helper!E:E,_xlfn.AGGREGATE(15,6,ROW(_Helper!A$2:A$581)/((_Helper!A$2:A$581=$C$5)*(_Helper!H$2:H$581&lt;18)*(_Helper!H$2:H$581+_Helper!I$2:I$581&gt;=18)),1)),""))</f>
        <v/>
      </c>
      <c r="R29" s="205" t="str" cm="1">
        <f t="array" ref="R29">IF(OR($C$5="",Q29=""),"",IFERROR(INDEX('SIF DB'!R:R,_xlfn.AGGREGATE(15,6,ROW('SIF DB'!R$2:R$2575)/(('SIF DB'!G$2:G$2575=$C$5)*('SIF DB'!O$2:O$2575=Q29)),18-INDEX(_Helper!H:H,_xlfn.AGGREGATE(15,6,ROW(_Helper!A$2:A$581)/((_Helper!A$2:A$581=$C$5)*(_Helper!E$2:E$581=Q29)),1)))),""))</f>
        <v/>
      </c>
    </row>
    <row r="30" spans="1:28" ht="75" customHeight="1">
      <c r="A30" s="73">
        <v>19</v>
      </c>
      <c r="B30" s="74" t="s">
        <v>2028</v>
      </c>
      <c r="C30" s="75">
        <f>COUNTIF('SIF DB'!G:G,B30)</f>
        <v>63</v>
      </c>
      <c r="D30" s="127" t="str">
        <f>'Dashboard 입력'!D26</f>
        <v>해당</v>
      </c>
      <c r="F30" s="52">
        <v>8</v>
      </c>
      <c r="G30" s="53" t="str" cm="1">
        <f t="array" ref="G30">IF($C$5="","",IFERROR(IF(INDEX(_Helper!E$2:E$581,_xlfn.AGGREGATE(15,6,ROW(_Helper!A$2:A$581)-1/((_Helper!A$2:A$581=$C$5)*(_Helper!B$2:B$581=8)),1))="","",INDEX(_Helper!E$2:E$581,_xlfn.AGGREGATE(15,6,ROW(_Helper!A$2:A$581)-1/((_Helper!A$2:A$581=$C$5)*(_Helper!B$2:B$581=8)),1))&amp;"  ("&amp;INDEX(_Helper!F$2:F$581,_xlfn.AGGREGATE(15,6,ROW(_Helper!A$2:A$581)-1/((_Helper!A$2:A$581=$C$5)*(_Helper!B$2:B$581=8)),1))&amp;"건)"),""))</f>
        <v/>
      </c>
      <c r="H30" s="38"/>
      <c r="L30" s="189">
        <v>19</v>
      </c>
      <c r="M30" s="190" t="str" cm="1">
        <f t="array" ref="M30">IF($C$5="","",IFERROR(INDEX(_Helper!E:E,_xlfn.AGGREGATE(15,6,ROW(_Helper!A$2:A$581)/((_Helper!A$2:A$581=$C$5)*(_Helper!H$2:H$581&lt;19)*(_Helper!H$2:H$581+_Helper!I$2:I$581&gt;=19)),1)),""))</f>
        <v/>
      </c>
      <c r="N30" s="191" t="str" cm="1">
        <f t="array" ref="N30">IF(OR($C$5="",M30=""),"",IFERROR(INDEX('SIF DB'!P:P,_xlfn.AGGREGATE(15,6,ROW('SIF DB'!P$2:P$2575)/(('SIF DB'!G$2:G$2575=$C$5)*('SIF DB'!O$2:O$2575=M30)),19-INDEX(_Helper!H:H,_xlfn.AGGREGATE(15,6,ROW(_Helper!A$2:A$581)/((_Helper!A$2:A$581=$C$5)*(_Helper!E$2:E$581=M30)),1)))),""))</f>
        <v/>
      </c>
      <c r="O30" s="83"/>
      <c r="P30" s="201">
        <v>19</v>
      </c>
      <c r="Q30" s="202" t="str" cm="1">
        <f t="array" ref="Q30">IF($C$5="","",IFERROR(INDEX(_Helper!E:E,_xlfn.AGGREGATE(15,6,ROW(_Helper!A$2:A$581)/((_Helper!A$2:A$581=$C$5)*(_Helper!H$2:H$581&lt;19)*(_Helper!H$2:H$581+_Helper!I$2:I$581&gt;=19)),1)),""))</f>
        <v/>
      </c>
      <c r="R30" s="203" t="str" cm="1">
        <f t="array" ref="R30">IF(OR($C$5="",Q30=""),"",IFERROR(INDEX('SIF DB'!R:R,_xlfn.AGGREGATE(15,6,ROW('SIF DB'!R$2:R$2575)/(('SIF DB'!G$2:G$2575=$C$5)*('SIF DB'!O$2:O$2575=Q30)),19-INDEX(_Helper!H:H,_xlfn.AGGREGATE(15,6,ROW(_Helper!A$2:A$581)/((_Helper!A$2:A$581=$C$5)*(_Helper!E$2:E$581=Q30)),1)))),""))</f>
        <v/>
      </c>
    </row>
    <row r="31" spans="1:28" ht="75" customHeight="1">
      <c r="A31" s="76">
        <v>20</v>
      </c>
      <c r="B31" s="77" t="s">
        <v>975</v>
      </c>
      <c r="C31" s="78">
        <f>COUNTIF('SIF DB'!G:G,B31)</f>
        <v>61</v>
      </c>
      <c r="D31" s="127" t="str">
        <f>'Dashboard 입력'!D27</f>
        <v>해당</v>
      </c>
      <c r="F31" s="58">
        <v>9</v>
      </c>
      <c r="G31" s="59" t="str" cm="1">
        <f t="array" ref="G31">IF($C$5="","",IFERROR(IF(INDEX(_Helper!E$2:E$581,_xlfn.AGGREGATE(15,6,ROW(_Helper!A$2:A$581)-1/((_Helper!A$2:A$581=$C$5)*(_Helper!B$2:B$581=9)),1))="","",INDEX(_Helper!E$2:E$581,_xlfn.AGGREGATE(15,6,ROW(_Helper!A$2:A$581)-1/((_Helper!A$2:A$581=$C$5)*(_Helper!B$2:B$581=9)),1))&amp;"  ("&amp;INDEX(_Helper!F$2:F$581,_xlfn.AGGREGATE(15,6,ROW(_Helper!A$2:A$581)-1/((_Helper!A$2:A$581=$C$5)*(_Helper!B$2:B$581=9)),1))&amp;"건)"),""))</f>
        <v/>
      </c>
      <c r="H31" s="38"/>
      <c r="L31" s="195">
        <v>20</v>
      </c>
      <c r="M31" s="196" t="str" cm="1">
        <f t="array" ref="M31">IF($C$5="","",IFERROR(INDEX(_Helper!E:E,_xlfn.AGGREGATE(15,6,ROW(_Helper!A$2:A$581)/((_Helper!A$2:A$581=$C$5)*(_Helper!H$2:H$581&lt;20)*(_Helper!H$2:H$581+_Helper!I$2:I$581&gt;=20)),1)),""))</f>
        <v/>
      </c>
      <c r="N31" s="197" t="str" cm="1">
        <f t="array" ref="N31">IF(OR($C$5="",M31=""),"",IFERROR(INDEX('SIF DB'!P:P,_xlfn.AGGREGATE(15,6,ROW('SIF DB'!P$2:P$2575)/(('SIF DB'!G$2:G$2575=$C$5)*('SIF DB'!O$2:O$2575=M31)),20-INDEX(_Helper!H:H,_xlfn.AGGREGATE(15,6,ROW(_Helper!A$2:A$581)/((_Helper!A$2:A$581=$C$5)*(_Helper!E$2:E$581=M31)),1)))),""))</f>
        <v/>
      </c>
      <c r="O31" s="83"/>
      <c r="P31" s="209">
        <v>20</v>
      </c>
      <c r="Q31" s="210" t="str" cm="1">
        <f t="array" ref="Q31">IF($C$5="","",IFERROR(INDEX(_Helper!E:E,_xlfn.AGGREGATE(15,6,ROW(_Helper!A$2:A$581)/((_Helper!A$2:A$581=$C$5)*(_Helper!H$2:H$581&lt;20)*(_Helper!H$2:H$581+_Helper!I$2:I$581&gt;=20)),1)),""))</f>
        <v/>
      </c>
      <c r="R31" s="211" t="str" cm="1">
        <f t="array" ref="R31">IF(OR($C$5="",Q31=""),"",IFERROR(INDEX('SIF DB'!R:R,_xlfn.AGGREGATE(15,6,ROW('SIF DB'!R$2:R$2575)/(('SIF DB'!G$2:G$2575=$C$5)*('SIF DB'!O$2:O$2575=Q31)),20-INDEX(_Helper!H:H,_xlfn.AGGREGATE(15,6,ROW(_Helper!A$2:A$581)/((_Helper!A$2:A$581=$C$5)*(_Helper!E$2:E$581=Q31)),1)))),""))</f>
        <v/>
      </c>
    </row>
    <row r="32" spans="1:28" ht="42" customHeight="1">
      <c r="A32" s="73">
        <v>21</v>
      </c>
      <c r="B32" s="74" t="s">
        <v>5760</v>
      </c>
      <c r="C32" s="75">
        <f>COUNTIF('SIF DB'!G:G,B32)</f>
        <v>50</v>
      </c>
      <c r="D32" s="127" t="str">
        <f>'Dashboard 입력'!D28</f>
        <v>미해당</v>
      </c>
      <c r="F32" s="62">
        <v>10</v>
      </c>
      <c r="G32" s="63" t="str" cm="1">
        <f t="array" ref="G32">IF($C$5="","",IFERROR(IF(INDEX(_Helper!E$2:E$581,_xlfn.AGGREGATE(15,6,ROW(_Helper!A$2:A$581)-1/((_Helper!A$2:A$581=$C$5)*(_Helper!B$2:B$581=10)),1))="","",INDEX(_Helper!E$2:E$581,_xlfn.AGGREGATE(15,6,ROW(_Helper!A$2:A$581)-1/((_Helper!A$2:A$581=$C$5)*(_Helper!B$2:B$581=10)),1))&amp;"  ("&amp;INDEX(_Helper!F$2:F$581,_xlfn.AGGREGATE(15,6,ROW(_Helper!A$2:A$581)-1/((_Helper!A$2:A$581=$C$5)*(_Helper!B$2:B$581=10)),1))&amp;"건)"),""))</f>
        <v/>
      </c>
      <c r="H32" s="38"/>
      <c r="L32" s="83"/>
      <c r="M32" s="83"/>
      <c r="N32" s="83"/>
      <c r="O32" s="83"/>
      <c r="P32" s="183" t="s">
        <v>5970</v>
      </c>
      <c r="Q32" s="183"/>
      <c r="R32" s="184"/>
    </row>
    <row r="33" spans="1:18" ht="42" customHeight="1">
      <c r="A33" s="76">
        <v>22</v>
      </c>
      <c r="B33" s="77" t="s">
        <v>3156</v>
      </c>
      <c r="C33" s="78">
        <f>COUNTIF('SIF DB'!G:G,B33)</f>
        <v>47</v>
      </c>
      <c r="D33" s="127" t="str">
        <f>'Dashboard 입력'!D29</f>
        <v>미해당</v>
      </c>
      <c r="H33" s="38"/>
    </row>
    <row r="34" spans="1:18" ht="42" customHeight="1">
      <c r="A34" s="73">
        <v>23</v>
      </c>
      <c r="B34" s="74" t="s">
        <v>173</v>
      </c>
      <c r="C34" s="75">
        <f>COUNTIF('SIF DB'!G:G,B34)</f>
        <v>39</v>
      </c>
      <c r="D34" s="127" t="str">
        <f>'Dashboard 입력'!D30</f>
        <v>미해당</v>
      </c>
      <c r="H34" s="38"/>
    </row>
    <row r="35" spans="1:18" ht="42" customHeight="1">
      <c r="A35" s="76">
        <v>24</v>
      </c>
      <c r="B35" s="77" t="s">
        <v>2013</v>
      </c>
      <c r="C35" s="78">
        <f>COUNTIF('SIF DB'!G:G,B35)</f>
        <v>38</v>
      </c>
      <c r="D35" s="127" t="str">
        <f>'Dashboard 입력'!D31</f>
        <v>해당</v>
      </c>
    </row>
    <row r="36" spans="1:18" ht="42" customHeight="1">
      <c r="A36" s="73">
        <v>25</v>
      </c>
      <c r="B36" s="74" t="s">
        <v>3961</v>
      </c>
      <c r="C36" s="75">
        <f>COUNTIF('SIF DB'!G:G,B36)</f>
        <v>38</v>
      </c>
      <c r="D36" s="127" t="str">
        <f>'Dashboard 입력'!D32</f>
        <v>해당</v>
      </c>
      <c r="L36" s="33"/>
      <c r="M36" s="33"/>
    </row>
    <row r="37" spans="1:18" ht="42" customHeight="1">
      <c r="A37" s="76">
        <v>26</v>
      </c>
      <c r="B37" s="77" t="s">
        <v>1007</v>
      </c>
      <c r="C37" s="78">
        <f>COUNTIF('SIF DB'!G:G,B37)</f>
        <v>32</v>
      </c>
      <c r="D37" s="127" t="str">
        <f>'Dashboard 입력'!D33</f>
        <v>해당</v>
      </c>
      <c r="L37" s="33"/>
      <c r="M37" s="33"/>
    </row>
    <row r="38" spans="1:18" ht="42" customHeight="1">
      <c r="A38" s="73">
        <v>27</v>
      </c>
      <c r="B38" s="74" t="s">
        <v>1364</v>
      </c>
      <c r="C38" s="75">
        <f>COUNTIF('SIF DB'!G:G,B38)</f>
        <v>32</v>
      </c>
      <c r="D38" s="127" t="str">
        <f>'Dashboard 입력'!D34</f>
        <v>미해당</v>
      </c>
      <c r="L38" s="33"/>
      <c r="M38" s="33"/>
    </row>
    <row r="39" spans="1:18" ht="42" customHeight="1">
      <c r="A39" s="76">
        <v>28</v>
      </c>
      <c r="B39" s="77" t="s">
        <v>2617</v>
      </c>
      <c r="C39" s="78">
        <f>COUNTIF('SIF DB'!G:G,B39)</f>
        <v>32</v>
      </c>
      <c r="D39" s="127" t="str">
        <f>'Dashboard 입력'!D35</f>
        <v>해당</v>
      </c>
      <c r="L39" s="33"/>
      <c r="M39" s="33"/>
    </row>
    <row r="40" spans="1:18" ht="42" customHeight="1">
      <c r="A40" s="73">
        <v>29</v>
      </c>
      <c r="B40" s="74" t="s">
        <v>5446</v>
      </c>
      <c r="C40" s="75">
        <f>COUNTIF('SIF DB'!G:G,B40)</f>
        <v>32</v>
      </c>
      <c r="D40" s="127" t="str">
        <f>'Dashboard 입력'!D36</f>
        <v>미해당</v>
      </c>
      <c r="L40" s="33"/>
      <c r="M40" s="33"/>
    </row>
    <row r="41" spans="1:18" ht="42" customHeight="1">
      <c r="A41" s="85">
        <v>30</v>
      </c>
      <c r="B41" s="84" t="s">
        <v>2035</v>
      </c>
      <c r="C41" s="79">
        <f>COUNTIF('SIF DB'!G:G,B41)</f>
        <v>31</v>
      </c>
      <c r="D41" s="127" t="str">
        <f>'Dashboard 입력'!D37</f>
        <v>미해당</v>
      </c>
      <c r="K41" s="34"/>
      <c r="L41" s="34"/>
      <c r="M41" s="34"/>
    </row>
    <row r="42" spans="1:18" ht="42" customHeight="1">
      <c r="A42" s="70">
        <v>31</v>
      </c>
      <c r="B42" s="71" t="s">
        <v>1064</v>
      </c>
      <c r="C42" s="72">
        <f>COUNTIF('SIF DB'!G:G,B42)</f>
        <v>30</v>
      </c>
      <c r="D42" s="127" t="str">
        <f>'Dashboard 입력'!D38</f>
        <v>해당</v>
      </c>
      <c r="K42" s="33"/>
      <c r="L42" s="33"/>
      <c r="M42" s="33"/>
      <c r="P42" s="33"/>
      <c r="Q42" s="33"/>
      <c r="R42" s="33"/>
    </row>
    <row r="43" spans="1:18" ht="42" customHeight="1">
      <c r="A43" s="73">
        <v>32</v>
      </c>
      <c r="B43" s="74" t="s">
        <v>5883</v>
      </c>
      <c r="C43" s="75">
        <f>COUNTIF('SIF DB'!G:G,B43)</f>
        <v>30</v>
      </c>
      <c r="D43" s="127" t="str">
        <f>'Dashboard 입력'!D39</f>
        <v>미해당</v>
      </c>
      <c r="I43" s="33"/>
      <c r="J43" s="35"/>
      <c r="K43" s="35"/>
      <c r="L43" s="35"/>
      <c r="M43" s="35"/>
      <c r="P43" s="35"/>
      <c r="Q43" s="35"/>
      <c r="R43" s="35"/>
    </row>
    <row r="44" spans="1:18" ht="42" customHeight="1">
      <c r="A44" s="73">
        <v>33</v>
      </c>
      <c r="B44" s="74" t="s">
        <v>4765</v>
      </c>
      <c r="C44" s="75">
        <f>COUNTIF('SIF DB'!G:G,B44)</f>
        <v>25</v>
      </c>
      <c r="D44" s="127" t="str">
        <f>'Dashboard 입력'!D40</f>
        <v>미해당</v>
      </c>
      <c r="I44" s="33"/>
      <c r="J44" s="35"/>
      <c r="K44" s="35"/>
      <c r="L44" s="35"/>
      <c r="M44" s="35"/>
      <c r="P44" s="35"/>
      <c r="Q44" s="35"/>
      <c r="R44" s="35"/>
    </row>
    <row r="45" spans="1:18" ht="42" customHeight="1">
      <c r="A45" s="73">
        <v>34</v>
      </c>
      <c r="B45" s="74" t="s">
        <v>3305</v>
      </c>
      <c r="C45" s="75">
        <f>COUNTIF('SIF DB'!G:G,B45)</f>
        <v>24</v>
      </c>
      <c r="D45" s="127" t="str">
        <f>'Dashboard 입력'!D41</f>
        <v>해당</v>
      </c>
      <c r="I45" s="33"/>
      <c r="J45" s="35"/>
      <c r="K45" s="35"/>
      <c r="L45" s="35"/>
      <c r="M45" s="35"/>
      <c r="P45" s="35"/>
      <c r="Q45" s="35"/>
      <c r="R45" s="35"/>
    </row>
    <row r="46" spans="1:18" ht="42" customHeight="1">
      <c r="A46" s="73">
        <v>35</v>
      </c>
      <c r="B46" s="74" t="s">
        <v>3374</v>
      </c>
      <c r="C46" s="75">
        <f>COUNTIF('SIF DB'!G:G,B46)</f>
        <v>23</v>
      </c>
      <c r="D46" s="127" t="str">
        <f>'Dashboard 입력'!D42</f>
        <v>미해당</v>
      </c>
      <c r="I46" s="33"/>
      <c r="J46" s="35"/>
      <c r="K46" s="35"/>
      <c r="L46" s="35"/>
      <c r="M46" s="35"/>
      <c r="P46" s="35"/>
      <c r="Q46" s="35"/>
      <c r="R46" s="35"/>
    </row>
    <row r="47" spans="1:18" ht="42" customHeight="1">
      <c r="A47" s="73">
        <v>36</v>
      </c>
      <c r="B47" s="74" t="s">
        <v>1235</v>
      </c>
      <c r="C47" s="75">
        <f>COUNTIF('SIF DB'!G:G,B47)</f>
        <v>22</v>
      </c>
      <c r="D47" s="127" t="str">
        <f>'Dashboard 입력'!D43</f>
        <v>미해당</v>
      </c>
      <c r="I47" s="33"/>
      <c r="J47" s="35"/>
      <c r="K47" s="35"/>
      <c r="L47" s="35"/>
      <c r="M47" s="35"/>
      <c r="P47" s="35"/>
      <c r="Q47" s="35"/>
      <c r="R47" s="35"/>
    </row>
    <row r="48" spans="1:18" ht="42" customHeight="1">
      <c r="A48" s="73">
        <v>37</v>
      </c>
      <c r="B48" s="74" t="s">
        <v>1380</v>
      </c>
      <c r="C48" s="75">
        <f>COUNTIF('SIF DB'!G:G,B48)</f>
        <v>21</v>
      </c>
      <c r="D48" s="127" t="str">
        <f>'Dashboard 입력'!D44</f>
        <v>해당</v>
      </c>
      <c r="I48" s="33"/>
      <c r="J48" s="35"/>
      <c r="K48" s="35"/>
      <c r="L48" s="35"/>
      <c r="M48" s="35"/>
      <c r="P48" s="35"/>
      <c r="Q48" s="35"/>
      <c r="R48" s="35"/>
    </row>
    <row r="49" spans="1:18" ht="42" customHeight="1">
      <c r="A49" s="73">
        <v>38</v>
      </c>
      <c r="B49" s="74" t="s">
        <v>3390</v>
      </c>
      <c r="C49" s="75">
        <f>COUNTIF('SIF DB'!G:G,B49)</f>
        <v>21</v>
      </c>
      <c r="D49" s="127" t="str">
        <f>'Dashboard 입력'!D45</f>
        <v>미해당</v>
      </c>
      <c r="I49" s="33"/>
      <c r="J49" s="35"/>
      <c r="K49" s="35"/>
      <c r="L49" s="35"/>
      <c r="M49" s="35"/>
      <c r="P49" s="35"/>
      <c r="Q49" s="35"/>
      <c r="R49" s="35"/>
    </row>
    <row r="50" spans="1:18" ht="42" customHeight="1">
      <c r="A50" s="73">
        <v>39</v>
      </c>
      <c r="B50" s="74" t="s">
        <v>5033</v>
      </c>
      <c r="C50" s="75">
        <f>COUNTIF('SIF DB'!G:G,B50)</f>
        <v>21</v>
      </c>
      <c r="D50" s="127" t="str">
        <f>'Dashboard 입력'!D46</f>
        <v>미해당</v>
      </c>
      <c r="I50" s="33"/>
      <c r="J50" s="35"/>
      <c r="K50" s="35"/>
      <c r="L50" s="35"/>
      <c r="M50" s="35"/>
      <c r="P50" s="35"/>
      <c r="Q50" s="35"/>
      <c r="R50" s="35"/>
    </row>
    <row r="51" spans="1:18" ht="42" customHeight="1">
      <c r="A51" s="73">
        <v>40</v>
      </c>
      <c r="B51" s="74" t="s">
        <v>4982</v>
      </c>
      <c r="C51" s="75">
        <f>COUNTIF('SIF DB'!G:G,B51)</f>
        <v>20</v>
      </c>
      <c r="D51" s="127" t="str">
        <f>'Dashboard 입력'!D47</f>
        <v>미해당</v>
      </c>
      <c r="I51" s="33"/>
      <c r="J51" s="35"/>
      <c r="K51" s="35"/>
      <c r="L51" s="35"/>
      <c r="M51" s="35"/>
      <c r="P51" s="35"/>
      <c r="Q51" s="35"/>
      <c r="R51" s="35"/>
    </row>
    <row r="52" spans="1:18" ht="42" customHeight="1">
      <c r="A52" s="73">
        <v>41</v>
      </c>
      <c r="B52" s="74" t="s">
        <v>3809</v>
      </c>
      <c r="C52" s="75">
        <f>COUNTIF('SIF DB'!G:G,B52)</f>
        <v>19</v>
      </c>
      <c r="D52" s="127" t="str">
        <f>'Dashboard 입력'!D48</f>
        <v>미해당</v>
      </c>
      <c r="I52" s="33"/>
      <c r="J52" s="35"/>
      <c r="K52" s="35"/>
      <c r="L52" s="35"/>
      <c r="M52" s="35"/>
      <c r="P52" s="35"/>
      <c r="Q52" s="35"/>
      <c r="R52" s="35"/>
    </row>
    <row r="53" spans="1:18" ht="42" customHeight="1">
      <c r="A53" s="73">
        <v>42</v>
      </c>
      <c r="B53" s="74" t="s">
        <v>3921</v>
      </c>
      <c r="C53" s="75">
        <f>COUNTIF('SIF DB'!G:G,B53)</f>
        <v>18</v>
      </c>
      <c r="D53" s="127" t="str">
        <f>'Dashboard 입력'!D49</f>
        <v>미해당</v>
      </c>
      <c r="I53" s="33"/>
      <c r="J53" s="35"/>
      <c r="K53" s="35"/>
      <c r="L53" s="35"/>
      <c r="M53" s="35"/>
      <c r="P53" s="35"/>
      <c r="Q53" s="35"/>
      <c r="R53" s="35"/>
    </row>
    <row r="54" spans="1:18" ht="42" customHeight="1">
      <c r="A54" s="73">
        <v>43</v>
      </c>
      <c r="B54" s="74" t="s">
        <v>4039</v>
      </c>
      <c r="C54" s="75">
        <f>COUNTIF('SIF DB'!G:G,B54)</f>
        <v>18</v>
      </c>
      <c r="D54" s="127" t="str">
        <f>'Dashboard 입력'!D50</f>
        <v>해당</v>
      </c>
      <c r="I54" s="33"/>
      <c r="J54" s="35"/>
      <c r="K54" s="35"/>
      <c r="L54" s="35"/>
      <c r="M54" s="35"/>
      <c r="P54" s="35"/>
      <c r="Q54" s="35"/>
      <c r="R54" s="35"/>
    </row>
    <row r="55" spans="1:18" ht="42" customHeight="1">
      <c r="A55" s="73">
        <v>44</v>
      </c>
      <c r="B55" s="74" t="s">
        <v>3777</v>
      </c>
      <c r="C55" s="75">
        <f>COUNTIF('SIF DB'!G:G,B55)</f>
        <v>17</v>
      </c>
      <c r="D55" s="127" t="str">
        <f>'Dashboard 입력'!D51</f>
        <v>미해당</v>
      </c>
      <c r="I55" s="33"/>
      <c r="J55" s="35"/>
      <c r="K55" s="35"/>
      <c r="L55" s="35"/>
      <c r="M55" s="35"/>
      <c r="P55" s="35"/>
      <c r="Q55" s="35"/>
      <c r="R55" s="35"/>
    </row>
    <row r="56" spans="1:18" ht="42" customHeight="1">
      <c r="A56" s="73">
        <v>45</v>
      </c>
      <c r="B56" s="74" t="s">
        <v>3890</v>
      </c>
      <c r="C56" s="75">
        <f>COUNTIF('SIF DB'!G:G,B56)</f>
        <v>17</v>
      </c>
      <c r="D56" s="127" t="str">
        <f>'Dashboard 입력'!D52</f>
        <v>미해당</v>
      </c>
      <c r="I56" s="33"/>
      <c r="J56" s="35"/>
      <c r="K56" s="35"/>
      <c r="L56" s="35"/>
      <c r="M56" s="35"/>
      <c r="P56" s="35"/>
      <c r="Q56" s="35"/>
      <c r="R56" s="35"/>
    </row>
    <row r="57" spans="1:18" ht="42" customHeight="1">
      <c r="A57" s="70">
        <v>46</v>
      </c>
      <c r="B57" s="71" t="s">
        <v>1246</v>
      </c>
      <c r="C57" s="72">
        <f>COUNTIF('SIF DB'!G:G,B57)</f>
        <v>15</v>
      </c>
      <c r="D57" s="127" t="str">
        <f>'Dashboard 입력'!D53</f>
        <v>미해당</v>
      </c>
      <c r="I57" s="33"/>
      <c r="J57" s="33"/>
      <c r="K57" s="33"/>
      <c r="L57" s="33"/>
      <c r="M57" s="33"/>
      <c r="P57" s="33"/>
      <c r="Q57" s="33"/>
      <c r="R57" s="33"/>
    </row>
    <row r="58" spans="1:18" ht="42" customHeight="1">
      <c r="A58" s="70">
        <v>47</v>
      </c>
      <c r="B58" s="71" t="s">
        <v>1335</v>
      </c>
      <c r="C58" s="72">
        <f>COUNTIF('SIF DB'!G:G,B58)</f>
        <v>14</v>
      </c>
      <c r="D58" s="127" t="str">
        <f>'Dashboard 입력'!D54</f>
        <v>미해당</v>
      </c>
      <c r="I58" s="33"/>
      <c r="J58" s="33"/>
      <c r="K58" s="33"/>
      <c r="L58" s="33"/>
      <c r="M58" s="33"/>
      <c r="P58" s="33"/>
      <c r="Q58" s="33"/>
      <c r="R58" s="33"/>
    </row>
    <row r="59" spans="1:18" ht="42" customHeight="1">
      <c r="A59" s="70">
        <v>48</v>
      </c>
      <c r="B59" s="71" t="s">
        <v>3685</v>
      </c>
      <c r="C59" s="72">
        <f>COUNTIF('SIF DB'!G:G,B59)</f>
        <v>13</v>
      </c>
      <c r="D59" s="127" t="str">
        <f>'Dashboard 입력'!D55</f>
        <v>해당</v>
      </c>
      <c r="I59" s="33"/>
      <c r="J59" s="33"/>
      <c r="K59" s="33"/>
      <c r="L59" s="33"/>
      <c r="M59" s="33"/>
      <c r="P59" s="33"/>
      <c r="Q59" s="33"/>
      <c r="R59" s="33"/>
    </row>
    <row r="60" spans="1:18" ht="42" customHeight="1">
      <c r="A60" s="70">
        <v>49</v>
      </c>
      <c r="B60" s="71" t="s">
        <v>3277</v>
      </c>
      <c r="C60" s="72">
        <f>COUNTIF('SIF DB'!G:G,B60)</f>
        <v>11</v>
      </c>
      <c r="D60" s="127" t="str">
        <f>'Dashboard 입력'!D56</f>
        <v>미해당</v>
      </c>
      <c r="I60" s="33"/>
      <c r="J60" s="33"/>
      <c r="K60" s="33"/>
      <c r="L60" s="33"/>
      <c r="M60" s="33"/>
      <c r="P60" s="33"/>
      <c r="Q60" s="33"/>
      <c r="R60" s="33"/>
    </row>
    <row r="61" spans="1:18" ht="42" customHeight="1">
      <c r="A61" s="70">
        <v>50</v>
      </c>
      <c r="B61" s="71" t="s">
        <v>3856</v>
      </c>
      <c r="C61" s="72">
        <f>COUNTIF('SIF DB'!G:G,B61)</f>
        <v>11</v>
      </c>
      <c r="D61" s="127" t="str">
        <f>'Dashboard 입력'!D57</f>
        <v>미해당</v>
      </c>
      <c r="I61" s="33"/>
      <c r="J61" s="33"/>
      <c r="K61" s="33"/>
      <c r="L61" s="33"/>
      <c r="M61" s="33"/>
      <c r="P61" s="33"/>
      <c r="Q61" s="33"/>
      <c r="R61" s="33"/>
    </row>
    <row r="62" spans="1:18" ht="42" customHeight="1">
      <c r="A62" s="70">
        <v>51</v>
      </c>
      <c r="B62" s="71" t="s">
        <v>4053</v>
      </c>
      <c r="C62" s="72">
        <f>COUNTIF('SIF DB'!G:G,B62)</f>
        <v>11</v>
      </c>
      <c r="D62" s="127" t="str">
        <f>'Dashboard 입력'!D58</f>
        <v>미해당</v>
      </c>
      <c r="I62" s="33"/>
      <c r="J62" s="33"/>
      <c r="K62" s="33"/>
      <c r="L62" s="33"/>
      <c r="M62" s="33"/>
      <c r="P62" s="33"/>
      <c r="Q62" s="33"/>
      <c r="R62" s="33"/>
    </row>
    <row r="63" spans="1:18" ht="42" customHeight="1">
      <c r="A63" s="70">
        <v>52</v>
      </c>
      <c r="B63" s="71" t="s">
        <v>4259</v>
      </c>
      <c r="C63" s="72">
        <f>COUNTIF('SIF DB'!G:G,B63)</f>
        <v>11</v>
      </c>
      <c r="D63" s="127" t="str">
        <f>'Dashboard 입력'!D59</f>
        <v>미해당</v>
      </c>
      <c r="I63" s="33"/>
      <c r="J63" s="33"/>
      <c r="K63" s="33"/>
      <c r="L63" s="33"/>
      <c r="M63" s="33"/>
      <c r="P63" s="33"/>
      <c r="Q63" s="33"/>
      <c r="R63" s="33"/>
    </row>
    <row r="64" spans="1:18" ht="42" customHeight="1">
      <c r="A64" s="70">
        <v>53</v>
      </c>
      <c r="B64" s="71" t="s">
        <v>5087</v>
      </c>
      <c r="C64" s="72">
        <f>COUNTIF('SIF DB'!G:G,B64)</f>
        <v>8</v>
      </c>
      <c r="D64" s="127" t="str">
        <f>'Dashboard 입력'!D60</f>
        <v>미해당</v>
      </c>
      <c r="I64" s="33"/>
      <c r="J64" s="33"/>
      <c r="K64" s="33"/>
      <c r="L64" s="33"/>
      <c r="M64" s="33"/>
      <c r="P64" s="33"/>
      <c r="Q64" s="33"/>
      <c r="R64" s="33"/>
    </row>
    <row r="65" spans="1:18" ht="42" customHeight="1">
      <c r="A65" s="70">
        <v>54</v>
      </c>
      <c r="B65" s="71" t="s">
        <v>1666</v>
      </c>
      <c r="C65" s="72">
        <f>COUNTIF('SIF DB'!G:G,B65)</f>
        <v>7</v>
      </c>
      <c r="D65" s="127" t="str">
        <f>'Dashboard 입력'!D61</f>
        <v>미해당</v>
      </c>
      <c r="I65" s="33"/>
      <c r="J65" s="33"/>
      <c r="K65" s="33"/>
      <c r="L65" s="33"/>
      <c r="M65" s="33"/>
      <c r="P65" s="33"/>
      <c r="Q65" s="33"/>
      <c r="R65" s="33"/>
    </row>
    <row r="66" spans="1:18" ht="42" customHeight="1">
      <c r="A66" s="70">
        <v>55</v>
      </c>
      <c r="B66" s="71" t="s">
        <v>5083</v>
      </c>
      <c r="C66" s="72">
        <f>COUNTIF('SIF DB'!G:G,B66)</f>
        <v>6</v>
      </c>
      <c r="D66" s="127" t="str">
        <f>'Dashboard 입력'!D62</f>
        <v>미해당</v>
      </c>
      <c r="I66" s="33"/>
      <c r="J66" s="33"/>
      <c r="K66" s="33"/>
      <c r="L66" s="33"/>
      <c r="M66" s="33"/>
      <c r="P66" s="33"/>
      <c r="Q66" s="33"/>
      <c r="R66" s="33"/>
    </row>
    <row r="67" spans="1:18" ht="42" customHeight="1">
      <c r="A67" s="70">
        <v>56</v>
      </c>
      <c r="B67" s="71" t="s">
        <v>3184</v>
      </c>
      <c r="C67" s="72">
        <f>COUNTIF('SIF DB'!G:G,B67)</f>
        <v>5</v>
      </c>
      <c r="D67" s="127" t="str">
        <f>'Dashboard 입력'!D63</f>
        <v>미해당</v>
      </c>
      <c r="I67" s="33"/>
      <c r="J67" s="33"/>
      <c r="K67" s="33"/>
      <c r="L67" s="33"/>
      <c r="M67" s="33"/>
      <c r="P67" s="33"/>
      <c r="Q67" s="33"/>
      <c r="R67" s="33"/>
    </row>
    <row r="68" spans="1:18" ht="42" customHeight="1">
      <c r="A68" s="70">
        <v>57</v>
      </c>
      <c r="B68" s="71" t="s">
        <v>2010</v>
      </c>
      <c r="C68" s="72">
        <f>COUNTIF('SIF DB'!G:G,B68)</f>
        <v>4</v>
      </c>
      <c r="D68" s="127" t="str">
        <f>'Dashboard 입력'!D64</f>
        <v>미해당</v>
      </c>
      <c r="I68" s="33"/>
      <c r="J68" s="33"/>
      <c r="K68" s="33"/>
      <c r="L68" s="33"/>
      <c r="M68" s="33"/>
      <c r="P68" s="33"/>
      <c r="Q68" s="33"/>
      <c r="R68" s="33"/>
    </row>
    <row r="69" spans="1:18" ht="42" customHeight="1">
      <c r="A69" s="80">
        <v>58</v>
      </c>
      <c r="B69" s="81" t="s">
        <v>3146</v>
      </c>
      <c r="C69" s="82">
        <f>COUNTIF('SIF DB'!G:G,B69)</f>
        <v>3</v>
      </c>
      <c r="D69" s="127" t="str">
        <f>'Dashboard 입력'!D65</f>
        <v>미해당</v>
      </c>
      <c r="I69" s="33"/>
      <c r="J69" s="33"/>
      <c r="K69" s="33"/>
      <c r="L69" s="33"/>
      <c r="M69" s="33"/>
      <c r="P69" s="33"/>
      <c r="Q69" s="33"/>
      <c r="R69" s="33"/>
    </row>
    <row r="70" spans="1:18" ht="32" customHeight="1">
      <c r="A70" s="83"/>
      <c r="B70" s="83"/>
      <c r="C70" s="83"/>
      <c r="I70" s="33"/>
      <c r="J70" s="33"/>
      <c r="K70" s="33"/>
      <c r="L70" s="33"/>
      <c r="M70" s="33"/>
      <c r="N70" s="33"/>
      <c r="O70" s="33"/>
      <c r="P70" s="33"/>
      <c r="Q70" s="33"/>
      <c r="R70" s="33"/>
    </row>
    <row r="71" spans="1:18" ht="32" customHeight="1">
      <c r="I71" s="33" t="s">
        <v>5975</v>
      </c>
      <c r="J71" s="33" t="s">
        <v>5951</v>
      </c>
      <c r="K71" s="33"/>
      <c r="L71" s="33" t="s">
        <v>5950</v>
      </c>
      <c r="M71" s="33"/>
      <c r="N71" s="33" t="s">
        <v>5951</v>
      </c>
      <c r="O71" s="33"/>
      <c r="P71" s="33"/>
      <c r="Q71" s="33"/>
      <c r="R71" s="33"/>
    </row>
    <row r="72" spans="1:18" ht="32" customHeight="1">
      <c r="I72" s="33" t="str" cm="1">
        <f t="array" ref="I72">IFERROR(INDEX(_Helper!C$2:C$581,_xlfn.AGGREGATE(15,6,ROW(_Helper!A$2:A$581)-1/((_Helper!A$2:A$581=$C$5)*(_Helper!B$2:B$581=1)),1)),"")</f>
        <v>4.1 조적, 미장 및 견출작업</v>
      </c>
      <c r="J72" s="33" cm="1">
        <f t="array" ref="J72">IFERROR(INDEX(_Helper!D$2:D$581,_xlfn.AGGREGATE(15,6,ROW(_Helper!A$2:A$581)-1/((_Helper!A$2:A$581=$C$5)*(_Helper!B$2:B$581=1)),1)),0)</f>
        <v>6</v>
      </c>
      <c r="K72" s="33"/>
      <c r="L72" s="33" t="str" cm="1">
        <f t="array" ref="L72">IFERROR(INDEX(_Helper!E$2:E$581,_xlfn.AGGREGATE(15,6,ROW(_Helper!A$2:A$581)-1/((_Helper!A$2:A$581=$C$5)*(_Helper!B$2:B$581=1)),1)),"")</f>
        <v>떨어짐</v>
      </c>
      <c r="M72" s="33"/>
      <c r="N72" s="33" cm="1">
        <f t="array" ref="N72">IFERROR(INDEX(_Helper!F$2:F$581,_xlfn.AGGREGATE(15,6,ROW(_Helper!A$2:A$581)-1/((_Helper!A$2:A$581=$C$5)*(_Helper!B$2:B$581=1)),1)),0)</f>
        <v>28</v>
      </c>
      <c r="O72" s="33"/>
      <c r="P72" s="33"/>
      <c r="Q72" s="33"/>
      <c r="R72" s="33"/>
    </row>
    <row r="73" spans="1:18" ht="32" customHeight="1">
      <c r="I73" s="33" t="str" cm="1">
        <f t="array" ref="I73">IFERROR(INDEX(_Helper!C$2:C$581,_xlfn.AGGREGATE(15,6,ROW(_Helper!A$2:A$581)-1/((_Helper!A$2:A$581=$C$5)*(_Helper!B$2:B$581=2)),1)),"")</f>
        <v>4.3 석재 및 타일 작업</v>
      </c>
      <c r="J73" s="33" cm="1">
        <f t="array" ref="J73">IFERROR(INDEX(_Helper!D$2:D$581,_xlfn.AGGREGATE(15,6,ROW(_Helper!A$2:A$581)-1/((_Helper!A$2:A$581=$C$5)*(_Helper!B$2:B$581=2)),1)),0)</f>
        <v>6</v>
      </c>
      <c r="K73" s="33"/>
      <c r="L73" s="33" t="str" cm="1">
        <f t="array" ref="L73">IFERROR(INDEX(_Helper!E$2:E$581,_xlfn.AGGREGATE(15,6,ROW(_Helper!A$2:A$581)-1/((_Helper!A$2:A$581=$C$5)*(_Helper!B$2:B$581=2)),1)),"")</f>
        <v>부딪힘 접촉</v>
      </c>
      <c r="M73" s="33"/>
      <c r="N73" s="33" cm="1">
        <f t="array" ref="N73">IFERROR(INDEX(_Helper!F$2:F$581,_xlfn.AGGREGATE(15,6,ROW(_Helper!A$2:A$581)-1/((_Helper!A$2:A$581=$C$5)*(_Helper!B$2:B$581=2)),1)),0)</f>
        <v>2</v>
      </c>
      <c r="O73" s="33"/>
      <c r="P73" s="33"/>
      <c r="Q73" s="33"/>
      <c r="R73" s="33"/>
    </row>
    <row r="74" spans="1:18" ht="32" customHeight="1">
      <c r="I74" s="33" t="str" cm="1">
        <f t="array" ref="I74">IFERROR(INDEX(_Helper!C$2:C$581,_xlfn.AGGREGATE(15,6,ROW(_Helper!A$2:A$581)-1/((_Helper!A$2:A$581=$C$5)*(_Helper!B$2:B$581=3)),1)),"")</f>
        <v>2.1 거푸집 작업</v>
      </c>
      <c r="J74" s="33" cm="1">
        <f t="array" ref="J74">IFERROR(INDEX(_Helper!D$2:D$581,_xlfn.AGGREGATE(15,6,ROW(_Helper!A$2:A$581)-1/((_Helper!A$2:A$581=$C$5)*(_Helper!B$2:B$581=3)),1)),0)</f>
        <v>4</v>
      </c>
      <c r="K74" s="33"/>
      <c r="L74" s="33" t="str" cm="1">
        <f t="array" ref="L74">IFERROR(INDEX(_Helper!E$2:E$581,_xlfn.AGGREGATE(15,6,ROW(_Helper!A$2:A$581)-1/((_Helper!A$2:A$581=$C$5)*(_Helper!B$2:B$581=3)),1)),"")</f>
        <v>깔림 뒤집힘</v>
      </c>
      <c r="M74" s="33"/>
      <c r="N74" s="33" cm="1">
        <f t="array" ref="N74">IFERROR(INDEX(_Helper!F$2:F$581,_xlfn.AGGREGATE(15,6,ROW(_Helper!A$2:A$581)-1/((_Helper!A$2:A$581=$C$5)*(_Helper!B$2:B$581=3)),1)),0)</f>
        <v>1</v>
      </c>
      <c r="O74" s="33"/>
      <c r="P74" s="33"/>
      <c r="Q74" s="33"/>
      <c r="R74" s="33"/>
    </row>
    <row r="75" spans="1:18" ht="32" customHeight="1">
      <c r="I75" s="33" t="str" cm="1">
        <f t="array" ref="I75">IFERROR(INDEX(_Helper!C$2:C$581,_xlfn.AGGREGATE(15,6,ROW(_Helper!A$2:A$581)-1/((_Helper!A$2:A$581=$C$5)*(_Helper!B$2:B$581=4)),1)),"")</f>
        <v>3.1 철골 작업</v>
      </c>
      <c r="J75" s="33" cm="1">
        <f t="array" ref="J75">IFERROR(INDEX(_Helper!D$2:D$581,_xlfn.AGGREGATE(15,6,ROW(_Helper!A$2:A$581)-1/((_Helper!A$2:A$581=$C$5)*(_Helper!B$2:B$581=4)),1)),0)</f>
        <v>3</v>
      </c>
      <c r="K75" s="33"/>
      <c r="L75" s="33" t="str" cm="1">
        <f t="array" ref="L75">IFERROR(INDEX(_Helper!E$2:E$581,_xlfn.AGGREGATE(15,6,ROW(_Helper!A$2:A$581)-1/((_Helper!A$2:A$581=$C$5)*(_Helper!B$2:B$581=4)),1)),"")</f>
        <v>넘어짐</v>
      </c>
      <c r="M75" s="33"/>
      <c r="N75" s="33" cm="1">
        <f t="array" ref="N75">IFERROR(INDEX(_Helper!F$2:F$581,_xlfn.AGGREGATE(15,6,ROW(_Helper!A$2:A$581)-1/((_Helper!A$2:A$581=$C$5)*(_Helper!B$2:B$581=4)),1)),0)</f>
        <v>1</v>
      </c>
      <c r="O75" s="33"/>
      <c r="P75" s="33"/>
      <c r="Q75" s="33"/>
      <c r="R75" s="33"/>
    </row>
    <row r="76" spans="1:18" ht="32" customHeight="1">
      <c r="I76" s="33" t="str" cm="1">
        <f t="array" ref="I76">IFERROR(INDEX(_Helper!C$2:C$581,_xlfn.AGGREGATE(15,6,ROW(_Helper!A$2:A$581)-1/((_Helper!A$2:A$581=$C$5)*(_Helper!B$2:B$581=5)),1)),"")</f>
        <v>12.7 기타(작업환경, 청소 등)</v>
      </c>
      <c r="J76" s="33" cm="1">
        <f t="array" ref="J76">IFERROR(INDEX(_Helper!D$2:D$581,_xlfn.AGGREGATE(15,6,ROW(_Helper!A$2:A$581)-1/((_Helper!A$2:A$581=$C$5)*(_Helper!B$2:B$581=5)),1)),0)</f>
        <v>2</v>
      </c>
      <c r="K76" s="33"/>
      <c r="L76" s="33" cm="1">
        <f t="array" ref="L76">IFERROR(INDEX(_Helper!E$2:E$581,_xlfn.AGGREGATE(15,6,ROW(_Helper!A$2:A$581)-1/((_Helper!A$2:A$581=$C$5)*(_Helper!B$2:B$581=5)),1)),"")</f>
        <v>0</v>
      </c>
      <c r="M76" s="33"/>
      <c r="N76" s="33" cm="1">
        <f t="array" ref="N76">IFERROR(INDEX(_Helper!F$2:F$581,_xlfn.AGGREGATE(15,6,ROW(_Helper!A$2:A$581)-1/((_Helper!A$2:A$581=$C$5)*(_Helper!B$2:B$581=5)),1)),0)</f>
        <v>0</v>
      </c>
      <c r="O76" s="33"/>
      <c r="P76" s="33"/>
      <c r="Q76" s="33"/>
      <c r="R76" s="33"/>
    </row>
    <row r="77" spans="1:18" ht="32" customHeight="1">
      <c r="I77" s="33" t="str" cm="1">
        <f t="array" ref="I77">IFERROR(INDEX(_Helper!C$2:C$581,_xlfn.AGGREGATE(15,6,ROW(_Helper!A$2:A$581)-1/((_Helper!A$2:A$581=$C$5)*(_Helper!B$2:B$581=6)),1)),"")</f>
        <v>4.4 도장작업</v>
      </c>
      <c r="J77" s="33" cm="1">
        <f t="array" ref="J77">IFERROR(INDEX(_Helper!D$2:D$581,_xlfn.AGGREGATE(15,6,ROW(_Helper!A$2:A$581)-1/((_Helper!A$2:A$581=$C$5)*(_Helper!B$2:B$581=6)),1)),0)</f>
        <v>2</v>
      </c>
      <c r="K77" s="33"/>
      <c r="L77" s="33" cm="1">
        <f t="array" ref="L77">IFERROR(INDEX(_Helper!E$2:E$581,_xlfn.AGGREGATE(15,6,ROW(_Helper!A$2:A$581)-1/((_Helper!A$2:A$581=$C$5)*(_Helper!B$2:B$581=6)),1)),"")</f>
        <v>0</v>
      </c>
      <c r="M77" s="33"/>
      <c r="N77" s="33" cm="1">
        <f t="array" ref="N77">IFERROR(INDEX(_Helper!F$2:F$581,_xlfn.AGGREGATE(15,6,ROW(_Helper!A$2:A$581)-1/((_Helper!A$2:A$581=$C$5)*(_Helper!B$2:B$581=6)),1)),0)</f>
        <v>0</v>
      </c>
      <c r="O77" s="33"/>
      <c r="P77" s="33"/>
      <c r="Q77" s="33"/>
      <c r="R77" s="33"/>
    </row>
    <row r="78" spans="1:18" ht="32" customHeight="1">
      <c r="I78" s="33" t="str" cm="1">
        <f t="array" ref="I78">IFERROR(INDEX(_Helper!C$2:C$581,_xlfn.AGGREGATE(15,6,ROW(_Helper!A$2:A$581)-1/((_Helper!A$2:A$581=$C$5)*(_Helper!B$2:B$581=7)),1)),"")</f>
        <v>5.2 기계설비 작업</v>
      </c>
      <c r="J78" s="33" cm="1">
        <f t="array" ref="J78">IFERROR(INDEX(_Helper!D$2:D$581,_xlfn.AGGREGATE(15,6,ROW(_Helper!A$2:A$581)-1/((_Helper!A$2:A$581=$C$5)*(_Helper!B$2:B$581=7)),1)),0)</f>
        <v>2</v>
      </c>
      <c r="K78" s="33"/>
      <c r="L78" s="33" cm="1">
        <f t="array" ref="L78">IFERROR(INDEX(_Helper!E$2:E$581,_xlfn.AGGREGATE(15,6,ROW(_Helper!A$2:A$581)-1/((_Helper!A$2:A$581=$C$5)*(_Helper!B$2:B$581=7)),1)),"")</f>
        <v>0</v>
      </c>
      <c r="M78" s="33"/>
      <c r="N78" s="33" cm="1">
        <f t="array" ref="N78">IFERROR(INDEX(_Helper!F$2:F$581,_xlfn.AGGREGATE(15,6,ROW(_Helper!A$2:A$581)-1/((_Helper!A$2:A$581=$C$5)*(_Helper!B$2:B$581=7)),1)),0)</f>
        <v>0</v>
      </c>
      <c r="O78" s="33"/>
      <c r="P78" s="33"/>
      <c r="Q78" s="33"/>
      <c r="R78" s="33"/>
    </row>
    <row r="79" spans="1:18" ht="32" customHeight="1">
      <c r="I79" s="33" t="str" cm="1">
        <f t="array" ref="I79">IFERROR(INDEX(_Helper!C$2:C$581,_xlfn.AGGREGATE(15,6,ROW(_Helper!A$2:A$581)-1/((_Helper!A$2:A$581=$C$5)*(_Helper!B$2:B$581=8)),1)),"")</f>
        <v>2.3 철근 작업</v>
      </c>
      <c r="J79" s="33" cm="1">
        <f t="array" ref="J79">IFERROR(INDEX(_Helper!D$2:D$581,_xlfn.AGGREGATE(15,6,ROW(_Helper!A$2:A$581)-1/((_Helper!A$2:A$581=$C$5)*(_Helper!B$2:B$581=8)),1)),0)</f>
        <v>1</v>
      </c>
      <c r="K79" s="33"/>
      <c r="L79" s="33" cm="1">
        <f t="array" ref="L79">IFERROR(INDEX(_Helper!E$2:E$581,_xlfn.AGGREGATE(15,6,ROW(_Helper!A$2:A$581)-1/((_Helper!A$2:A$581=$C$5)*(_Helper!B$2:B$581=8)),1)),"")</f>
        <v>0</v>
      </c>
      <c r="M79" s="33"/>
      <c r="N79" s="33" cm="1">
        <f t="array" ref="N79">IFERROR(INDEX(_Helper!F$2:F$581,_xlfn.AGGREGATE(15,6,ROW(_Helper!A$2:A$581)-1/((_Helper!A$2:A$581=$C$5)*(_Helper!B$2:B$581=8)),1)),0)</f>
        <v>0</v>
      </c>
      <c r="O79" s="33"/>
      <c r="P79" s="33"/>
      <c r="Q79" s="33"/>
      <c r="R79" s="33"/>
    </row>
    <row r="80" spans="1:18" ht="32" customHeight="1" collapsed="1">
      <c r="I80" t="str" cm="1">
        <f t="array" ref="I80">IFERROR(INDEX(_Helper!C$2:C$581,_xlfn.AGGREGATE(15,6,ROW(_Helper!A$2:A$581)-1/((_Helper!A$2:A$581=$C$5)*(_Helper!B$2:B$581=9)),1)),"")</f>
        <v>2.4 콘크리트 작업</v>
      </c>
      <c r="J80" cm="1">
        <f t="array" ref="J80">IFERROR(INDEX(_Helper!D$2:D$581,_xlfn.AGGREGATE(15,6,ROW(_Helper!A$2:A$581)-1/((_Helper!A$2:A$581=$C$5)*(_Helper!B$2:B$581=9)),1)),0)</f>
        <v>1</v>
      </c>
      <c r="L80" cm="1">
        <f t="array" ref="L80">IFERROR(INDEX(_Helper!E$2:E$581,_xlfn.AGGREGATE(15,6,ROW(_Helper!A$2:A$581)-1/((_Helper!A$2:A$581=$C$5)*(_Helper!B$2:B$581=9)),1)),"")</f>
        <v>0</v>
      </c>
      <c r="N80" cm="1">
        <f t="array" ref="N80">IFERROR(INDEX(_Helper!F$2:F$581,_xlfn.AGGREGATE(15,6,ROW(_Helper!A$2:A$581)-1/((_Helper!A$2:A$581=$C$5)*(_Helper!B$2:B$581=9)),1)),0)</f>
        <v>0</v>
      </c>
    </row>
    <row r="81" spans="9:14" ht="32" customHeight="1">
      <c r="I81" t="str" cm="1">
        <f t="array" ref="I81">IFERROR(INDEX(_Helper!C$2:C$581,_xlfn.AGGREGATE(15,6,ROW(_Helper!A$2:A$581)-1/((_Helper!A$2:A$581=$C$5)*(_Helper!B$2:B$581=10)),1)),"")</f>
        <v>4.2 방수 작업</v>
      </c>
      <c r="J81" cm="1">
        <f t="array" ref="J81">IFERROR(INDEX(_Helper!D$2:D$581,_xlfn.AGGREGATE(15,6,ROW(_Helper!A$2:A$581)-1/((_Helper!A$2:A$581=$C$5)*(_Helper!B$2:B$581=10)),1)),0)</f>
        <v>1</v>
      </c>
      <c r="L81" cm="1">
        <f t="array" ref="L81">IFERROR(INDEX(_Helper!E$2:E$581,_xlfn.AGGREGATE(15,6,ROW(_Helper!A$2:A$581)-1/((_Helper!A$2:A$581=$C$5)*(_Helper!B$2:B$581=10)),1)),"")</f>
        <v>0</v>
      </c>
      <c r="N81" cm="1">
        <f t="array" ref="N81">IFERROR(INDEX(_Helper!F$2:F$581,_xlfn.AGGREGATE(15,6,ROW(_Helper!A$2:A$581)-1/((_Helper!A$2:A$581=$C$5)*(_Helper!B$2:B$581=10)),1)),0)</f>
        <v>0</v>
      </c>
    </row>
  </sheetData>
  <mergeCells count="12">
    <mergeCell ref="A4:B4"/>
    <mergeCell ref="A5:B5"/>
    <mergeCell ref="A6:B6"/>
    <mergeCell ref="A7:B7"/>
    <mergeCell ref="A8:B8"/>
    <mergeCell ref="F5:G8"/>
    <mergeCell ref="F4:G4"/>
    <mergeCell ref="C4:D4"/>
    <mergeCell ref="C5:D5"/>
    <mergeCell ref="C6:D6"/>
    <mergeCell ref="C7:D7"/>
    <mergeCell ref="C8:D8"/>
  </mergeCells>
  <phoneticPr fontId="22" type="noConversion"/>
  <conditionalFormatting sqref="C12:C69">
    <cfRule type="dataBar" priority="2">
      <dataBar>
        <cfvo type="min"/>
        <cfvo type="max"/>
        <color rgb="FF34D399"/>
      </dataBar>
      <extLst>
        <ext xmlns:x14="http://schemas.microsoft.com/office/spreadsheetml/2009/9/main" uri="{B025F937-C7B1-47D3-B67F-A62EFF666E3E}">
          <x14:id>{782579F8-C6C4-0A42-B1B5-6577BAF0E4D6}</x14:id>
        </ext>
      </extLst>
    </cfRule>
  </conditionalFormatting>
  <conditionalFormatting sqref="D12:D69">
    <cfRule type="cellIs" dxfId="0" priority="1" operator="equal">
      <formula>"해당"</formula>
    </cfRule>
  </conditionalFormatting>
  <dataValidations count="1">
    <dataValidation type="list" allowBlank="1" showInputMessage="1" showErrorMessage="1" sqref="C5" xr:uid="{732C9396-CDF5-1746-B028-85096C07DCC5}">
      <formula1>_xlfn.ANCHORARRAY($S$1)</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782579F8-C6C4-0A42-B1B5-6577BAF0E4D6}">
            <x14:dataBar minLength="0" maxLength="100" border="1" direction="leftToRight" negativeBarColorSameAsPositive="1" axisPosition="none">
              <x14:cfvo type="min"/>
              <x14:cfvo type="max"/>
              <x14:borderColor rgb="FF059669"/>
            </x14:dataBar>
          </x14:cfRule>
          <xm:sqref>C12:C69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J50"/>
  <sheetViews>
    <sheetView zoomScale="75" workbookViewId="0">
      <selection activeCell="F19" sqref="F19:H19"/>
    </sheetView>
  </sheetViews>
  <sheetFormatPr baseColWidth="10" defaultColWidth="9" defaultRowHeight="13"/>
  <cols>
    <col min="1" max="1" width="15.19921875" customWidth="1"/>
    <col min="2" max="2" width="14.19921875" customWidth="1"/>
    <col min="3" max="3" width="18.19921875" customWidth="1"/>
    <col min="4" max="4" width="12.19921875" customWidth="1"/>
    <col min="5" max="5" width="0.19921875" hidden="1" customWidth="1"/>
    <col min="6" max="6" width="54.19921875" customWidth="1"/>
    <col min="7" max="7" width="17" customWidth="1"/>
    <col min="8" max="8" width="39.3984375" customWidth="1"/>
    <col min="9" max="9" width="12" customWidth="1"/>
    <col min="10" max="10" width="24" customWidth="1"/>
  </cols>
  <sheetData>
    <row r="1" spans="1:10" ht="36" customHeight="1">
      <c r="A1" s="272" t="s">
        <v>0</v>
      </c>
      <c r="B1" s="16" t="s">
        <v>1</v>
      </c>
      <c r="C1" s="16" t="s">
        <v>2</v>
      </c>
      <c r="D1" s="274" t="s">
        <v>3</v>
      </c>
      <c r="E1" s="275"/>
      <c r="F1" s="276" t="s">
        <v>4</v>
      </c>
      <c r="G1" s="277"/>
      <c r="H1" s="278"/>
      <c r="I1" s="282" t="s">
        <v>5</v>
      </c>
      <c r="J1" s="272"/>
    </row>
    <row r="2" spans="1:10" ht="45" customHeight="1">
      <c r="A2" s="273"/>
      <c r="B2" s="1"/>
      <c r="C2" s="1"/>
      <c r="D2" s="284"/>
      <c r="E2" s="285"/>
      <c r="F2" s="279"/>
      <c r="G2" s="280"/>
      <c r="H2" s="281"/>
      <c r="I2" s="283"/>
      <c r="J2" s="273"/>
    </row>
    <row r="3" spans="1:10" ht="40" customHeight="1">
      <c r="A3" s="286" t="s">
        <v>6</v>
      </c>
      <c r="B3" s="287"/>
      <c r="C3" s="287"/>
      <c r="D3" s="288"/>
      <c r="E3" s="286" t="s">
        <v>7</v>
      </c>
      <c r="F3" s="287"/>
      <c r="G3" s="287"/>
      <c r="H3" s="287"/>
      <c r="I3" s="287"/>
      <c r="J3" s="288"/>
    </row>
    <row r="4" spans="1:10" ht="40" customHeight="1">
      <c r="A4" s="286" t="s">
        <v>8</v>
      </c>
      <c r="B4" s="287"/>
      <c r="C4" s="287"/>
      <c r="D4" s="288"/>
      <c r="E4" s="289" t="str">
        <f>'Dashboard 입력'!P9</f>
        <v>전기설비 점검 및 정비작업</v>
      </c>
      <c r="F4" s="290"/>
      <c r="G4" s="17" t="s">
        <v>9</v>
      </c>
      <c r="H4" s="295" t="str">
        <f>'Dashboard 입력'!R8</f>
        <v>한국에너지 전기부</v>
      </c>
      <c r="I4" s="296"/>
      <c r="J4" s="297"/>
    </row>
    <row r="5" spans="1:10" ht="40" customHeight="1">
      <c r="A5" s="286" t="s">
        <v>10</v>
      </c>
      <c r="B5" s="287"/>
      <c r="C5" s="287"/>
      <c r="D5" s="288"/>
      <c r="E5" s="289" t="str">
        <f>'Dashboard 입력'!P10</f>
        <v>전기실 내 배전반 교체 및 케이블 정비, 접지 점검</v>
      </c>
      <c r="F5" s="290"/>
      <c r="G5" s="17" t="s">
        <v>11</v>
      </c>
      <c r="H5" s="289" t="str">
        <f>'Dashboard 입력'!R9</f>
        <v>2025.03.14</v>
      </c>
      <c r="I5" s="291"/>
      <c r="J5" s="290"/>
    </row>
    <row r="6" spans="1:10" ht="40" customHeight="1">
      <c r="A6" s="292" t="s">
        <v>12</v>
      </c>
      <c r="B6" s="293"/>
      <c r="C6" s="293"/>
      <c r="D6" s="294"/>
      <c r="E6" s="289" t="str">
        <f>'Dashboard 입력'!P11</f>
        <v>2025.03.15 09:00 ~ 18:00</v>
      </c>
      <c r="F6" s="290"/>
      <c r="G6" s="17" t="s">
        <v>13</v>
      </c>
      <c r="H6" s="289" t="str">
        <f>'Dashboard 입력'!R10</f>
        <v>김안전, 이이경</v>
      </c>
      <c r="I6" s="291"/>
      <c r="J6" s="290"/>
    </row>
    <row r="7" spans="1:10" ht="40" customHeight="1">
      <c r="A7" s="304" t="s">
        <v>14</v>
      </c>
      <c r="B7" s="305"/>
      <c r="C7" s="305"/>
      <c r="D7" s="306"/>
      <c r="E7" s="289" t="str">
        <f>'Dashboard 입력'!P12</f>
        <v>A동 전기실, B동 전기실</v>
      </c>
      <c r="F7" s="290"/>
      <c r="G7" s="17" t="s">
        <v>15</v>
      </c>
      <c r="H7" s="289" t="str">
        <f>'Dashboard 입력'!R11</f>
        <v>김가나1, 김가나2, 김가나3, 김가나4, 김가나5 등 총 23명</v>
      </c>
      <c r="I7" s="291"/>
      <c r="J7" s="290"/>
    </row>
    <row r="8" spans="1:10" ht="40" customHeight="1">
      <c r="A8" s="304" t="s">
        <v>16</v>
      </c>
      <c r="B8" s="305"/>
      <c r="C8" s="305"/>
      <c r="D8" s="306"/>
      <c r="E8" s="307" t="str">
        <f>'Dashboard 입력'!P13</f>
        <v>■ 일반작업  ■ 고소작업  ■ 굴착작업  ■ 중장비작업</v>
      </c>
      <c r="F8" s="308"/>
      <c r="G8" s="308"/>
      <c r="H8" s="308"/>
      <c r="I8" s="308"/>
      <c r="J8" s="309"/>
    </row>
    <row r="9" spans="1:10" ht="40" customHeight="1">
      <c r="A9" s="292" t="s">
        <v>17</v>
      </c>
      <c r="B9" s="293"/>
      <c r="C9" s="293"/>
      <c r="D9" s="294"/>
      <c r="E9" s="289" t="e">
        <f>'Dashboard 입력'!#REF!</f>
        <v>#REF!</v>
      </c>
      <c r="F9" s="290"/>
      <c r="G9" s="2" t="s">
        <v>18</v>
      </c>
      <c r="H9" s="295" t="e">
        <f>'Dashboard 입력'!#REF!</f>
        <v>#REF!</v>
      </c>
      <c r="I9" s="296"/>
      <c r="J9" s="297"/>
    </row>
    <row r="10" spans="1:10" ht="40" customHeight="1">
      <c r="A10" s="298" t="s">
        <v>19</v>
      </c>
      <c r="B10" s="299"/>
      <c r="C10" s="299"/>
      <c r="D10" s="300"/>
      <c r="E10" s="301" t="str">
        <f>'Dashboard 입력'!P14</f>
        <v>감전위험, 아크플래시, 케이블 노후</v>
      </c>
      <c r="F10" s="302"/>
      <c r="G10" s="302"/>
      <c r="H10" s="302"/>
      <c r="I10" s="302"/>
      <c r="J10" s="303"/>
    </row>
    <row r="11" spans="1:10" ht="40" customHeight="1">
      <c r="A11" s="312" t="s">
        <v>20</v>
      </c>
      <c r="B11" s="313"/>
      <c r="C11" s="313"/>
      <c r="D11" s="314"/>
      <c r="E11" s="289" t="str">
        <f>'Dashboard 입력'!R12</f>
        <v>절연장갑, 절연장화, 안전모, 보안경</v>
      </c>
      <c r="F11" s="291"/>
      <c r="G11" s="291"/>
      <c r="H11" s="291"/>
      <c r="I11" s="290"/>
      <c r="J11" s="310" t="s">
        <v>5978</v>
      </c>
    </row>
    <row r="12" spans="1:10" ht="40" customHeight="1">
      <c r="A12" s="312" t="s">
        <v>21</v>
      </c>
      <c r="B12" s="313"/>
      <c r="C12" s="313"/>
      <c r="D12" s="314"/>
      <c r="E12" s="289" t="str">
        <f>'Dashboard 입력'!R14</f>
        <v>스카이 등</v>
      </c>
      <c r="F12" s="291"/>
      <c r="G12" s="291"/>
      <c r="H12" s="291"/>
      <c r="I12" s="290"/>
      <c r="J12" s="311"/>
    </row>
    <row r="13" spans="1:10" ht="40" customHeight="1">
      <c r="A13" s="292" t="s">
        <v>22</v>
      </c>
      <c r="B13" s="293"/>
      <c r="C13" s="293"/>
      <c r="D13" s="294"/>
      <c r="E13" s="289" t="str">
        <f>'Dashboard 입력'!R13</f>
        <v>이동식크레인, 기타건설장비, 천공기/항타기, 리프트, 지게차</v>
      </c>
      <c r="F13" s="291"/>
      <c r="G13" s="291"/>
      <c r="H13" s="291"/>
      <c r="I13" s="290"/>
      <c r="J13" s="273"/>
    </row>
    <row r="14" spans="1:10" ht="40" customHeight="1">
      <c r="A14" s="286" t="s">
        <v>5986</v>
      </c>
      <c r="B14" s="287"/>
      <c r="C14" s="287"/>
      <c r="D14" s="288"/>
      <c r="E14" s="286" t="s">
        <v>5987</v>
      </c>
      <c r="F14" s="287" t="s">
        <v>5987</v>
      </c>
      <c r="G14" s="287"/>
      <c r="H14" s="288"/>
      <c r="I14" s="286" t="s">
        <v>5963</v>
      </c>
      <c r="J14" s="287"/>
    </row>
    <row r="15" spans="1:10" ht="40" customHeight="1">
      <c r="A15" s="315"/>
      <c r="B15" s="316"/>
      <c r="C15" s="316"/>
      <c r="D15" s="316"/>
      <c r="F15" s="315"/>
      <c r="G15" s="316"/>
      <c r="H15" s="316"/>
      <c r="I15" s="315"/>
      <c r="J15" s="316"/>
    </row>
    <row r="16" spans="1:10" ht="40" customHeight="1">
      <c r="A16" s="315"/>
      <c r="B16" s="316"/>
      <c r="C16" s="316"/>
      <c r="D16" s="316"/>
      <c r="F16" s="315"/>
      <c r="G16" s="316"/>
      <c r="H16" s="316"/>
      <c r="I16" s="315"/>
      <c r="J16" s="316"/>
    </row>
    <row r="17" spans="1:10" ht="40" customHeight="1">
      <c r="A17" s="315"/>
      <c r="B17" s="316"/>
      <c r="C17" s="316"/>
      <c r="D17" s="316"/>
      <c r="F17" s="315"/>
      <c r="G17" s="316"/>
      <c r="H17" s="316"/>
      <c r="I17" s="315"/>
      <c r="J17" s="316"/>
    </row>
    <row r="18" spans="1:10" ht="40" customHeight="1">
      <c r="A18" s="315"/>
      <c r="B18" s="316"/>
      <c r="C18" s="316"/>
      <c r="D18" s="316"/>
      <c r="F18" s="315"/>
      <c r="G18" s="316"/>
      <c r="H18" s="316"/>
      <c r="I18" s="315"/>
      <c r="J18" s="316"/>
    </row>
    <row r="19" spans="1:10" ht="40" customHeight="1">
      <c r="A19" s="315"/>
      <c r="B19" s="316"/>
      <c r="C19" s="316"/>
      <c r="D19" s="316"/>
      <c r="F19" s="315"/>
      <c r="G19" s="316"/>
      <c r="H19" s="316"/>
      <c r="I19" s="315"/>
      <c r="J19" s="316"/>
    </row>
    <row r="20" spans="1:10" ht="40" customHeight="1">
      <c r="A20" s="315"/>
      <c r="B20" s="316"/>
      <c r="C20" s="316"/>
      <c r="D20" s="316"/>
      <c r="F20" s="315"/>
      <c r="G20" s="316"/>
      <c r="H20" s="316"/>
      <c r="I20" s="315"/>
      <c r="J20" s="316"/>
    </row>
    <row r="21" spans="1:10" ht="40" customHeight="1">
      <c r="A21" s="315"/>
      <c r="B21" s="316"/>
      <c r="C21" s="316"/>
      <c r="D21" s="316"/>
      <c r="F21" s="315"/>
      <c r="G21" s="316"/>
      <c r="H21" s="316"/>
      <c r="I21" s="315"/>
      <c r="J21" s="316"/>
    </row>
    <row r="22" spans="1:10" ht="40" customHeight="1">
      <c r="A22" s="315"/>
      <c r="B22" s="316"/>
      <c r="C22" s="316"/>
      <c r="D22" s="316"/>
      <c r="F22" s="315"/>
      <c r="G22" s="316"/>
      <c r="H22" s="316"/>
      <c r="I22" s="315"/>
      <c r="J22" s="316"/>
    </row>
    <row r="23" spans="1:10" ht="40" customHeight="1">
      <c r="A23" s="315"/>
      <c r="B23" s="316"/>
      <c r="C23" s="316"/>
      <c r="D23" s="316"/>
      <c r="F23" s="315"/>
      <c r="G23" s="316"/>
      <c r="H23" s="316"/>
      <c r="I23" s="315"/>
      <c r="J23" s="316"/>
    </row>
    <row r="24" spans="1:10" ht="40" customHeight="1">
      <c r="A24" s="315"/>
      <c r="B24" s="316"/>
      <c r="C24" s="316"/>
      <c r="D24" s="316"/>
      <c r="F24" s="315"/>
      <c r="G24" s="316"/>
      <c r="H24" s="316"/>
      <c r="I24" s="315"/>
      <c r="J24" s="316"/>
    </row>
    <row r="25" spans="1:10" ht="40" customHeight="1">
      <c r="A25" s="315"/>
      <c r="B25" s="316"/>
      <c r="C25" s="316"/>
      <c r="D25" s="316"/>
      <c r="F25" s="315"/>
      <c r="G25" s="316"/>
      <c r="H25" s="316"/>
      <c r="I25" s="315"/>
      <c r="J25" s="316"/>
    </row>
    <row r="26" spans="1:10" ht="40" customHeight="1">
      <c r="A26" s="315"/>
      <c r="B26" s="316"/>
      <c r="C26" s="316"/>
      <c r="D26" s="316"/>
      <c r="F26" s="315"/>
      <c r="G26" s="316"/>
      <c r="H26" s="316"/>
      <c r="I26" s="315"/>
      <c r="J26" s="316"/>
    </row>
    <row r="27" spans="1:10" ht="40" customHeight="1">
      <c r="A27" s="315"/>
      <c r="B27" s="316"/>
      <c r="C27" s="316"/>
      <c r="D27" s="316"/>
      <c r="F27" s="315"/>
      <c r="G27" s="316"/>
      <c r="H27" s="316"/>
      <c r="I27" s="315"/>
      <c r="J27" s="316"/>
    </row>
    <row r="28" spans="1:10" ht="40" customHeight="1">
      <c r="A28" s="315"/>
      <c r="B28" s="316"/>
      <c r="C28" s="316"/>
      <c r="D28" s="316"/>
      <c r="F28" s="315"/>
      <c r="G28" s="316"/>
      <c r="H28" s="316"/>
      <c r="I28" s="315"/>
      <c r="J28" s="316"/>
    </row>
    <row r="29" spans="1:10" ht="40" customHeight="1">
      <c r="A29" s="315"/>
      <c r="B29" s="316"/>
      <c r="C29" s="316"/>
      <c r="D29" s="316"/>
      <c r="F29" s="315"/>
      <c r="G29" s="316"/>
      <c r="H29" s="316"/>
      <c r="I29" s="315"/>
      <c r="J29" s="316"/>
    </row>
    <row r="30" spans="1:10" ht="40" customHeight="1">
      <c r="A30" s="315"/>
      <c r="B30" s="316"/>
      <c r="C30" s="316"/>
      <c r="D30" s="316"/>
      <c r="F30" s="315"/>
      <c r="G30" s="316"/>
      <c r="H30" s="316"/>
      <c r="I30" s="315"/>
      <c r="J30" s="316"/>
    </row>
    <row r="31" spans="1:10" ht="40" customHeight="1">
      <c r="A31" s="315"/>
      <c r="B31" s="316"/>
      <c r="C31" s="316"/>
      <c r="D31" s="316"/>
      <c r="F31" s="315"/>
      <c r="G31" s="316"/>
      <c r="H31" s="316"/>
      <c r="I31" s="315"/>
      <c r="J31" s="316"/>
    </row>
    <row r="32" spans="1:10" ht="40" customHeight="1">
      <c r="A32" s="315"/>
      <c r="B32" s="316"/>
      <c r="C32" s="316"/>
      <c r="D32" s="316"/>
      <c r="F32" s="315"/>
      <c r="G32" s="316"/>
      <c r="H32" s="316"/>
      <c r="I32" s="315"/>
      <c r="J32" s="316"/>
    </row>
    <row r="33" spans="1:10" ht="40" customHeight="1">
      <c r="A33" s="315"/>
      <c r="B33" s="316"/>
      <c r="C33" s="316"/>
      <c r="D33" s="316"/>
      <c r="F33" s="315"/>
      <c r="G33" s="316"/>
      <c r="H33" s="316"/>
      <c r="I33" s="315"/>
      <c r="J33" s="316"/>
    </row>
    <row r="34" spans="1:10" ht="40" customHeight="1">
      <c r="A34" s="315"/>
      <c r="B34" s="316"/>
      <c r="C34" s="316"/>
      <c r="D34" s="316"/>
      <c r="F34" s="315"/>
      <c r="G34" s="316"/>
      <c r="H34" s="316"/>
      <c r="I34" s="315"/>
      <c r="J34" s="316"/>
    </row>
    <row r="35" spans="1:10" ht="40" customHeight="1">
      <c r="A35" s="315"/>
      <c r="B35" s="316"/>
      <c r="C35" s="316"/>
      <c r="D35" s="316"/>
      <c r="F35" s="315"/>
      <c r="G35" s="316"/>
      <c r="H35" s="316"/>
      <c r="I35" s="315"/>
      <c r="J35" s="316"/>
    </row>
    <row r="36" spans="1:10" ht="40" customHeight="1">
      <c r="A36" s="315"/>
      <c r="B36" s="316"/>
      <c r="C36" s="316"/>
      <c r="D36" s="316"/>
      <c r="F36" s="315"/>
      <c r="G36" s="316"/>
      <c r="H36" s="316"/>
      <c r="I36" s="315"/>
      <c r="J36" s="316"/>
    </row>
    <row r="37" spans="1:10" ht="40" customHeight="1">
      <c r="A37" s="315"/>
      <c r="B37" s="316"/>
      <c r="C37" s="316"/>
      <c r="D37" s="316"/>
      <c r="F37" s="315"/>
      <c r="G37" s="316"/>
      <c r="H37" s="316"/>
      <c r="I37" s="315"/>
      <c r="J37" s="316"/>
    </row>
    <row r="38" spans="1:10" ht="40" customHeight="1">
      <c r="A38" s="315"/>
      <c r="B38" s="316"/>
      <c r="C38" s="316"/>
      <c r="D38" s="316"/>
      <c r="F38" s="315"/>
      <c r="G38" s="316"/>
      <c r="H38" s="316"/>
      <c r="I38" s="315"/>
      <c r="J38" s="316"/>
    </row>
    <row r="39" spans="1:10" ht="40" customHeight="1">
      <c r="A39" s="315"/>
      <c r="B39" s="316"/>
      <c r="C39" s="316"/>
      <c r="D39" s="316"/>
      <c r="F39" s="315"/>
      <c r="G39" s="316"/>
      <c r="H39" s="316"/>
      <c r="I39" s="315"/>
      <c r="J39" s="316"/>
    </row>
    <row r="40" spans="1:10" ht="40" customHeight="1">
      <c r="A40" s="315"/>
      <c r="B40" s="316"/>
      <c r="C40" s="316"/>
      <c r="D40" s="316"/>
      <c r="F40" s="315"/>
      <c r="G40" s="316"/>
      <c r="H40" s="316"/>
      <c r="I40" s="315"/>
      <c r="J40" s="316"/>
    </row>
    <row r="41" spans="1:10" ht="40" customHeight="1">
      <c r="A41" s="315"/>
      <c r="B41" s="316"/>
      <c r="C41" s="316"/>
      <c r="D41" s="316"/>
      <c r="F41" s="315"/>
      <c r="G41" s="316"/>
      <c r="H41" s="316"/>
      <c r="I41" s="315"/>
      <c r="J41" s="316"/>
    </row>
    <row r="42" spans="1:10" ht="40" customHeight="1">
      <c r="A42" s="315"/>
      <c r="B42" s="316"/>
      <c r="C42" s="316"/>
      <c r="D42" s="316"/>
      <c r="F42" s="315"/>
      <c r="G42" s="316"/>
      <c r="H42" s="316"/>
      <c r="I42" s="315"/>
      <c r="J42" s="316"/>
    </row>
    <row r="43" spans="1:10" ht="40" customHeight="1">
      <c r="A43" s="315"/>
      <c r="B43" s="316"/>
      <c r="C43" s="316"/>
      <c r="D43" s="316"/>
      <c r="F43" s="315"/>
      <c r="G43" s="316"/>
      <c r="H43" s="316"/>
      <c r="I43" s="315"/>
      <c r="J43" s="316"/>
    </row>
    <row r="44" spans="1:10" ht="40" customHeight="1">
      <c r="A44" s="315"/>
      <c r="B44" s="316"/>
      <c r="C44" s="316"/>
      <c r="D44" s="316"/>
      <c r="F44" s="315"/>
      <c r="G44" s="316"/>
      <c r="H44" s="316"/>
      <c r="I44" s="315"/>
      <c r="J44" s="316"/>
    </row>
    <row r="45" spans="1:10" ht="40" customHeight="1">
      <c r="A45" s="315"/>
      <c r="B45" s="316"/>
      <c r="C45" s="316"/>
      <c r="D45" s="316"/>
      <c r="F45" s="315"/>
      <c r="G45" s="316"/>
      <c r="H45" s="316"/>
      <c r="I45" s="315"/>
      <c r="J45" s="316"/>
    </row>
    <row r="46" spans="1:10" ht="40" customHeight="1">
      <c r="A46" s="315"/>
      <c r="B46" s="316"/>
      <c r="C46" s="316"/>
      <c r="D46" s="316"/>
      <c r="F46" s="315"/>
      <c r="G46" s="316"/>
      <c r="H46" s="316"/>
      <c r="I46" s="315"/>
      <c r="J46" s="316"/>
    </row>
    <row r="47" spans="1:10" ht="40" customHeight="1">
      <c r="A47" s="315"/>
      <c r="B47" s="316"/>
      <c r="C47" s="316"/>
      <c r="D47" s="316"/>
      <c r="F47" s="315"/>
      <c r="G47" s="316"/>
      <c r="H47" s="316"/>
      <c r="I47" s="315"/>
      <c r="J47" s="316"/>
    </row>
    <row r="48" spans="1:10" ht="40" customHeight="1">
      <c r="A48" s="315"/>
      <c r="B48" s="316"/>
      <c r="C48" s="316"/>
      <c r="D48" s="316"/>
      <c r="F48" s="315"/>
      <c r="G48" s="316"/>
      <c r="H48" s="316"/>
      <c r="I48" s="315"/>
      <c r="J48" s="316"/>
    </row>
    <row r="49" spans="1:8" ht="14">
      <c r="A49" s="315"/>
      <c r="B49" s="316"/>
      <c r="C49" s="316"/>
      <c r="D49" s="316"/>
      <c r="F49" s="315"/>
      <c r="G49" s="316"/>
      <c r="H49" s="316"/>
    </row>
    <row r="50" spans="1:8" ht="14">
      <c r="A50" s="315"/>
      <c r="B50" s="316"/>
      <c r="C50" s="316"/>
      <c r="D50" s="316"/>
    </row>
  </sheetData>
  <mergeCells count="142">
    <mergeCell ref="I48:J48"/>
    <mergeCell ref="E14:H14"/>
    <mergeCell ref="I43:J43"/>
    <mergeCell ref="I44:J44"/>
    <mergeCell ref="I45:J45"/>
    <mergeCell ref="I46:J46"/>
    <mergeCell ref="I47:J47"/>
    <mergeCell ref="I38:J38"/>
    <mergeCell ref="I39:J39"/>
    <mergeCell ref="I40:J40"/>
    <mergeCell ref="I41:J41"/>
    <mergeCell ref="I42:J42"/>
    <mergeCell ref="I33:J33"/>
    <mergeCell ref="I34:J34"/>
    <mergeCell ref="I35:J35"/>
    <mergeCell ref="I36:J36"/>
    <mergeCell ref="I37:J37"/>
    <mergeCell ref="I28:J28"/>
    <mergeCell ref="I29:J29"/>
    <mergeCell ref="I30:J30"/>
    <mergeCell ref="I31:J31"/>
    <mergeCell ref="I32:J32"/>
    <mergeCell ref="F47:H47"/>
    <mergeCell ref="F48:H48"/>
    <mergeCell ref="I22:J22"/>
    <mergeCell ref="I23:J23"/>
    <mergeCell ref="I24:J24"/>
    <mergeCell ref="I25:J25"/>
    <mergeCell ref="I26:J26"/>
    <mergeCell ref="I27:J27"/>
    <mergeCell ref="F42:H42"/>
    <mergeCell ref="F43:H43"/>
    <mergeCell ref="F44:H44"/>
    <mergeCell ref="F37:H37"/>
    <mergeCell ref="F38:H38"/>
    <mergeCell ref="F39:H39"/>
    <mergeCell ref="F40:H40"/>
    <mergeCell ref="F41:H41"/>
    <mergeCell ref="F34:H34"/>
    <mergeCell ref="F35:H35"/>
    <mergeCell ref="F36:H36"/>
    <mergeCell ref="F27:H27"/>
    <mergeCell ref="F28:H28"/>
    <mergeCell ref="F29:H29"/>
    <mergeCell ref="F30:H30"/>
    <mergeCell ref="F31:H31"/>
    <mergeCell ref="F49:H49"/>
    <mergeCell ref="F17:H17"/>
    <mergeCell ref="F18:H18"/>
    <mergeCell ref="F19:H19"/>
    <mergeCell ref="F20:H20"/>
    <mergeCell ref="F21:H21"/>
    <mergeCell ref="F22:H22"/>
    <mergeCell ref="F23:H23"/>
    <mergeCell ref="F32:H32"/>
    <mergeCell ref="F33:H33"/>
    <mergeCell ref="F24:H24"/>
    <mergeCell ref="F25:H25"/>
    <mergeCell ref="F26:H26"/>
    <mergeCell ref="F45:H45"/>
    <mergeCell ref="F46:H46"/>
    <mergeCell ref="A47:D47"/>
    <mergeCell ref="A48:D48"/>
    <mergeCell ref="A49:D49"/>
    <mergeCell ref="A50:D50"/>
    <mergeCell ref="A42:D42"/>
    <mergeCell ref="A43:D43"/>
    <mergeCell ref="A44:D44"/>
    <mergeCell ref="A45:D45"/>
    <mergeCell ref="A46:D46"/>
    <mergeCell ref="A37:D37"/>
    <mergeCell ref="A38:D38"/>
    <mergeCell ref="A39:D39"/>
    <mergeCell ref="A40:D40"/>
    <mergeCell ref="A41:D41"/>
    <mergeCell ref="A32:D32"/>
    <mergeCell ref="A33:D33"/>
    <mergeCell ref="A34:D34"/>
    <mergeCell ref="A35:D35"/>
    <mergeCell ref="A36:D36"/>
    <mergeCell ref="A27:D27"/>
    <mergeCell ref="A28:D28"/>
    <mergeCell ref="A29:D29"/>
    <mergeCell ref="A30:D30"/>
    <mergeCell ref="A31:D31"/>
    <mergeCell ref="A22:D22"/>
    <mergeCell ref="A23:D23"/>
    <mergeCell ref="A24:D24"/>
    <mergeCell ref="A25:D25"/>
    <mergeCell ref="A26:D26"/>
    <mergeCell ref="F15:H15"/>
    <mergeCell ref="F16:H16"/>
    <mergeCell ref="I15:J15"/>
    <mergeCell ref="I16:J16"/>
    <mergeCell ref="A17:D17"/>
    <mergeCell ref="A18:D18"/>
    <mergeCell ref="A19:D19"/>
    <mergeCell ref="A20:D20"/>
    <mergeCell ref="A21:D21"/>
    <mergeCell ref="A15:D15"/>
    <mergeCell ref="A16:D16"/>
    <mergeCell ref="I17:J17"/>
    <mergeCell ref="I18:J18"/>
    <mergeCell ref="I19:J19"/>
    <mergeCell ref="I20:J20"/>
    <mergeCell ref="I21:J21"/>
    <mergeCell ref="A10:D10"/>
    <mergeCell ref="E10:J10"/>
    <mergeCell ref="A7:D7"/>
    <mergeCell ref="E7:F7"/>
    <mergeCell ref="H7:J7"/>
    <mergeCell ref="A8:D8"/>
    <mergeCell ref="E8:J8"/>
    <mergeCell ref="A14:D14"/>
    <mergeCell ref="I14:J14"/>
    <mergeCell ref="J11:J13"/>
    <mergeCell ref="A12:D12"/>
    <mergeCell ref="E12:I12"/>
    <mergeCell ref="A13:D13"/>
    <mergeCell ref="E13:I13"/>
    <mergeCell ref="A11:D11"/>
    <mergeCell ref="E11:I11"/>
    <mergeCell ref="A6:D6"/>
    <mergeCell ref="E6:F6"/>
    <mergeCell ref="H6:J6"/>
    <mergeCell ref="A3:D3"/>
    <mergeCell ref="E3:J3"/>
    <mergeCell ref="A4:D4"/>
    <mergeCell ref="E4:F4"/>
    <mergeCell ref="H4:J4"/>
    <mergeCell ref="A9:D9"/>
    <mergeCell ref="E9:F9"/>
    <mergeCell ref="H9:J9"/>
    <mergeCell ref="A1:A2"/>
    <mergeCell ref="D1:E1"/>
    <mergeCell ref="F1:H2"/>
    <mergeCell ref="I1:I2"/>
    <mergeCell ref="J1:J2"/>
    <mergeCell ref="D2:E2"/>
    <mergeCell ref="A5:D5"/>
    <mergeCell ref="E5:F5"/>
    <mergeCell ref="H5:J5"/>
  </mergeCells>
  <phoneticPr fontId="22" type="noConversion"/>
  <printOptions horizontalCentered="1" verticalCentered="1"/>
  <pageMargins left="0.5" right="0.5" top="0.5" bottom="0.5" header="0.3" footer="0.3"/>
  <pageSetup paperSize="9" scale="0" orientation="landscape"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H303"/>
  <sheetViews>
    <sheetView view="pageBreakPreview" topLeftCell="A18" zoomScale="75" zoomScaleNormal="100" zoomScaleSheetLayoutView="75" workbookViewId="0">
      <selection activeCell="F43" sqref="F43"/>
    </sheetView>
  </sheetViews>
  <sheetFormatPr baseColWidth="10" defaultColWidth="9" defaultRowHeight="13" outlineLevelRow="2"/>
  <cols>
    <col min="1" max="1" width="13" customWidth="1"/>
    <col min="2" max="2" width="22" customWidth="1"/>
    <col min="3" max="4" width="37" customWidth="1"/>
    <col min="5" max="7" width="10.3984375" customWidth="1"/>
    <col min="8" max="8" width="12" customWidth="1"/>
  </cols>
  <sheetData>
    <row r="1" spans="1:8" ht="75" customHeight="1">
      <c r="A1" s="317" t="s">
        <v>5985</v>
      </c>
      <c r="B1" s="318"/>
      <c r="C1" s="318"/>
      <c r="D1" s="318"/>
      <c r="E1" s="318"/>
      <c r="F1" s="318"/>
      <c r="G1" s="318"/>
      <c r="H1" s="318"/>
    </row>
    <row r="2" spans="1:8" ht="10" customHeight="1"/>
    <row r="3" spans="1:8" s="10" customFormat="1" ht="33" customHeight="1">
      <c r="A3" s="112" t="s">
        <v>23</v>
      </c>
      <c r="B3" s="112" t="s">
        <v>24</v>
      </c>
      <c r="C3" s="113" t="s">
        <v>5952</v>
      </c>
      <c r="D3" s="113" t="s">
        <v>36</v>
      </c>
      <c r="E3" s="114" t="s">
        <v>5983</v>
      </c>
      <c r="F3" s="115" t="s">
        <v>25</v>
      </c>
      <c r="G3" s="112" t="s">
        <v>26</v>
      </c>
      <c r="H3" s="117" t="s">
        <v>34</v>
      </c>
    </row>
    <row r="4" spans="1:8" ht="25" customHeight="1">
      <c r="A4" s="118" t="str">
        <f>IF('Dashboard 입력'!AB8="","",'Dashboard 입력'!AB8)</f>
        <v>1-1</v>
      </c>
      <c r="B4" s="18" t="str">
        <f>IF('Dashboard 입력'!AC8="","",'Dashboard 입력'!AC8)</f>
        <v>전원차단</v>
      </c>
      <c r="C4" s="18" t="str">
        <f>IF('Dashboard 입력'!AD8="","",'Dashboard 입력'!AD8)</f>
        <v>차단기 오조작으로 감전</v>
      </c>
      <c r="D4" s="18" t="str">
        <f>IF('Dashboard 입력'!AE8="","",'Dashboard 입력'!AE8)</f>
        <v>LOTO 절차 준수, 검전기 확인</v>
      </c>
      <c r="E4" s="118" t="str">
        <f>IF('Dashboard 입력'!AI8="", "", 'Dashboard 입력'!AI8 &amp; " (" &amp; 'Dashboard 입력'!AF8 &amp; ")")</f>
        <v>2 (2)</v>
      </c>
      <c r="F4" s="118" t="str">
        <f>IF('Dashboard 입력'!AJ8="", "", 'Dashboard 입력'!AJ8 &amp; " (" &amp; 'Dashboard 입력'!AG8 &amp; ")")</f>
        <v>1 (5)</v>
      </c>
      <c r="G4" s="118" t="e">
        <f>IF(위험성평가_입력[[#This Row],[위험성]]="","", 위험성평가_입력[[#This Row],[위험성]] &amp; " (" &amp; 위험성평가_입력[[#This Row],[위험도(전)]] &amp; ")")</f>
        <v>#VALUE!</v>
      </c>
      <c r="H4" s="18"/>
    </row>
    <row r="5" spans="1:8" ht="25" customHeight="1">
      <c r="A5" s="118" t="str">
        <f>IF('Dashboard 입력'!AB9="","",'Dashboard 입력'!AB9)</f>
        <v>1-2</v>
      </c>
      <c r="B5" s="18" t="str">
        <f>IF('Dashboard 입력'!AC9="","",'Dashboard 입력'!AC9)</f>
        <v>전원차단</v>
      </c>
      <c r="C5" s="18" t="str">
        <f>IF('Dashboard 입력'!AD9="","",'Dashboard 입력'!AD9)</f>
        <v>아크플래시 발생</v>
      </c>
      <c r="D5" s="18" t="str">
        <f>IF('Dashboard 입력'!AE9="","",'Dashboard 입력'!AE9)</f>
        <v>절연장갑 착용, 안면보호구</v>
      </c>
      <c r="E5" s="118" t="str">
        <f>IF('Dashboard 입력'!AI9="", "", 'Dashboard 입력'!AI9 &amp; " (" &amp; 'Dashboard 입력'!AF9 &amp; ")")</f>
        <v>1 (2)</v>
      </c>
      <c r="F5" s="118" t="str">
        <f>IF('Dashboard 입력'!AJ9="", "", 'Dashboard 입력'!AJ9 &amp; " (" &amp; 'Dashboard 입력'!AG9 &amp; ")")</f>
        <v>3 (4)</v>
      </c>
      <c r="G5" s="118" t="e">
        <f>IF(위험성평가_입력[[#This Row],[위험성]]="","", 위험성평가_입력[[#This Row],[위험성]] &amp; " (" &amp; 위험성평가_입력[[#This Row],[위험도(전)]] &amp; ")")</f>
        <v>#VALUE!</v>
      </c>
      <c r="H5" s="18"/>
    </row>
    <row r="6" spans="1:8" ht="25" customHeight="1">
      <c r="A6" s="118" t="str">
        <f>IF('Dashboard 입력'!AB10="","",'Dashboard 입력'!AB10)</f>
        <v>1-3</v>
      </c>
      <c r="B6" s="18" t="str">
        <f>IF('Dashboard 입력'!AC10="","",'Dashboard 입력'!AC10)</f>
        <v>전원차단</v>
      </c>
      <c r="C6" s="18" t="str">
        <f>IF('Dashboard 입력'!AD10="","",'Dashboard 입력'!AD10)</f>
        <v>잔류전압에 의한 감전</v>
      </c>
      <c r="D6" s="18" t="str">
        <f>IF('Dashboard 입력'!AE10="","",'Dashboard 입력'!AE10)</f>
        <v>콘덴서 방전 후 작업 시작</v>
      </c>
      <c r="E6" s="118" t="str">
        <f>IF('Dashboard 입력'!AI10="", "", 'Dashboard 입력'!AI10 &amp; " (" &amp; 'Dashboard 입력'!AF10 &amp; ")")</f>
        <v>2 (3)</v>
      </c>
      <c r="F6" s="118" t="str">
        <f>IF('Dashboard 입력'!AJ10="", "", 'Dashboard 입력'!AJ10 &amp; " (" &amp; 'Dashboard 입력'!AG10 &amp; ")")</f>
        <v>1 (5)</v>
      </c>
      <c r="G6" s="118" t="e">
        <f>IF(위험성평가_입력[[#This Row],[위험성]]="","", 위험성평가_입력[[#This Row],[위험성]] &amp; " (" &amp; 위험성평가_입력[[#This Row],[위험도(전)]] &amp; ")")</f>
        <v>#VALUE!</v>
      </c>
      <c r="H6" s="18"/>
    </row>
    <row r="7" spans="1:8" ht="25" customHeight="1">
      <c r="A7" s="118" t="str">
        <f>IF('Dashboard 입력'!AB11="","",'Dashboard 입력'!AB11)</f>
        <v>2-1</v>
      </c>
      <c r="B7" s="18" t="str">
        <f>IF('Dashboard 입력'!AC11="","",'Dashboard 입력'!AC11)</f>
        <v>배전반 해체</v>
      </c>
      <c r="C7" s="18" t="str">
        <f>IF('Dashboard 입력'!AD11="","",'Dashboard 입력'!AD11)</f>
        <v>볼트 풀림 시 날카로운 모서리에 절상</v>
      </c>
      <c r="D7" s="18" t="str">
        <f>IF('Dashboard 입력'!AE11="","",'Dashboard 입력'!AE11)</f>
        <v>절연장갑 및 안전장갑 착용</v>
      </c>
      <c r="E7" s="118" t="str">
        <f>IF('Dashboard 입력'!AI11="", "", 'Dashboard 입력'!AI11 &amp; " (" &amp; 'Dashboard 입력'!AF11 &amp; ")")</f>
        <v>1 (3)</v>
      </c>
      <c r="F7" s="118" t="str">
        <f>IF('Dashboard 입력'!AJ11="", "", 'Dashboard 입력'!AJ11 &amp; " (" &amp; 'Dashboard 입력'!AG11 &amp; ")")</f>
        <v>3 (2)</v>
      </c>
      <c r="G7" s="118" t="e">
        <f>IF(위험성평가_입력[[#This Row],[위험성]]="","", 위험성평가_입력[[#This Row],[위험성]] &amp; " (" &amp; 위험성평가_입력[[#This Row],[위험도(전)]] &amp; ")")</f>
        <v>#VALUE!</v>
      </c>
      <c r="H7" s="18"/>
    </row>
    <row r="8" spans="1:8" ht="25" customHeight="1">
      <c r="A8" s="118" t="str">
        <f>IF('Dashboard 입력'!AB12="","",'Dashboard 입력'!AB12)</f>
        <v>2-2</v>
      </c>
      <c r="B8" s="18" t="str">
        <f>IF('Dashboard 입력'!AC12="","",'Dashboard 입력'!AC12)</f>
        <v>배전반 해체</v>
      </c>
      <c r="C8" s="18" t="str">
        <f>IF('Dashboard 입력'!AD12="","",'Dashboard 입력'!AD12)</f>
        <v>배전반 넘어짐으로 충돌</v>
      </c>
      <c r="D8" s="18" t="str">
        <f>IF('Dashboard 입력'!AE12="","",'Dashboard 입력'!AE12)</f>
        <v>작업반경 정리정돈, 바닥 전선 정리</v>
      </c>
      <c r="E8" s="118" t="str">
        <f>IF('Dashboard 입력'!AI12="", "", 'Dashboard 입력'!AI12 &amp; " (" &amp; 'Dashboard 입력'!AF12 &amp; ")")</f>
        <v>2 (2)</v>
      </c>
      <c r="F8" s="118" t="str">
        <f>IF('Dashboard 입력'!AJ12="", "", 'Dashboard 입력'!AJ12 &amp; " (" &amp; 'Dashboard 입력'!AG12 &amp; ")")</f>
        <v>1 (3)</v>
      </c>
      <c r="G8" s="118" t="str">
        <f>IF(위험성평가_입력[[#This Row],[위험성]]="","", 위험성평가_입력[[#This Row],[위험성]] &amp; " (" &amp; 위험성평가_입력[[#This Row],[위험도(전)]] &amp; ")")</f>
        <v>2 (10)</v>
      </c>
      <c r="H8" s="18"/>
    </row>
    <row r="9" spans="1:8" ht="25" customHeight="1">
      <c r="A9" s="118" t="str">
        <f>IF('Dashboard 입력'!AB13="","",'Dashboard 입력'!AB13)</f>
        <v>2-3</v>
      </c>
      <c r="B9" s="18" t="str">
        <f>IF('Dashboard 입력'!AC13="","",'Dashboard 입력'!AC13)</f>
        <v>배전반 해체</v>
      </c>
      <c r="C9" s="18" t="str">
        <f>IF('Dashboard 입력'!AD13="","",'Dashboard 입력'!AD13)</f>
        <v>부품 낙하로 인한 부상</v>
      </c>
      <c r="D9" s="18" t="str">
        <f>IF('Dashboard 입력'!AE13="","",'Dashboard 입력'!AE13)</f>
        <v>헬멧 착용, 낙하방지망 설치</v>
      </c>
      <c r="E9" s="118" t="str">
        <f>IF('Dashboard 입력'!AI13="", "", 'Dashboard 입력'!AI13 &amp; " (" &amp; 'Dashboard 입력'!AF13 &amp; ")")</f>
        <v>1 (2)</v>
      </c>
      <c r="F9" s="118" t="str">
        <f>IF('Dashboard 입력'!AJ13="", "", 'Dashboard 입력'!AJ13 &amp; " (" &amp; 'Dashboard 입력'!AG13 &amp; ")")</f>
        <v>3 (3)</v>
      </c>
      <c r="G9" s="118" t="str">
        <f>IF(위험성평가_입력[[#This Row],[위험성]]="","", 위험성평가_입력[[#This Row],[위험성]] &amp; " (" &amp; 위험성평가_입력[[#This Row],[위험도(전)]] &amp; ")")</f>
        <v>3 (8)</v>
      </c>
      <c r="H9" s="18"/>
    </row>
    <row r="10" spans="1:8" ht="25" customHeight="1">
      <c r="A10" s="118" t="str">
        <f>IF('Dashboard 입력'!AB14="","",'Dashboard 입력'!AB14)</f>
        <v>3-1</v>
      </c>
      <c r="B10" s="18" t="str">
        <f>IF('Dashboard 입력'!AC14="","",'Dashboard 입력'!AC14)</f>
        <v>케이블 정비</v>
      </c>
      <c r="C10" s="18" t="str">
        <f>IF('Dashboard 입력'!AD14="","",'Dashboard 입력'!AD14)</f>
        <v>피복손상으로 감전</v>
      </c>
      <c r="D10" s="18" t="str">
        <f>IF('Dashboard 입력'!AE14="","",'Dashboard 입력'!AE14)</f>
        <v>절연저항 측정 후 작업</v>
      </c>
      <c r="E10" s="118" t="str">
        <f>IF('Dashboard 입력'!AI14="", "", 'Dashboard 입력'!AI14 &amp; " (" &amp; 'Dashboard 입력'!AF14 &amp; ")")</f>
        <v>2 (3)</v>
      </c>
      <c r="F10" s="118" t="str">
        <f>IF('Dashboard 입력'!AJ14="", "", 'Dashboard 입력'!AJ14 &amp; " (" &amp; 'Dashboard 입력'!AG14 &amp; ")")</f>
        <v>1 (4)</v>
      </c>
      <c r="G10" s="118" t="str">
        <f>IF(위험성평가_입력[[#This Row],[위험성]]="","", 위험성평가_입력[[#This Row],[위험성]] &amp; " (" &amp; 위험성평가_입력[[#This Row],[위험도(전)]] &amp; ")")</f>
        <v>2 (15)</v>
      </c>
      <c r="H10" s="18"/>
    </row>
    <row r="11" spans="1:8" ht="25" customHeight="1">
      <c r="A11" s="118" t="str">
        <f>IF('Dashboard 입력'!AB15="","",'Dashboard 입력'!AB15)</f>
        <v>3-2</v>
      </c>
      <c r="B11" s="18" t="str">
        <f>IF('Dashboard 입력'!AC15="","",'Dashboard 입력'!AC15)</f>
        <v>케이블 정비</v>
      </c>
      <c r="C11" s="18" t="str">
        <f>IF('Dashboard 입력'!AD15="","",'Dashboard 입력'!AD15)</f>
        <v>케이블 단선 처리 시 천공</v>
      </c>
      <c r="D11" s="18" t="str">
        <f>IF('Dashboard 입력'!AE15="","",'Dashboard 입력'!AE15)</f>
        <v>단선 케이블 처리함 사용, 분리 보관</v>
      </c>
      <c r="E11" s="118" t="str">
        <f>IF('Dashboard 입력'!AI15="", "", 'Dashboard 입력'!AI15 &amp; " (" &amp; 'Dashboard 입력'!AF15 &amp; ")")</f>
        <v>1 (2)</v>
      </c>
      <c r="F11" s="118" t="str">
        <f>IF('Dashboard 입력'!AJ15="", "", 'Dashboard 입력'!AJ15 &amp; " (" &amp; 'Dashboard 입력'!AG15 &amp; ")")</f>
        <v>3 (2)</v>
      </c>
      <c r="G11" s="118" t="str">
        <f>IF(위험성평가_입력[[#This Row],[위험성]]="","", 위험성평가_입력[[#This Row],[위험성]] &amp; " (" &amp; 위험성평가_입력[[#This Row],[위험도(전)]] &amp; ")")</f>
        <v>3 (6)</v>
      </c>
      <c r="H11" s="18"/>
    </row>
    <row r="12" spans="1:8" ht="25" customHeight="1">
      <c r="A12" s="118" t="str">
        <f>IF('Dashboard 입력'!AB16="","",'Dashboard 입력'!AB16)</f>
        <v>3-3</v>
      </c>
      <c r="B12" s="18" t="str">
        <f>IF('Dashboard 입력'!AC16="","",'Dashboard 입력'!AC16)</f>
        <v>케이블 정비</v>
      </c>
      <c r="C12" s="18" t="str">
        <f>IF('Dashboard 입력'!AD16="","",'Dashboard 입력'!AD16)</f>
        <v>케이블 트레이 날카로운 부분에 절상</v>
      </c>
      <c r="D12" s="18" t="str">
        <f>IF('Dashboard 입력'!AE16="","",'Dashboard 입력'!AE16)</f>
        <v>안전장갑 착용, 날카로운 부분 테이핑</v>
      </c>
      <c r="E12" s="118" t="str">
        <f>IF('Dashboard 입력'!AI16="", "", 'Dashboard 입력'!AI16 &amp; " (" &amp; 'Dashboard 입력'!AF16 &amp; ")")</f>
        <v>2 (3)</v>
      </c>
      <c r="F12" s="118" t="str">
        <f>IF('Dashboard 입력'!AJ16="", "", 'Dashboard 입력'!AJ16 &amp; " (" &amp; 'Dashboard 입력'!AG16 &amp; ")")</f>
        <v>1 (2)</v>
      </c>
      <c r="G12" s="118" t="str">
        <f>IF(위험성평가_입력[[#This Row],[위험성]]="","", 위험성평가_입력[[#This Row],[위험성]] &amp; " (" &amp; 위험성평가_입력[[#This Row],[위험도(전)]] &amp; ")")</f>
        <v>2 (6)</v>
      </c>
      <c r="H12" s="18"/>
    </row>
    <row r="13" spans="1:8" ht="25" customHeight="1">
      <c r="A13" s="118" t="str">
        <f>IF('Dashboard 입력'!AB17="","",'Dashboard 입력'!AB17)</f>
        <v>4-1</v>
      </c>
      <c r="B13" s="18" t="str">
        <f>IF('Dashboard 입력'!AC17="","",'Dashboard 입력'!AC17)</f>
        <v>접지 점검</v>
      </c>
      <c r="C13" s="18" t="str">
        <f>IF('Dashboard 입력'!AD17="","",'Dashboard 입력'!AD17)</f>
        <v>접지저항 미확보로 감전 위험</v>
      </c>
      <c r="D13" s="18" t="str">
        <f>IF('Dashboard 입력'!AE17="","",'Dashboard 입력'!AE17)</f>
        <v>접지측정기로 저항값 확인 후 작업</v>
      </c>
      <c r="E13" s="118" t="str">
        <f>IF('Dashboard 입력'!AI17="", "", 'Dashboard 입력'!AI17 &amp; " (" &amp; 'Dashboard 입력'!AF17 &amp; ")")</f>
        <v>1 (3)</v>
      </c>
      <c r="F13" s="118" t="str">
        <f>IF('Dashboard 입력'!AJ17="", "", 'Dashboard 입력'!AJ17 &amp; " (" &amp; 'Dashboard 입력'!AG17 &amp; ")")</f>
        <v>3 (5)</v>
      </c>
      <c r="G13" s="118" t="str">
        <f>IF(위험성평가_입력[[#This Row],[위험성]]="","", 위험성평가_입력[[#This Row],[위험성]] &amp; " (" &amp; 위험성평가_입력[[#This Row],[위험도(전)]] &amp; ")")</f>
        <v>3 (6)</v>
      </c>
      <c r="H13" s="18"/>
    </row>
    <row r="14" spans="1:8" ht="25" customHeight="1">
      <c r="A14" s="118" t="str">
        <f>IF('Dashboard 입력'!AB18="","",'Dashboard 입력'!AB18)</f>
        <v>4-2</v>
      </c>
      <c r="B14" s="18" t="str">
        <f>IF('Dashboard 입력'!AC18="","",'Dashboard 입력'!AC18)</f>
        <v>접지 점검</v>
      </c>
      <c r="C14" s="18" t="str">
        <f>IF('Dashboard 입력'!AD18="","",'Dashboard 입력'!AD18)</f>
        <v>접지선 풀림으로 감전</v>
      </c>
      <c r="D14" s="18" t="str">
        <f>IF('Dashboard 입력'!AE18="","",'Dashboard 입력'!AE18)</f>
        <v>접지선 체결 상태 사전 확인</v>
      </c>
      <c r="E14" s="118" t="str">
        <f>IF('Dashboard 입력'!AI18="", "", 'Dashboard 입력'!AI18 &amp; " (" &amp; 'Dashboard 입력'!AF18 &amp; ")")</f>
        <v>2 (2)</v>
      </c>
      <c r="F14" s="118" t="str">
        <f>IF('Dashboard 입력'!AJ18="", "", 'Dashboard 입력'!AJ18 &amp; " (" &amp; 'Dashboard 입력'!AG18 &amp; ")")</f>
        <v>1 (5)</v>
      </c>
      <c r="G14" s="118" t="str">
        <f>IF(위험성평가_입력[[#This Row],[위험성]]="","", 위험성평가_입력[[#This Row],[위험성]] &amp; " (" &amp; 위험성평가_입력[[#This Row],[위험도(전)]] &amp; ")")</f>
        <v>2 (12)</v>
      </c>
      <c r="H14" s="18"/>
    </row>
    <row r="15" spans="1:8" ht="25" customHeight="1" outlineLevel="1">
      <c r="A15" s="118" t="str">
        <f>IF('Dashboard 입력'!AB19="","",'Dashboard 입력'!AB19)</f>
        <v>4-3</v>
      </c>
      <c r="B15" s="18" t="str">
        <f>IF('Dashboard 입력'!AC19="","",'Dashboard 입력'!AC19)</f>
        <v>접지 점검</v>
      </c>
      <c r="C15" s="18" t="str">
        <f>IF('Dashboard 입력'!AD19="","",'Dashboard 입력'!AD19)</f>
        <v>측정기 리드선 접촉 불량</v>
      </c>
      <c r="D15" s="18" t="str">
        <f>IF('Dashboard 입력'!AE19="","",'Dashboard 입력'!AE19)</f>
        <v>측정기 교정 확인, 리드선 상태 점검</v>
      </c>
      <c r="E15" s="118" t="str">
        <f>IF('Dashboard 입력'!AI19="", "", 'Dashboard 입력'!AI19 &amp; " (" &amp; 'Dashboard 입력'!AF19 &amp; ")")</f>
        <v>1 (2)</v>
      </c>
      <c r="F15" s="118" t="str">
        <f>IF('Dashboard 입력'!AJ19="", "", 'Dashboard 입력'!AJ19 &amp; " (" &amp; 'Dashboard 입력'!AG19 &amp; ")")</f>
        <v>3 (3)</v>
      </c>
      <c r="G15" s="118" t="str">
        <f>IF(위험성평가_입력[[#This Row],[위험성]]="","", 위험성평가_입력[[#This Row],[위험성]] &amp; " (" &amp; 위험성평가_입력[[#This Row],[위험도(전)]] &amp; ")")</f>
        <v>3 (4)</v>
      </c>
      <c r="H15" s="18"/>
    </row>
    <row r="16" spans="1:8" ht="25" customHeight="1" outlineLevel="1">
      <c r="A16" s="118" t="str">
        <f>IF('Dashboard 입력'!AB20="","",'Dashboard 입력'!AB20)</f>
        <v>5-1</v>
      </c>
      <c r="B16" s="18" t="str">
        <f>IF('Dashboard 입력'!AC20="","",'Dashboard 입력'!AC20)</f>
        <v>새 배전반 설치</v>
      </c>
      <c r="C16" s="18" t="str">
        <f>IF('Dashboard 입력'!AD20="","",'Dashboard 입력'!AD20)</f>
        <v>무거운 배전반 운반 중 근골격계 질환</v>
      </c>
      <c r="D16" s="18" t="str">
        <f>IF('Dashboard 입력'!AE20="","",'Dashboard 입력'!AE20)</f>
        <v>운반기구 사용, 2인 1조 작업</v>
      </c>
      <c r="E16" s="118" t="str">
        <f>IF('Dashboard 입력'!AI20="", "", 'Dashboard 입력'!AI20 &amp; " (" &amp; 'Dashboard 입력'!AF20 &amp; ")")</f>
        <v>2 (3)</v>
      </c>
      <c r="F16" s="118" t="str">
        <f>IF('Dashboard 입력'!AJ20="", "", 'Dashboard 입력'!AJ20 &amp; " (" &amp; 'Dashboard 입력'!AG20 &amp; ")")</f>
        <v>1 (3)</v>
      </c>
      <c r="G16" s="118" t="str">
        <f>IF(위험성평가_입력[[#This Row],[위험성]]="","", 위험성평가_입력[[#This Row],[위험성]] &amp; " (" &amp; 위험성평가_입력[[#This Row],[위험도(전)]] &amp; ")")</f>
        <v>2 (6)</v>
      </c>
      <c r="H16" s="18"/>
    </row>
    <row r="17" spans="1:8" ht="25" customHeight="1" outlineLevel="1">
      <c r="A17" s="118" t="str">
        <f>IF('Dashboard 입력'!AB21="","",'Dashboard 입력'!AB21)</f>
        <v>5-2</v>
      </c>
      <c r="B17" s="18" t="str">
        <f>IF('Dashboard 입력'!AC21="","",'Dashboard 입력'!AC21)</f>
        <v>새 배전반 설치</v>
      </c>
      <c r="C17" s="18" t="str">
        <f>IF('Dashboard 입력'!AD21="","",'Dashboard 입력'!AD21)</f>
        <v>설치 위치 조정 시 끼임 위험</v>
      </c>
      <c r="D17" s="18" t="str">
        <f>IF('Dashboard 입력'!AE21="","",'Dashboard 입력'!AE21)</f>
        <v>안전간격 확보, 끼임방지 커버 설치</v>
      </c>
      <c r="E17" s="118" t="str">
        <f>IF('Dashboard 입력'!AI21="", "", 'Dashboard 입력'!AI21 &amp; " (" &amp; 'Dashboard 입력'!AF21 &amp; ")")</f>
        <v>1 (2)</v>
      </c>
      <c r="F17" s="118" t="str">
        <f>IF('Dashboard 입력'!AJ21="", "", 'Dashboard 입력'!AJ21 &amp; " (" &amp; 'Dashboard 입력'!AG21 &amp; ")")</f>
        <v>3 (4)</v>
      </c>
      <c r="G17" s="118" t="str">
        <f>IF(위험성평가_입력[[#This Row],[위험성]]="","", 위험성평가_입력[[#This Row],[위험성]] &amp; " (" &amp; 위험성평가_입력[[#This Row],[위험도(전)]] &amp; ")")</f>
        <v>3 (15)</v>
      </c>
      <c r="H17" s="18"/>
    </row>
    <row r="18" spans="1:8" ht="25" customHeight="1" outlineLevel="1">
      <c r="A18" s="118" t="str">
        <f>IF('Dashboard 입력'!AB22="","",'Dashboard 입력'!AB22)</f>
        <v>5-3</v>
      </c>
      <c r="B18" s="18" t="str">
        <f>IF('Dashboard 입력'!AC22="","",'Dashboard 입력'!AC22)</f>
        <v>새 배전반 설치</v>
      </c>
      <c r="C18" s="18" t="str">
        <f>IF('Dashboard 입력'!AD22="","",'Dashboard 입력'!AD22)</f>
        <v>배전반 고정 볼트 체결 시 소음</v>
      </c>
      <c r="D18" s="18" t="str">
        <f>IF('Dashboard 입력'!AE22="","",'Dashboard 입력'!AE22)</f>
        <v>귀마개 착용</v>
      </c>
      <c r="E18" s="118" t="str">
        <f>IF('Dashboard 입력'!AI22="", "", 'Dashboard 입력'!AI22 &amp; " (" &amp; 'Dashboard 입력'!AF22 &amp; ")")</f>
        <v>2 (4)</v>
      </c>
      <c r="F18" s="118" t="str">
        <f>IF('Dashboard 입력'!AJ22="", "", 'Dashboard 입력'!AJ22 &amp; " (" &amp; 'Dashboard 입력'!AG22 &amp; ")")</f>
        <v>1 (1)</v>
      </c>
      <c r="G18" s="118" t="str">
        <f>IF(위험성평가_입력[[#This Row],[위험성]]="","", 위험성평가_입력[[#This Row],[위험성]] &amp; " (" &amp; 위험성평가_입력[[#This Row],[위험도(전)]] &amp; ")")</f>
        <v>2 (10)</v>
      </c>
      <c r="H18" s="18"/>
    </row>
    <row r="19" spans="1:8" ht="25" customHeight="1" outlineLevel="1">
      <c r="A19" s="118" t="str">
        <f>IF('Dashboard 입력'!AB23="","",'Dashboard 입력'!AB23)</f>
        <v>6-1</v>
      </c>
      <c r="B19" s="18" t="str">
        <f>IF('Dashboard 입력'!AC23="","",'Dashboard 입력'!AC23)</f>
        <v>케이블 결선</v>
      </c>
      <c r="C19" s="18" t="str">
        <f>IF('Dashboard 입력'!AD23="","",'Dashboard 입력'!AD23)</f>
        <v>케이블 피복에 의한 감전</v>
      </c>
      <c r="D19" s="18" t="str">
        <f>IF('Dashboard 입력'!AE23="","",'Dashboard 입력'!AE23)</f>
        <v>절연저항 측정 완료 후 결선</v>
      </c>
      <c r="E19" s="118" t="str">
        <f>IF('Dashboard 입력'!AI23="", "", 'Dashboard 입력'!AI23 &amp; " (" &amp; 'Dashboard 입력'!AF23 &amp; ")")</f>
        <v>1 (2)</v>
      </c>
      <c r="F19" s="118" t="str">
        <f>IF('Dashboard 입력'!AJ23="", "", 'Dashboard 입력'!AJ23 &amp; " (" &amp; 'Dashboard 입력'!AG23 &amp; ")")</f>
        <v>3 (5)</v>
      </c>
      <c r="G19" s="118" t="str">
        <f>IF(위험성평가_입력[[#This Row],[위험성]]="","", 위험성평가_입력[[#This Row],[위험성]] &amp; " (" &amp; 위험성평가_입력[[#This Row],[위험도(전)]] &amp; ")")</f>
        <v>3 (6)</v>
      </c>
      <c r="H19" s="18"/>
    </row>
    <row r="20" spans="1:8" ht="25" customHeight="1" outlineLevel="1">
      <c r="A20" s="118" t="str">
        <f>IF('Dashboard 입력'!AB24="","",'Dashboard 입력'!AB24)</f>
        <v>6-2</v>
      </c>
      <c r="B20" s="18" t="str">
        <f>IF('Dashboard 입력'!AC24="","",'Dashboard 입력'!AC24)</f>
        <v>케이블 결선</v>
      </c>
      <c r="C20" s="18" t="str">
        <f>IF('Dashboard 입력'!AD24="","",'Dashboard 입력'!AD24)</f>
        <v>케이블 과부하로 화재 위험</v>
      </c>
      <c r="D20" s="18" t="str">
        <f>IF('Dashboard 입력'!AE24="","",'Dashboard 입력'!AE24)</f>
        <v>케이블 용량 계산 후 적정 규격 사용</v>
      </c>
      <c r="E20" s="118" t="str">
        <f>IF('Dashboard 입력'!AI24="", "", 'Dashboard 입력'!AI24 &amp; " (" &amp; 'Dashboard 입력'!AF24 &amp; ")")</f>
        <v>2 (2)</v>
      </c>
      <c r="F20" s="118" t="str">
        <f>IF('Dashboard 입력'!AJ24="", "", 'Dashboard 입력'!AJ24 &amp; " (" &amp; 'Dashboard 입력'!AG24 &amp; ")")</f>
        <v>1 (5)</v>
      </c>
      <c r="G20" s="118" t="str">
        <f>IF(위험성평가_입력[[#This Row],[위험성]]="","", 위험성평가_입력[[#This Row],[위험성]] &amp; " (" &amp; 위험성평가_입력[[#This Row],[위험도(전)]] &amp; ")")</f>
        <v>2 (9)</v>
      </c>
      <c r="H20" s="18"/>
    </row>
    <row r="21" spans="1:8" ht="25" customHeight="1" outlineLevel="1">
      <c r="A21" s="118" t="str">
        <f>IF('Dashboard 입력'!AB25="","",'Dashboard 입력'!AB25)</f>
        <v>6-3</v>
      </c>
      <c r="B21" s="18" t="str">
        <f>IF('Dashboard 입력'!AC25="","",'Dashboard 입력'!AC25)</f>
        <v>케이블 결선</v>
      </c>
      <c r="C21" s="18" t="str">
        <f>IF('Dashboard 입력'!AD25="","",'Dashboard 입력'!AD25)</f>
        <v>결선 단자 조임 불량으로 발열</v>
      </c>
      <c r="D21" s="18" t="str">
        <f>IF('Dashboard 입력'!AE25="","",'Dashboard 입력'!AE25)</f>
        <v>토크 렌치로 규정 체결력 확인</v>
      </c>
      <c r="E21" s="118" t="str">
        <f>IF('Dashboard 입력'!AI25="", "", 'Dashboard 입력'!AI25 &amp; " (" &amp; 'Dashboard 입력'!AF25 &amp; ")")</f>
        <v>1 (3)</v>
      </c>
      <c r="F21" s="118" t="str">
        <f>IF('Dashboard 입력'!AJ25="", "", 'Dashboard 입력'!AJ25 &amp; " (" &amp; 'Dashboard 입력'!AG25 &amp; ")")</f>
        <v>3 (4)</v>
      </c>
      <c r="G21" s="118" t="str">
        <f>IF(위험성평가_입력[[#This Row],[위험성]]="","", 위험성평가_입력[[#This Row],[위험성]] &amp; " (" &amp; 위험성평가_입력[[#This Row],[위험도(전)]] &amp; ")")</f>
        <v>3 (8)</v>
      </c>
      <c r="H21" s="18"/>
    </row>
    <row r="22" spans="1:8" ht="25" customHeight="1" outlineLevel="1">
      <c r="A22" s="118" t="str">
        <f>IF('Dashboard 입력'!AB26="","",'Dashboard 입력'!AB26)</f>
        <v>7-1</v>
      </c>
      <c r="B22" s="18" t="str">
        <f>IF('Dashboard 입력'!AC26="","",'Dashboard 입력'!AC26)</f>
        <v>시운전 및 점검</v>
      </c>
      <c r="C22" s="18" t="str">
        <f>IF('Dashboard 입력'!AD26="","",'Dashboard 입력'!AD26)</f>
        <v>전원 투입 시 아크플래시</v>
      </c>
      <c r="D22" s="18" t="str">
        <f>IF('Dashboard 입력'!AE26="","",'Dashboard 입력'!AE26)</f>
        <v>안면보호구 착용, 안전거리 확보</v>
      </c>
      <c r="E22" s="118" t="str">
        <f>IF('Dashboard 입력'!AI26="", "", 'Dashboard 입력'!AI26 &amp; " (" &amp; 'Dashboard 입력'!AF26 &amp; ")")</f>
        <v>2 (3)</v>
      </c>
      <c r="F22" s="118" t="str">
        <f>IF('Dashboard 입력'!AJ26="", "", 'Dashboard 입력'!AJ26 &amp; " (" &amp; 'Dashboard 입력'!AG26 &amp; ")")</f>
        <v>1 (5)</v>
      </c>
      <c r="G22" s="118" t="str">
        <f>IF(위험성평가_입력[[#This Row],[위험성]]="","", 위험성평가_입력[[#This Row],[위험성]] &amp; " (" &amp; 위험성평가_입력[[#This Row],[위험도(전)]] &amp; ")")</f>
        <v>2 (4)</v>
      </c>
      <c r="H22" s="18"/>
    </row>
    <row r="23" spans="1:8" ht="25" customHeight="1" outlineLevel="1">
      <c r="A23" s="118" t="str">
        <f>IF('Dashboard 입력'!AB27="","",'Dashboard 입력'!AB27)</f>
        <v>7-2</v>
      </c>
      <c r="B23" s="18" t="str">
        <f>IF('Dashboard 입력'!AC27="","",'Dashboard 입력'!AC27)</f>
        <v>시운전 및 점검</v>
      </c>
      <c r="C23" s="18" t="str">
        <f>IF('Dashboard 입력'!AD27="","",'Dashboard 입력'!AD27)</f>
        <v>보호장치 미작동으로 사고</v>
      </c>
      <c r="D23" s="18" t="str">
        <f>IF('Dashboard 입력'!AE27="","",'Dashboard 입력'!AE27)</f>
        <v>보호장치 동작 시험 완료 후 전원 투입</v>
      </c>
      <c r="E23" s="118" t="str">
        <f>IF('Dashboard 입력'!AI27="", "", 'Dashboard 입력'!AI27 &amp; " (" &amp; 'Dashboard 입력'!AF27 &amp; ")")</f>
        <v>2 (2)</v>
      </c>
      <c r="F23" s="118" t="str">
        <f>IF('Dashboard 입력'!AJ27="", "", 'Dashboard 입력'!AJ27 &amp; " (" &amp; 'Dashboard 입력'!AG27 &amp; ")")</f>
        <v>1 (5)</v>
      </c>
      <c r="G23" s="118" t="str">
        <f>IF(위험성평가_입력[[#This Row],[위험성]]="","", 위험성평가_입력[[#This Row],[위험성]] &amp; " (" &amp; 위험성평가_입력[[#This Row],[위험도(전)]] &amp; ")")</f>
        <v>3 (10)</v>
      </c>
      <c r="H23" s="18"/>
    </row>
    <row r="24" spans="1:8" ht="25" customHeight="1" outlineLevel="2">
      <c r="A24" s="118" t="str">
        <f>IF('Dashboard 입력'!AB28="","",'Dashboard 입력'!AB28)</f>
        <v>1-1</v>
      </c>
      <c r="B24" s="18" t="str">
        <f>IF('Dashboard 입력'!AC28="","",'Dashboard 입력'!AC28)</f>
        <v>전원차단</v>
      </c>
      <c r="C24" s="18" t="str">
        <f>IF('Dashboard 입력'!AD28="","",'Dashboard 입력'!AD28)</f>
        <v>차단기 오조작으로 감전</v>
      </c>
      <c r="D24" s="18" t="str">
        <f>IF('Dashboard 입력'!AE28="","",'Dashboard 입력'!AE28)</f>
        <v>LOTO 절차 준수, 검전기 확인</v>
      </c>
      <c r="E24" s="118" t="str">
        <f>IF('Dashboard 입력'!AI28="", "", 'Dashboard 입력'!AI28 &amp; " (" &amp; 'Dashboard 입력'!AF28 &amp; ")")</f>
        <v>2 (2)</v>
      </c>
      <c r="F24" s="118" t="str">
        <f>IF('Dashboard 입력'!AJ28="", "", 'Dashboard 입력'!AJ28 &amp; " (" &amp; 'Dashboard 입력'!AG28 &amp; ")")</f>
        <v>1 (5)</v>
      </c>
      <c r="G24" s="118" t="str">
        <f>IF(위험성평가_입력[[#This Row],[위험성]]="","", 위험성평가_입력[[#This Row],[위험성]] &amp; " (" &amp; 위험성평가_입력[[#This Row],[위험도(전)]] &amp; ")")</f>
        <v>2 (10)</v>
      </c>
      <c r="H24" s="18"/>
    </row>
    <row r="25" spans="1:8" ht="25" customHeight="1" outlineLevel="2">
      <c r="A25" s="118" t="str">
        <f>IF('Dashboard 입력'!AB29="","",'Dashboard 입력'!AB29)</f>
        <v>1-2</v>
      </c>
      <c r="B25" s="18" t="str">
        <f>IF('Dashboard 입력'!AC29="","",'Dashboard 입력'!AC29)</f>
        <v>전원차단</v>
      </c>
      <c r="C25" s="18" t="str">
        <f>IF('Dashboard 입력'!AD29="","",'Dashboard 입력'!AD29)</f>
        <v>아크플래시 발생</v>
      </c>
      <c r="D25" s="18" t="str">
        <f>IF('Dashboard 입력'!AE29="","",'Dashboard 입력'!AE29)</f>
        <v>절연장갑 착용, 안면보호구</v>
      </c>
      <c r="E25" s="118" t="str">
        <f>IF('Dashboard 입력'!AI29="", "", 'Dashboard 입력'!AI29 &amp; " (" &amp; 'Dashboard 입력'!AF29 &amp; ")")</f>
        <v>1 (2)</v>
      </c>
      <c r="F25" s="118" t="str">
        <f>IF('Dashboard 입력'!AJ29="", "", 'Dashboard 입력'!AJ29 &amp; " (" &amp; 'Dashboard 입력'!AG29 &amp; ")")</f>
        <v>3 (4)</v>
      </c>
      <c r="G25" s="118" t="str">
        <f>IF(위험성평가_입력[[#This Row],[위험성]]="","", 위험성평가_입력[[#This Row],[위험성]] &amp; " (" &amp; 위험성평가_입력[[#This Row],[위험도(전)]] &amp; ")")</f>
        <v>3 (12)</v>
      </c>
      <c r="H25" s="18"/>
    </row>
    <row r="26" spans="1:8" ht="25" customHeight="1" outlineLevel="2">
      <c r="A26" s="118" t="str">
        <f>IF('Dashboard 입력'!AB30="","",'Dashboard 입력'!AB30)</f>
        <v>1-3</v>
      </c>
      <c r="B26" s="18" t="str">
        <f>IF('Dashboard 입력'!AC30="","",'Dashboard 입력'!AC30)</f>
        <v>전원차단</v>
      </c>
      <c r="C26" s="18" t="str">
        <f>IF('Dashboard 입력'!AD30="","",'Dashboard 입력'!AD30)</f>
        <v>잔류전압에 의한 감전</v>
      </c>
      <c r="D26" s="18" t="str">
        <f>IF('Dashboard 입력'!AE30="","",'Dashboard 입력'!AE30)</f>
        <v>콘덴서 방전 후 작업 시작</v>
      </c>
      <c r="E26" s="118" t="str">
        <f>IF('Dashboard 입력'!AI30="", "", 'Dashboard 입력'!AI30 &amp; " (" &amp; 'Dashboard 입력'!AF30 &amp; ")")</f>
        <v>2 (3)</v>
      </c>
      <c r="F26" s="118" t="str">
        <f>IF('Dashboard 입력'!AJ30="", "", 'Dashboard 입력'!AJ30 &amp; " (" &amp; 'Dashboard 입력'!AG30 &amp; ")")</f>
        <v>1 (5)</v>
      </c>
      <c r="G26" s="118" t="str">
        <f>IF(위험성평가_입력[[#This Row],[위험성]]="","", 위험성평가_입력[[#This Row],[위험성]] &amp; " (" &amp; 위험성평가_입력[[#This Row],[위험도(전)]] &amp; ")")</f>
        <v>2 (15)</v>
      </c>
      <c r="H26" s="18"/>
    </row>
    <row r="27" spans="1:8" ht="25" customHeight="1" outlineLevel="2">
      <c r="A27" s="118" t="str">
        <f>IF('Dashboard 입력'!AB31="","",'Dashboard 입력'!AB31)</f>
        <v>2-1</v>
      </c>
      <c r="B27" s="18" t="str">
        <f>IF('Dashboard 입력'!AC31="","",'Dashboard 입력'!AC31)</f>
        <v>배전반 해체</v>
      </c>
      <c r="C27" s="18" t="str">
        <f>IF('Dashboard 입력'!AD31="","",'Dashboard 입력'!AD31)</f>
        <v>볼트 풀림 시 날카로운 모서리에 절상</v>
      </c>
      <c r="D27" s="18" t="str">
        <f>IF('Dashboard 입력'!AE31="","",'Dashboard 입력'!AE31)</f>
        <v>절연장갑 및 안전장갑 착용</v>
      </c>
      <c r="E27" s="118" t="str">
        <f>IF('Dashboard 입력'!AI31="", "", 'Dashboard 입력'!AI31 &amp; " (" &amp; 'Dashboard 입력'!AF31 &amp; ")")</f>
        <v>1 (3)</v>
      </c>
      <c r="F27" s="118" t="str">
        <f>IF('Dashboard 입력'!AJ31="", "", 'Dashboard 입력'!AJ31 &amp; " (" &amp; 'Dashboard 입력'!AG31 &amp; ")")</f>
        <v>3 (2)</v>
      </c>
      <c r="G27" s="118" t="str">
        <f>IF(위험성평가_입력[[#This Row],[위험성]]="","", 위험성평가_입력[[#This Row],[위험성]] &amp; " (" &amp; 위험성평가_입력[[#This Row],[위험도(전)]] &amp; ")")</f>
        <v>2 (10)</v>
      </c>
      <c r="H27" s="18"/>
    </row>
    <row r="28" spans="1:8" ht="25" customHeight="1" outlineLevel="2">
      <c r="A28" s="118" t="str">
        <f>IF('Dashboard 입력'!AB32="","",'Dashboard 입력'!AB32)</f>
        <v>2-2</v>
      </c>
      <c r="B28" s="18" t="str">
        <f>IF('Dashboard 입력'!AC32="","",'Dashboard 입력'!AC32)</f>
        <v>배전반 해체</v>
      </c>
      <c r="C28" s="18" t="str">
        <f>IF('Dashboard 입력'!AD32="","",'Dashboard 입력'!AD32)</f>
        <v>배전반 넘어짐으로 충돌</v>
      </c>
      <c r="D28" s="18" t="str">
        <f>IF('Dashboard 입력'!AE32="","",'Dashboard 입력'!AE32)</f>
        <v>작업반경 정리정돈, 바닥 전선 정리</v>
      </c>
      <c r="E28" s="118" t="str">
        <f>IF('Dashboard 입력'!AI32="", "", 'Dashboard 입력'!AI32 &amp; " (" &amp; 'Dashboard 입력'!AF32 &amp; ")")</f>
        <v>2 (2)</v>
      </c>
      <c r="F28" s="118" t="str">
        <f>IF('Dashboard 입력'!AJ32="", "", 'Dashboard 입력'!AJ32 &amp; " (" &amp; 'Dashboard 입력'!AG32 &amp; ")")</f>
        <v>1 (3)</v>
      </c>
      <c r="G28" s="118" t="str">
        <f>IF(위험성평가_입력[[#This Row],[위험성]]="","", 위험성평가_입력[[#This Row],[위험성]] &amp; " (" &amp; 위험성평가_입력[[#This Row],[위험도(전)]] &amp; ")")</f>
        <v>2 (10)</v>
      </c>
      <c r="H28" s="18"/>
    </row>
    <row r="29" spans="1:8" ht="25" customHeight="1" outlineLevel="2">
      <c r="A29" s="118" t="str">
        <f>IF('Dashboard 입력'!AB33="","",'Dashboard 입력'!AB33)</f>
        <v>2-3</v>
      </c>
      <c r="B29" s="18" t="str">
        <f>IF('Dashboard 입력'!AC33="","",'Dashboard 입력'!AC33)</f>
        <v>배전반 해체</v>
      </c>
      <c r="C29" s="18" t="str">
        <f>IF('Dashboard 입력'!AD33="","",'Dashboard 입력'!AD33)</f>
        <v>부품 낙하로 인한 부상</v>
      </c>
      <c r="D29" s="18" t="str">
        <f>IF('Dashboard 입력'!AE33="","",'Dashboard 입력'!AE33)</f>
        <v>헬멧 착용, 낙하방지망 설치</v>
      </c>
      <c r="E29" s="118" t="str">
        <f>IF('Dashboard 입력'!AI33="", "", 'Dashboard 입력'!AI33 &amp; " (" &amp; 'Dashboard 입력'!AF33 &amp; ")")</f>
        <v>1 (2)</v>
      </c>
      <c r="F29" s="118" t="str">
        <f>IF('Dashboard 입력'!AJ33="", "", 'Dashboard 입력'!AJ33 &amp; " (" &amp; 'Dashboard 입력'!AG33 &amp; ")")</f>
        <v>3 (3)</v>
      </c>
      <c r="G29" s="118" t="str">
        <f>IF(위험성평가_입력[[#This Row],[위험성]]="","", 위험성평가_입력[[#This Row],[위험성]] &amp; " (" &amp; 위험성평가_입력[[#This Row],[위험도(전)]] &amp; ")")</f>
        <v>3 (8)</v>
      </c>
      <c r="H29" s="18"/>
    </row>
    <row r="30" spans="1:8" ht="25" customHeight="1" outlineLevel="2">
      <c r="A30" s="118" t="str">
        <f>IF('Dashboard 입력'!AB34="","",'Dashboard 입력'!AB34)</f>
        <v>3-1</v>
      </c>
      <c r="B30" s="18" t="str">
        <f>IF('Dashboard 입력'!AC34="","",'Dashboard 입력'!AC34)</f>
        <v>케이블 정비</v>
      </c>
      <c r="C30" s="18" t="str">
        <f>IF('Dashboard 입력'!AD34="","",'Dashboard 입력'!AD34)</f>
        <v>피복손상으로 감전</v>
      </c>
      <c r="D30" s="18" t="str">
        <f>IF('Dashboard 입력'!AE34="","",'Dashboard 입력'!AE34)</f>
        <v>절연저항 측정 후 작업</v>
      </c>
      <c r="E30" s="118" t="str">
        <f>IF('Dashboard 입력'!AI34="", "", 'Dashboard 입력'!AI34 &amp; " (" &amp; 'Dashboard 입력'!AF34 &amp; ")")</f>
        <v>2 (3)</v>
      </c>
      <c r="F30" s="118" t="str">
        <f>IF('Dashboard 입력'!AJ34="", "", 'Dashboard 입력'!AJ34 &amp; " (" &amp; 'Dashboard 입력'!AG34 &amp; ")")</f>
        <v>1 (4)</v>
      </c>
      <c r="G30" s="118" t="str">
        <f>IF(위험성평가_입력[[#This Row],[위험성]]="","", 위험성평가_입력[[#This Row],[위험성]] &amp; " (" &amp; 위험성평가_입력[[#This Row],[위험도(전)]] &amp; ")")</f>
        <v>2 (15)</v>
      </c>
      <c r="H30" s="18"/>
    </row>
    <row r="31" spans="1:8" ht="25" customHeight="1" outlineLevel="2">
      <c r="A31" s="118" t="str">
        <f>IF('Dashboard 입력'!AB35="","",'Dashboard 입력'!AB35)</f>
        <v>3-2</v>
      </c>
      <c r="B31" s="18" t="str">
        <f>IF('Dashboard 입력'!AC35="","",'Dashboard 입력'!AC35)</f>
        <v>케이블 정비</v>
      </c>
      <c r="C31" s="18" t="str">
        <f>IF('Dashboard 입력'!AD35="","",'Dashboard 입력'!AD35)</f>
        <v>케이블 단선 처리 시 천공</v>
      </c>
      <c r="D31" s="18" t="str">
        <f>IF('Dashboard 입력'!AE35="","",'Dashboard 입력'!AE35)</f>
        <v>단선 케이블 처리함 사용, 분리 보관</v>
      </c>
      <c r="E31" s="118" t="str">
        <f>IF('Dashboard 입력'!AI35="", "", 'Dashboard 입력'!AI35 &amp; " (" &amp; 'Dashboard 입력'!AF35 &amp; ")")</f>
        <v>1 (2)</v>
      </c>
      <c r="F31" s="118" t="str">
        <f>IF('Dashboard 입력'!AJ35="", "", 'Dashboard 입력'!AJ35 &amp; " (" &amp; 'Dashboard 입력'!AG35 &amp; ")")</f>
        <v>3 (2)</v>
      </c>
      <c r="G31" s="118" t="str">
        <f>IF(위험성평가_입력[[#This Row],[위험성]]="","", 위험성평가_입력[[#This Row],[위험성]] &amp; " (" &amp; 위험성평가_입력[[#This Row],[위험도(전)]] &amp; ")")</f>
        <v>3 (6)</v>
      </c>
      <c r="H31" s="18"/>
    </row>
    <row r="32" spans="1:8" ht="25" customHeight="1" outlineLevel="2">
      <c r="A32" s="118" t="str">
        <f>IF('Dashboard 입력'!AB36="","",'Dashboard 입력'!AB36)</f>
        <v>3-3</v>
      </c>
      <c r="B32" s="18" t="str">
        <f>IF('Dashboard 입력'!AC36="","",'Dashboard 입력'!AC36)</f>
        <v>케이블 정비</v>
      </c>
      <c r="C32" s="18" t="str">
        <f>IF('Dashboard 입력'!AD36="","",'Dashboard 입력'!AD36)</f>
        <v>케이블 트레이 날카로운 부분에 절상</v>
      </c>
      <c r="D32" s="18" t="str">
        <f>IF('Dashboard 입력'!AE36="","",'Dashboard 입력'!AE36)</f>
        <v>안전장갑 착용, 날카로운 부분 테이핑</v>
      </c>
      <c r="E32" s="118" t="str">
        <f>IF('Dashboard 입력'!AI36="", "", 'Dashboard 입력'!AI36 &amp; " (" &amp; 'Dashboard 입력'!AF36 &amp; ")")</f>
        <v>2 (3)</v>
      </c>
      <c r="F32" s="118" t="str">
        <f>IF('Dashboard 입력'!AJ36="", "", 'Dashboard 입력'!AJ36 &amp; " (" &amp; 'Dashboard 입력'!AG36 &amp; ")")</f>
        <v>1 (2)</v>
      </c>
      <c r="G32" s="118" t="str">
        <f>IF(위험성평가_입력[[#This Row],[위험성]]="","", 위험성평가_입력[[#This Row],[위험성]] &amp; " (" &amp; 위험성평가_입력[[#This Row],[위험도(전)]] &amp; ")")</f>
        <v>2 (6)</v>
      </c>
      <c r="H32" s="18"/>
    </row>
    <row r="33" spans="1:8" ht="25" customHeight="1" outlineLevel="2">
      <c r="A33" s="118" t="str">
        <f>IF('Dashboard 입력'!AB37="","",'Dashboard 입력'!AB37)</f>
        <v>4-1</v>
      </c>
      <c r="B33" s="18" t="str">
        <f>IF('Dashboard 입력'!AC37="","",'Dashboard 입력'!AC37)</f>
        <v>접지 점검</v>
      </c>
      <c r="C33" s="18" t="str">
        <f>IF('Dashboard 입력'!AD37="","",'Dashboard 입력'!AD37)</f>
        <v>접지저항 미확보로 감전 위험</v>
      </c>
      <c r="D33" s="18" t="str">
        <f>IF('Dashboard 입력'!AE37="","",'Dashboard 입력'!AE37)</f>
        <v>접지측정기로 저항값 확인 후 작업</v>
      </c>
      <c r="E33" s="118" t="str">
        <f>IF('Dashboard 입력'!AI37="", "", 'Dashboard 입력'!AI37 &amp; " (" &amp; 'Dashboard 입력'!AF37 &amp; ")")</f>
        <v>1 (3)</v>
      </c>
      <c r="F33" s="118" t="str">
        <f>IF('Dashboard 입력'!AJ37="", "", 'Dashboard 입력'!AJ37 &amp; " (" &amp; 'Dashboard 입력'!AG37 &amp; ")")</f>
        <v>3 (5)</v>
      </c>
      <c r="G33" s="118" t="str">
        <f>IF(위험성평가_입력[[#This Row],[위험성]]="","", 위험성평가_입력[[#This Row],[위험성]] &amp; " (" &amp; 위험성평가_입력[[#This Row],[위험도(전)]] &amp; ")")</f>
        <v>3 (6)</v>
      </c>
      <c r="H33" s="18"/>
    </row>
    <row r="34" spans="1:8" ht="25" customHeight="1" outlineLevel="2">
      <c r="A34" s="118" t="str">
        <f>IF('Dashboard 입력'!AB38="","",'Dashboard 입력'!AB38)</f>
        <v>4-2</v>
      </c>
      <c r="B34" s="18" t="str">
        <f>IF('Dashboard 입력'!AC38="","",'Dashboard 입력'!AC38)</f>
        <v>접지 점검</v>
      </c>
      <c r="C34" s="18" t="str">
        <f>IF('Dashboard 입력'!AD38="","",'Dashboard 입력'!AD38)</f>
        <v>접지선 풀림으로 감전</v>
      </c>
      <c r="D34" s="18" t="str">
        <f>IF('Dashboard 입력'!AE38="","",'Dashboard 입력'!AE38)</f>
        <v>접지선 체결 상태 사전 확인</v>
      </c>
      <c r="E34" s="118" t="str">
        <f>IF('Dashboard 입력'!AI38="", "", 'Dashboard 입력'!AI38 &amp; " (" &amp; 'Dashboard 입력'!AF38 &amp; ")")</f>
        <v>2 (2)</v>
      </c>
      <c r="F34" s="118" t="str">
        <f>IF('Dashboard 입력'!AJ38="", "", 'Dashboard 입력'!AJ38 &amp; " (" &amp; 'Dashboard 입력'!AG38 &amp; ")")</f>
        <v>1 (5)</v>
      </c>
      <c r="G34" s="118" t="str">
        <f>IF(위험성평가_입력[[#This Row],[위험성]]="","", 위험성평가_입력[[#This Row],[위험성]] &amp; " (" &amp; 위험성평가_입력[[#This Row],[위험도(전)]] &amp; ")")</f>
        <v>2 (12)</v>
      </c>
      <c r="H34" s="18"/>
    </row>
    <row r="35" spans="1:8" ht="25" customHeight="1" outlineLevel="2">
      <c r="A35" s="118" t="str">
        <f>IF('Dashboard 입력'!AB39="","",'Dashboard 입력'!AB39)</f>
        <v>4-3</v>
      </c>
      <c r="B35" s="18" t="str">
        <f>IF('Dashboard 입력'!AC39="","",'Dashboard 입력'!AC39)</f>
        <v>접지 점검</v>
      </c>
      <c r="C35" s="18" t="str">
        <f>IF('Dashboard 입력'!AD39="","",'Dashboard 입력'!AD39)</f>
        <v>측정기 리드선 접촉 불량</v>
      </c>
      <c r="D35" s="18" t="str">
        <f>IF('Dashboard 입력'!AE39="","",'Dashboard 입력'!AE39)</f>
        <v>측정기 교정 확인, 리드선 상태 점검</v>
      </c>
      <c r="E35" s="118" t="str">
        <f>IF('Dashboard 입력'!AI39="", "", 'Dashboard 입력'!AI39 &amp; " (" &amp; 'Dashboard 입력'!AF39 &amp; ")")</f>
        <v>1 (2)</v>
      </c>
      <c r="F35" s="118" t="str">
        <f>IF('Dashboard 입력'!AJ39="", "", 'Dashboard 입력'!AJ39 &amp; " (" &amp; 'Dashboard 입력'!AG39 &amp; ")")</f>
        <v>3 (3)</v>
      </c>
      <c r="G35" s="118" t="str">
        <f>IF(위험성평가_입력[[#This Row],[위험성]]="","", 위험성평가_입력[[#This Row],[위험성]] &amp; " (" &amp; 위험성평가_입력[[#This Row],[위험도(전)]] &amp; ")")</f>
        <v>3 (4)</v>
      </c>
      <c r="H35" s="18"/>
    </row>
    <row r="36" spans="1:8" ht="25" customHeight="1" outlineLevel="2">
      <c r="A36" s="118" t="str">
        <f>IF('Dashboard 입력'!AB40="","",'Dashboard 입력'!AB40)</f>
        <v>5-1</v>
      </c>
      <c r="B36" s="18" t="str">
        <f>IF('Dashboard 입력'!AC40="","",'Dashboard 입력'!AC40)</f>
        <v>새 배전반 설치</v>
      </c>
      <c r="C36" s="18" t="str">
        <f>IF('Dashboard 입력'!AD40="","",'Dashboard 입력'!AD40)</f>
        <v>무거운 배전반 운반 중 근골격계 질환</v>
      </c>
      <c r="D36" s="18" t="str">
        <f>IF('Dashboard 입력'!AE40="","",'Dashboard 입력'!AE40)</f>
        <v>운반기구 사용, 2인 1조 작업</v>
      </c>
      <c r="E36" s="118" t="str">
        <f>IF('Dashboard 입력'!AI40="", "", 'Dashboard 입력'!AI40 &amp; " (" &amp; 'Dashboard 입력'!AF40 &amp; ")")</f>
        <v>2 (3)</v>
      </c>
      <c r="F36" s="118" t="str">
        <f>IF('Dashboard 입력'!AJ40="", "", 'Dashboard 입력'!AJ40 &amp; " (" &amp; 'Dashboard 입력'!AG40 &amp; ")")</f>
        <v>1 (3)</v>
      </c>
      <c r="G36" s="118" t="str">
        <f>IF(위험성평가_입력[[#This Row],[위험성]]="","", 위험성평가_입력[[#This Row],[위험성]] &amp; " (" &amp; 위험성평가_입력[[#This Row],[위험도(전)]] &amp; ")")</f>
        <v>2 (6)</v>
      </c>
      <c r="H36" s="18"/>
    </row>
    <row r="37" spans="1:8" ht="25" customHeight="1" outlineLevel="2">
      <c r="A37" s="118" t="str">
        <f>IF('Dashboard 입력'!AB41="","",'Dashboard 입력'!AB41)</f>
        <v>5-2</v>
      </c>
      <c r="B37" s="18" t="str">
        <f>IF('Dashboard 입력'!AC41="","",'Dashboard 입력'!AC41)</f>
        <v>새 배전반 설치</v>
      </c>
      <c r="C37" s="18" t="str">
        <f>IF('Dashboard 입력'!AD41="","",'Dashboard 입력'!AD41)</f>
        <v>설치 위치 조정 시 끼임 위험</v>
      </c>
      <c r="D37" s="18" t="str">
        <f>IF('Dashboard 입력'!AE41="","",'Dashboard 입력'!AE41)</f>
        <v>안전간격 확보, 끼임방지 커버 설치</v>
      </c>
      <c r="E37" s="118" t="str">
        <f>IF('Dashboard 입력'!AI41="", "", 'Dashboard 입력'!AI41 &amp; " (" &amp; 'Dashboard 입력'!AF41 &amp; ")")</f>
        <v>1 (2)</v>
      </c>
      <c r="F37" s="118" t="str">
        <f>IF('Dashboard 입력'!AJ41="", "", 'Dashboard 입력'!AJ41 &amp; " (" &amp; 'Dashboard 입력'!AG41 &amp; ")")</f>
        <v>3 (4)</v>
      </c>
      <c r="G37" s="118" t="str">
        <f>IF(위험성평가_입력[[#This Row],[위험성]]="","", 위험성평가_입력[[#This Row],[위험성]] &amp; " (" &amp; 위험성평가_입력[[#This Row],[위험도(전)]] &amp; ")")</f>
        <v>3 (15)</v>
      </c>
      <c r="H37" s="18"/>
    </row>
    <row r="38" spans="1:8" ht="25" customHeight="1" outlineLevel="2">
      <c r="A38" s="118" t="str">
        <f>IF('Dashboard 입력'!AB42="","",'Dashboard 입력'!AB42)</f>
        <v>5-3</v>
      </c>
      <c r="B38" s="18" t="str">
        <f>IF('Dashboard 입력'!AC42="","",'Dashboard 입력'!AC42)</f>
        <v>새 배전반 설치</v>
      </c>
      <c r="C38" s="18" t="str">
        <f>IF('Dashboard 입력'!AD42="","",'Dashboard 입력'!AD42)</f>
        <v>배전반 고정 볼트 체결 시 소음</v>
      </c>
      <c r="D38" s="18" t="str">
        <f>IF('Dashboard 입력'!AE42="","",'Dashboard 입력'!AE42)</f>
        <v>귀마개 착용</v>
      </c>
      <c r="E38" s="118" t="str">
        <f>IF('Dashboard 입력'!AI42="", "", 'Dashboard 입력'!AI42 &amp; " (" &amp; 'Dashboard 입력'!AF42 &amp; ")")</f>
        <v>2 (4)</v>
      </c>
      <c r="F38" s="118" t="str">
        <f>IF('Dashboard 입력'!AJ42="", "", 'Dashboard 입력'!AJ42 &amp; " (" &amp; 'Dashboard 입력'!AG42 &amp; ")")</f>
        <v>1 (1)</v>
      </c>
      <c r="G38" s="118" t="str">
        <f>IF(위험성평가_입력[[#This Row],[위험성]]="","", 위험성평가_입력[[#This Row],[위험성]] &amp; " (" &amp; 위험성평가_입력[[#This Row],[위험도(전)]] &amp; ")")</f>
        <v>2 (10)</v>
      </c>
      <c r="H38" s="18"/>
    </row>
    <row r="39" spans="1:8" ht="25" customHeight="1" outlineLevel="2">
      <c r="A39" s="118" t="str">
        <f>IF('Dashboard 입력'!AB43="","",'Dashboard 입력'!AB43)</f>
        <v>6-1</v>
      </c>
      <c r="B39" s="18" t="str">
        <f>IF('Dashboard 입력'!AC43="","",'Dashboard 입력'!AC43)</f>
        <v>케이블 결선</v>
      </c>
      <c r="C39" s="18" t="str">
        <f>IF('Dashboard 입력'!AD43="","",'Dashboard 입력'!AD43)</f>
        <v>케이블 피복에 의한 감전</v>
      </c>
      <c r="D39" s="18" t="str">
        <f>IF('Dashboard 입력'!AE43="","",'Dashboard 입력'!AE43)</f>
        <v>절연저항 측정 완료 후 결선</v>
      </c>
      <c r="E39" s="118" t="str">
        <f>IF('Dashboard 입력'!AI43="", "", 'Dashboard 입력'!AI43 &amp; " (" &amp; 'Dashboard 입력'!AF43 &amp; ")")</f>
        <v>1 (2)</v>
      </c>
      <c r="F39" s="118" t="str">
        <f>IF('Dashboard 입력'!AJ43="", "", 'Dashboard 입력'!AJ43 &amp; " (" &amp; 'Dashboard 입력'!AG43 &amp; ")")</f>
        <v>3 (5)</v>
      </c>
      <c r="G39" s="118" t="str">
        <f>IF(위험성평가_입력[[#This Row],[위험성]]="","", 위험성평가_입력[[#This Row],[위험성]] &amp; " (" &amp; 위험성평가_입력[[#This Row],[위험도(전)]] &amp; ")")</f>
        <v>3 (6)</v>
      </c>
      <c r="H39" s="18"/>
    </row>
    <row r="40" spans="1:8" ht="25" customHeight="1" outlineLevel="2">
      <c r="A40" s="118" t="str">
        <f>IF('Dashboard 입력'!AB44="","",'Dashboard 입력'!AB44)</f>
        <v>6-2</v>
      </c>
      <c r="B40" s="18" t="str">
        <f>IF('Dashboard 입력'!AC44="","",'Dashboard 입력'!AC44)</f>
        <v>케이블 결선</v>
      </c>
      <c r="C40" s="18" t="str">
        <f>IF('Dashboard 입력'!AD44="","",'Dashboard 입력'!AD44)</f>
        <v>케이블 과부하로 화재 위험</v>
      </c>
      <c r="D40" s="18" t="str">
        <f>IF('Dashboard 입력'!AE44="","",'Dashboard 입력'!AE44)</f>
        <v>케이블 용량 계산 후 적정 규격 사용</v>
      </c>
      <c r="E40" s="118" t="str">
        <f>IF('Dashboard 입력'!AI44="", "", 'Dashboard 입력'!AI44 &amp; " (" &amp; 'Dashboard 입력'!AF44 &amp; ")")</f>
        <v>2 (2)</v>
      </c>
      <c r="F40" s="118" t="str">
        <f>IF('Dashboard 입력'!AJ44="", "", 'Dashboard 입력'!AJ44 &amp; " (" &amp; 'Dashboard 입력'!AG44 &amp; ")")</f>
        <v>1 (5)</v>
      </c>
      <c r="G40" s="118" t="str">
        <f>IF(위험성평가_입력[[#This Row],[위험성]]="","", 위험성평가_입력[[#This Row],[위험성]] &amp; " (" &amp; 위험성평가_입력[[#This Row],[위험도(전)]] &amp; ")")</f>
        <v>2 (9)</v>
      </c>
      <c r="H40" s="18"/>
    </row>
    <row r="41" spans="1:8" ht="25" customHeight="1" outlineLevel="2">
      <c r="A41" s="118" t="str">
        <f>IF('Dashboard 입력'!AB45="","",'Dashboard 입력'!AB45)</f>
        <v>6-3</v>
      </c>
      <c r="B41" s="18" t="str">
        <f>IF('Dashboard 입력'!AC45="","",'Dashboard 입력'!AC45)</f>
        <v>케이블 결선</v>
      </c>
      <c r="C41" s="18" t="str">
        <f>IF('Dashboard 입력'!AD45="","",'Dashboard 입력'!AD45)</f>
        <v>결선 단자 조임 불량으로 발열</v>
      </c>
      <c r="D41" s="18" t="str">
        <f>IF('Dashboard 입력'!AE45="","",'Dashboard 입력'!AE45)</f>
        <v>토크 렌치로 규정 체결력 확인</v>
      </c>
      <c r="E41" s="118" t="str">
        <f>IF('Dashboard 입력'!AI45="", "", 'Dashboard 입력'!AI45 &amp; " (" &amp; 'Dashboard 입력'!AF45 &amp; ")")</f>
        <v>1 (3)</v>
      </c>
      <c r="F41" s="118" t="str">
        <f>IF('Dashboard 입력'!AJ45="", "", 'Dashboard 입력'!AJ45 &amp; " (" &amp; 'Dashboard 입력'!AG45 &amp; ")")</f>
        <v>3 (4)</v>
      </c>
      <c r="G41" s="118" t="str">
        <f>IF(위험성평가_입력[[#This Row],[위험성]]="","", 위험성평가_입력[[#This Row],[위험성]] &amp; " (" &amp; 위험성평가_입력[[#This Row],[위험도(전)]] &amp; ")")</f>
        <v>3 (8)</v>
      </c>
      <c r="H41" s="18"/>
    </row>
    <row r="42" spans="1:8" ht="25" customHeight="1" outlineLevel="2">
      <c r="A42" s="118" t="str">
        <f>IF('Dashboard 입력'!AB46="","",'Dashboard 입력'!AB46)</f>
        <v>7-1</v>
      </c>
      <c r="B42" s="18" t="str">
        <f>IF('Dashboard 입력'!AC46="","",'Dashboard 입력'!AC46)</f>
        <v>시운전 및 점검</v>
      </c>
      <c r="C42" s="18" t="str">
        <f>IF('Dashboard 입력'!AD46="","",'Dashboard 입력'!AD46)</f>
        <v>전원 투입 시 아크플래시</v>
      </c>
      <c r="D42" s="18" t="str">
        <f>IF('Dashboard 입력'!AE46="","",'Dashboard 입력'!AE46)</f>
        <v>안면보호구 착용, 안전거리 확보</v>
      </c>
      <c r="E42" s="118" t="str">
        <f>IF('Dashboard 입력'!AI46="", "", 'Dashboard 입력'!AI46 &amp; " (" &amp; 'Dashboard 입력'!AF46 &amp; ")")</f>
        <v>2 (3)</v>
      </c>
      <c r="F42" s="118" t="str">
        <f>IF('Dashboard 입력'!AJ46="", "", 'Dashboard 입력'!AJ46 &amp; " (" &amp; 'Dashboard 입력'!AG46 &amp; ")")</f>
        <v>1 (5)</v>
      </c>
      <c r="G42" s="118" t="str">
        <f>IF(위험성평가_입력[[#This Row],[위험성]]="","", 위험성평가_입력[[#This Row],[위험성]] &amp; " (" &amp; 위험성평가_입력[[#This Row],[위험도(전)]] &amp; ")")</f>
        <v>2 (4)</v>
      </c>
      <c r="H42" s="18"/>
    </row>
    <row r="43" spans="1:8" ht="25" customHeight="1" outlineLevel="2">
      <c r="A43" s="118" t="str">
        <f>IF('Dashboard 입력'!AB47="","",'Dashboard 입력'!AB47)</f>
        <v>7-2</v>
      </c>
      <c r="B43" s="18" t="str">
        <f>IF('Dashboard 입력'!AC47="","",'Dashboard 입력'!AC47)</f>
        <v>시운전 및 점검</v>
      </c>
      <c r="C43" s="18" t="str">
        <f>IF('Dashboard 입력'!AD47="","",'Dashboard 입력'!AD47)</f>
        <v>보호장치 미작동으로 사고</v>
      </c>
      <c r="D43" s="18" t="str">
        <f>IF('Dashboard 입력'!AE47="","",'Dashboard 입력'!AE47)</f>
        <v>보호장치 동작 시험 완료 후 전원 투입</v>
      </c>
      <c r="E43" s="118" t="str">
        <f>IF('Dashboard 입력'!AI47="", "", 'Dashboard 입력'!AI47 &amp; " (" &amp; 'Dashboard 입력'!AF47 &amp; ")")</f>
        <v>2 (2)</v>
      </c>
      <c r="F43" s="118" t="str">
        <f>IF('Dashboard 입력'!AJ47="", "", 'Dashboard 입력'!AJ47 &amp; " (" &amp; 'Dashboard 입력'!AG47 &amp; ")")</f>
        <v>1 (5)</v>
      </c>
      <c r="G43" s="118" t="str">
        <f>IF(위험성평가_입력[[#This Row],[위험성]]="","", 위험성평가_입력[[#This Row],[위험성]] &amp; " (" &amp; 위험성평가_입력[[#This Row],[위험도(전)]] &amp; ")")</f>
        <v>3 (10)</v>
      </c>
      <c r="H43" s="18"/>
    </row>
    <row r="44" spans="1:8" ht="25" customHeight="1" outlineLevel="2">
      <c r="A44" s="118" t="str">
        <f>IF('Dashboard 입력'!AB48="","",'Dashboard 입력'!AB48)</f>
        <v>8</v>
      </c>
      <c r="B44" s="18" t="str">
        <f>IF('Dashboard 입력'!AC48="","",'Dashboard 입력'!AC48)</f>
        <v>ㄹㄹㅇ</v>
      </c>
      <c r="C44" s="18" t="str">
        <f>IF('Dashboard 입력'!AD48="","",'Dashboard 입력'!AD48)</f>
        <v>ㄹㄹㅇ</v>
      </c>
      <c r="D44" s="18" t="str">
        <f>IF('Dashboard 입력'!AE48="","",'Dashboard 입력'!AE48)</f>
        <v>ㄹㄹㅇ</v>
      </c>
      <c r="E44" s="118" t="str">
        <f>IF('Dashboard 입력'!AI48="", "", 'Dashboard 입력'!AI48 &amp; " (" &amp; 'Dashboard 입력'!AF48 &amp; ")")</f>
        <v/>
      </c>
      <c r="F44" s="118" t="str">
        <f>IF('Dashboard 입력'!AJ48="", "", 'Dashboard 입력'!AJ48 &amp; " (" &amp; 'Dashboard 입력'!AG48 &amp; ")")</f>
        <v/>
      </c>
      <c r="G44" s="118" t="str">
        <f>IF(위험성평가_입력[[#This Row],[위험성]]="","", 위험성평가_입력[[#This Row],[위험성]] &amp; " (" &amp; 위험성평가_입력[[#This Row],[위험도(전)]] &amp; ")")</f>
        <v>2 (10)</v>
      </c>
      <c r="H44" s="18"/>
    </row>
    <row r="45" spans="1:8" ht="25" customHeight="1" outlineLevel="2">
      <c r="A45" s="118" t="str">
        <f>IF('Dashboard 입력'!AB49="","",'Dashboard 입력'!AB49)</f>
        <v>9</v>
      </c>
      <c r="B45" s="18" t="str">
        <f>IF('Dashboard 입력'!AC49="","",'Dashboard 입력'!AC49)</f>
        <v>ㄴㅇ</v>
      </c>
      <c r="C45" s="18" t="str">
        <f>IF('Dashboard 입력'!AD49="","",'Dashboard 입력'!AD49)</f>
        <v>ㄴㅇ</v>
      </c>
      <c r="D45" s="18" t="str">
        <f>IF('Dashboard 입력'!AE49="","",'Dashboard 입력'!AE49)</f>
        <v>ㄴㅇ</v>
      </c>
      <c r="E45" s="118" t="str">
        <f>IF('Dashboard 입력'!AI49="", "", 'Dashboard 입력'!AI49 &amp; " (" &amp; 'Dashboard 입력'!AF49 &amp; ")")</f>
        <v/>
      </c>
      <c r="F45" s="118" t="str">
        <f>IF('Dashboard 입력'!AJ49="", "", 'Dashboard 입력'!AJ49 &amp; " (" &amp; 'Dashboard 입력'!AG49 &amp; ")")</f>
        <v/>
      </c>
      <c r="G45" s="118" t="str">
        <f>IF(위험성평가_입력[[#This Row],[위험성]]="","", 위험성평가_입력[[#This Row],[위험성]] &amp; " (" &amp; 위험성평가_입력[[#This Row],[위험도(전)]] &amp; ")")</f>
        <v>3 (12)</v>
      </c>
      <c r="H45" s="18"/>
    </row>
    <row r="46" spans="1:8" ht="25" customHeight="1" outlineLevel="2">
      <c r="A46" s="118" t="str">
        <f>IF('Dashboard 입력'!AB50="","",'Dashboard 입력'!AB50)</f>
        <v>10</v>
      </c>
      <c r="B46" s="18" t="str">
        <f>IF('Dashboard 입력'!AC50="","",'Dashboard 입력'!AC50)</f>
        <v>ㄴㅇ</v>
      </c>
      <c r="C46" s="18" t="str">
        <f>IF('Dashboard 입력'!AD50="","",'Dashboard 입력'!AD50)</f>
        <v>ㄴㅇ</v>
      </c>
      <c r="D46" s="18" t="str">
        <f>IF('Dashboard 입력'!AE50="","",'Dashboard 입력'!AE50)</f>
        <v>ㄴㅇ</v>
      </c>
      <c r="E46" s="118" t="str">
        <f>IF('Dashboard 입력'!AI50="", "", 'Dashboard 입력'!AI50 &amp; " (" &amp; 'Dashboard 입력'!AF50 &amp; ")")</f>
        <v/>
      </c>
      <c r="F46" s="118" t="str">
        <f>IF('Dashboard 입력'!AJ50="", "", 'Dashboard 입력'!AJ50 &amp; " (" &amp; 'Dashboard 입력'!AG50 &amp; ")")</f>
        <v/>
      </c>
      <c r="G46" s="118" t="str">
        <f>IF(위험성평가_입력[[#This Row],[위험성]]="","", 위험성평가_입력[[#This Row],[위험성]] &amp; " (" &amp; 위험성평가_입력[[#This Row],[위험도(전)]] &amp; ")")</f>
        <v>2 (15)</v>
      </c>
      <c r="H46" s="18"/>
    </row>
    <row r="47" spans="1:8" ht="25" customHeight="1" outlineLevel="2">
      <c r="A47" s="118" t="str">
        <f>IF('Dashboard 입력'!AB51="","",'Dashboard 입력'!AB51)</f>
        <v>11</v>
      </c>
      <c r="B47" s="18" t="str">
        <f>IF('Dashboard 입력'!AC51="","",'Dashboard 입력'!AC51)</f>
        <v>ㄴㅇ</v>
      </c>
      <c r="C47" s="18" t="str">
        <f>IF('Dashboard 입력'!AD51="","",'Dashboard 입력'!AD51)</f>
        <v>ㄴㅇ</v>
      </c>
      <c r="D47" s="18" t="str">
        <f>IF('Dashboard 입력'!AE51="","",'Dashboard 입력'!AE51)</f>
        <v>ㄴㅇ</v>
      </c>
      <c r="E47" s="118" t="str">
        <f>IF('Dashboard 입력'!AI51="", "", 'Dashboard 입력'!AI51 &amp; " (" &amp; 'Dashboard 입력'!AF51 &amp; ")")</f>
        <v/>
      </c>
      <c r="F47" s="118" t="str">
        <f>IF('Dashboard 입력'!AJ51="", "", 'Dashboard 입력'!AJ51 &amp; " (" &amp; 'Dashboard 입력'!AG51 &amp; ")")</f>
        <v/>
      </c>
      <c r="G47" s="118" t="str">
        <f>IF(위험성평가_입력[[#This Row],[위험성]]="","", 위험성평가_입력[[#This Row],[위험성]] &amp; " (" &amp; 위험성평가_입력[[#This Row],[위험도(전)]] &amp; ")")</f>
        <v>2 (10)</v>
      </c>
      <c r="H47" s="18"/>
    </row>
    <row r="48" spans="1:8" ht="25" customHeight="1" outlineLevel="2">
      <c r="A48" s="118" t="str">
        <f>IF('Dashboard 입력'!AB52="","",'Dashboard 입력'!AB52)</f>
        <v/>
      </c>
      <c r="B48" s="18" t="str">
        <f>IF('Dashboard 입력'!AC52="","",'Dashboard 입력'!AC52)</f>
        <v>ㄱㄱㄱ</v>
      </c>
      <c r="C48" s="18" t="str">
        <f>IF('Dashboard 입력'!AD52="","",'Dashboard 입력'!AD52)</f>
        <v>ㄱㄱㄱ</v>
      </c>
      <c r="D48" s="18" t="str">
        <f>IF('Dashboard 입력'!AE52="","",'Dashboard 입력'!AE52)</f>
        <v>ㄱㄱ</v>
      </c>
      <c r="E48" s="118" t="str">
        <f>IF('Dashboard 입력'!AI52="", "", 'Dashboard 입력'!AI52 &amp; " (" &amp; 'Dashboard 입력'!AF52 &amp; ")")</f>
        <v/>
      </c>
      <c r="F48" s="118" t="str">
        <f>IF('Dashboard 입력'!AJ52="", "", 'Dashboard 입력'!AJ52 &amp; " (" &amp; 'Dashboard 입력'!AG52 &amp; ")")</f>
        <v/>
      </c>
      <c r="G48" s="118" t="str">
        <f>IF(위험성평가_입력[[#This Row],[위험성]]="","", 위험성평가_입력[[#This Row],[위험성]] &amp; " (" &amp; 위험성평가_입력[[#This Row],[위험도(전)]] &amp; ")")</f>
        <v/>
      </c>
      <c r="H48" s="18"/>
    </row>
    <row r="49" spans="1:8" ht="25" customHeight="1" outlineLevel="2">
      <c r="A49" s="118" t="str">
        <f>IF('Dashboard 입력'!AB53="","",'Dashboard 입력'!AB53)</f>
        <v/>
      </c>
      <c r="B49" s="18" t="str">
        <f>IF('Dashboard 입력'!AC53="","",'Dashboard 입력'!AC53)</f>
        <v>ㅁㅁ</v>
      </c>
      <c r="C49" s="18" t="str">
        <f>IF('Dashboard 입력'!AD53="","",'Dashboard 입력'!AD53)</f>
        <v>ㄱㄱ</v>
      </c>
      <c r="D49" s="18">
        <f>IF('Dashboard 입력'!AF53="","",'Dashboard 입력'!AF53)</f>
        <v>3</v>
      </c>
      <c r="E49" s="118" t="str">
        <f>IF('Dashboard 입력'!AI53="", "", 'Dashboard 입력'!AI53 &amp; " (" &amp; 'Dashboard 입력'!#REF! &amp; ")")</f>
        <v/>
      </c>
      <c r="F49" s="118" t="str">
        <f>IF('Dashboard 입력'!AJ53="", "", 'Dashboard 입력'!AJ53 &amp; " (" &amp; 'Dashboard 입력'!AG53 &amp; ")")</f>
        <v/>
      </c>
      <c r="G49" s="118" t="str">
        <f>IF(위험성평가_입력[[#This Row],[위험성]]="","", 위험성평가_입력[[#This Row],[위험성]] &amp; " (" &amp; 위험성평가_입력[[#This Row],[위험도(전)]] &amp; ")")</f>
        <v/>
      </c>
      <c r="H49" s="18"/>
    </row>
    <row r="50" spans="1:8" ht="25" customHeight="1" outlineLevel="2">
      <c r="A50" s="118" t="str">
        <f>IF('Dashboard 입력'!AB54="","",'Dashboard 입력'!AB54)</f>
        <v/>
      </c>
      <c r="B50" s="18" t="str">
        <f>IF('Dashboard 입력'!AC54="","",'Dashboard 입력'!AC54)</f>
        <v/>
      </c>
      <c r="C50" s="18" t="str">
        <f>IF('Dashboard 입력'!AD54="","",'Dashboard 입력'!AD54)</f>
        <v/>
      </c>
      <c r="D50" s="18" t="str">
        <f>IF('Dashboard 입력'!AE54="","",'Dashboard 입력'!AE54)</f>
        <v/>
      </c>
      <c r="E50" s="118" t="str">
        <f>IF('Dashboard 입력'!AI54="", "", 'Dashboard 입력'!AI54 &amp; " (" &amp; 'Dashboard 입력'!AF54 &amp; ")")</f>
        <v/>
      </c>
      <c r="F50" s="118" t="str">
        <f>IF('Dashboard 입력'!AJ54="", "", 'Dashboard 입력'!AJ54 &amp; " (" &amp; 'Dashboard 입력'!AG54 &amp; ")")</f>
        <v/>
      </c>
      <c r="G50" s="118" t="str">
        <f>IF(위험성평가_입력[[#This Row],[위험성]]="","", 위험성평가_입력[[#This Row],[위험성]] &amp; " (" &amp; 위험성평가_입력[[#This Row],[위험도(전)]] &amp; ")")</f>
        <v/>
      </c>
      <c r="H50" s="18"/>
    </row>
    <row r="51" spans="1:8" ht="25" customHeight="1" outlineLevel="2">
      <c r="A51" s="118" t="str">
        <f>IF('Dashboard 입력'!AB55="","",'Dashboard 입력'!AB55)</f>
        <v/>
      </c>
      <c r="B51" s="18" t="str">
        <f>IF('Dashboard 입력'!AC55="","",'Dashboard 입력'!AC55)</f>
        <v/>
      </c>
      <c r="C51" s="18" t="str">
        <f>IF('Dashboard 입력'!AD55="","",'Dashboard 입력'!AD55)</f>
        <v/>
      </c>
      <c r="D51" s="18" t="str">
        <f>IF('Dashboard 입력'!AE55="","",'Dashboard 입력'!AE55)</f>
        <v/>
      </c>
      <c r="E51" s="118" t="str">
        <f>IF('Dashboard 입력'!AI55="", "", 'Dashboard 입력'!AI55 &amp; " (" &amp; 'Dashboard 입력'!AF55 &amp; ")")</f>
        <v/>
      </c>
      <c r="F51" s="118" t="str">
        <f>IF('Dashboard 입력'!AJ55="", "", 'Dashboard 입력'!AJ55 &amp; " (" &amp; 'Dashboard 입력'!AG55 &amp; ")")</f>
        <v/>
      </c>
      <c r="G51" s="118" t="str">
        <f>IF(위험성평가_입력[[#This Row],[위험성]]="","", 위험성평가_입력[[#This Row],[위험성]] &amp; " (" &amp; 위험성평가_입력[[#This Row],[위험도(전)]] &amp; ")")</f>
        <v/>
      </c>
      <c r="H51" s="18"/>
    </row>
    <row r="52" spans="1:8" ht="25" customHeight="1" outlineLevel="2">
      <c r="A52" s="118" t="str">
        <f>IF('Dashboard 입력'!AB56="","",'Dashboard 입력'!AB56)</f>
        <v/>
      </c>
      <c r="B52" s="18" t="str">
        <f>IF('Dashboard 입력'!AC56="","",'Dashboard 입력'!AC56)</f>
        <v/>
      </c>
      <c r="C52" s="18" t="str">
        <f>IF('Dashboard 입력'!AD56="","",'Dashboard 입력'!AD56)</f>
        <v/>
      </c>
      <c r="D52" s="18" t="str">
        <f>IF('Dashboard 입력'!AE56="","",'Dashboard 입력'!AE56)</f>
        <v/>
      </c>
      <c r="E52" s="118" t="str">
        <f>IF('Dashboard 입력'!AI56="", "", 'Dashboard 입력'!AI56 &amp; " (" &amp; 'Dashboard 입력'!AF56 &amp; ")")</f>
        <v/>
      </c>
      <c r="F52" s="118" t="str">
        <f>IF('Dashboard 입력'!AJ56="", "", 'Dashboard 입력'!AJ56 &amp; " (" &amp; 'Dashboard 입력'!AG56 &amp; ")")</f>
        <v/>
      </c>
      <c r="G52" s="118" t="str">
        <f>IF(위험성평가_입력[[#This Row],[위험성]]="","", 위험성평가_입력[[#This Row],[위험성]] &amp; " (" &amp; 위험성평가_입력[[#This Row],[위험도(전)]] &amp; ")")</f>
        <v/>
      </c>
      <c r="H52" s="18"/>
    </row>
    <row r="53" spans="1:8" ht="25" customHeight="1" outlineLevel="2">
      <c r="A53" s="118" t="str">
        <f>IF('Dashboard 입력'!AB57="","",'Dashboard 입력'!AB57)</f>
        <v/>
      </c>
      <c r="B53" s="18" t="str">
        <f>IF('Dashboard 입력'!AC57="","",'Dashboard 입력'!AC57)</f>
        <v/>
      </c>
      <c r="C53" s="18" t="str">
        <f>IF('Dashboard 입력'!AD57="","",'Dashboard 입력'!AD57)</f>
        <v/>
      </c>
      <c r="D53" s="18" t="str">
        <f>IF('Dashboard 입력'!AE57="","",'Dashboard 입력'!AE57)</f>
        <v/>
      </c>
      <c r="E53" s="118" t="str">
        <f>IF('Dashboard 입력'!AI57="", "", 'Dashboard 입력'!AI57 &amp; " (" &amp; 'Dashboard 입력'!AF57 &amp; ")")</f>
        <v/>
      </c>
      <c r="F53" s="118" t="str">
        <f>IF('Dashboard 입력'!AJ57="", "", 'Dashboard 입력'!AJ57 &amp; " (" &amp; 'Dashboard 입력'!AG57 &amp; ")")</f>
        <v/>
      </c>
      <c r="G53" s="118" t="str">
        <f>IF(위험성평가_입력[[#This Row],[위험성]]="","", 위험성평가_입력[[#This Row],[위험성]] &amp; " (" &amp; 위험성평가_입력[[#This Row],[위험도(전)]] &amp; ")")</f>
        <v/>
      </c>
      <c r="H53" s="18"/>
    </row>
    <row r="54" spans="1:8" ht="25" customHeight="1">
      <c r="A54" s="118" t="str">
        <f>IF('Dashboard 입력'!AB58="","",'Dashboard 입력'!AB58)</f>
        <v/>
      </c>
      <c r="B54" s="18" t="str">
        <f>IF('Dashboard 입력'!AC58="","",'Dashboard 입력'!AC58)</f>
        <v/>
      </c>
      <c r="C54" s="18" t="str">
        <f>IF('Dashboard 입력'!AD58="","",'Dashboard 입력'!AD58)</f>
        <v/>
      </c>
      <c r="D54" s="18" t="str">
        <f>IF('Dashboard 입력'!AE58="","",'Dashboard 입력'!AE58)</f>
        <v/>
      </c>
      <c r="E54" s="118" t="str">
        <f>IF('Dashboard 입력'!AI58="", "", 'Dashboard 입력'!AI58 &amp; " (" &amp; 'Dashboard 입력'!AF58 &amp; ")")</f>
        <v/>
      </c>
      <c r="F54" s="118" t="str">
        <f>IF('Dashboard 입력'!AJ58="", "", 'Dashboard 입력'!AJ58 &amp; " (" &amp; 'Dashboard 입력'!AG58 &amp; ")")</f>
        <v/>
      </c>
      <c r="G54" s="118" t="str">
        <f>IF(위험성평가_입력[[#This Row],[위험성]]="","", 위험성평가_입력[[#This Row],[위험성]] &amp; " (" &amp; 위험성평가_입력[[#This Row],[위험도(전)]] &amp; ")")</f>
        <v/>
      </c>
      <c r="H54" s="116"/>
    </row>
    <row r="55" spans="1:8" ht="25" customHeight="1">
      <c r="A55" s="118" t="str">
        <f>IF('Dashboard 입력'!AB59="","",'Dashboard 입력'!AB59)</f>
        <v/>
      </c>
      <c r="B55" s="18" t="str">
        <f>IF('Dashboard 입력'!AC59="","",'Dashboard 입력'!AC59)</f>
        <v/>
      </c>
      <c r="C55" s="18" t="str">
        <f>IF('Dashboard 입력'!AD59="","",'Dashboard 입력'!AD59)</f>
        <v/>
      </c>
      <c r="D55" s="18" t="str">
        <f>IF('Dashboard 입력'!AE59="","",'Dashboard 입력'!AE59)</f>
        <v/>
      </c>
      <c r="E55" s="118" t="str">
        <f>IF('Dashboard 입력'!AI59="", "", 'Dashboard 입력'!AI59 &amp; " (" &amp; 'Dashboard 입력'!AF59 &amp; ")")</f>
        <v/>
      </c>
      <c r="F55" s="118" t="str">
        <f>IF('Dashboard 입력'!AJ59="", "", 'Dashboard 입력'!AJ59 &amp; " (" &amp; 'Dashboard 입력'!AG59 &amp; ")")</f>
        <v/>
      </c>
      <c r="G55" s="118" t="str">
        <f>IF(위험성평가_입력[[#This Row],[위험성]]="","", 위험성평가_입력[[#This Row],[위험성]] &amp; " (" &amp; 위험성평가_입력[[#This Row],[위험도(전)]] &amp; ")")</f>
        <v/>
      </c>
      <c r="H55" s="116"/>
    </row>
    <row r="56" spans="1:8" ht="25" customHeight="1">
      <c r="A56" s="118" t="str">
        <f>IF('Dashboard 입력'!AB60="","",'Dashboard 입력'!AB60)</f>
        <v/>
      </c>
      <c r="B56" s="18" t="str">
        <f>IF('Dashboard 입력'!AC60="","",'Dashboard 입력'!AC60)</f>
        <v/>
      </c>
      <c r="C56" s="18" t="str">
        <f>IF('Dashboard 입력'!AD60="","",'Dashboard 입력'!AD60)</f>
        <v/>
      </c>
      <c r="D56" s="18" t="str">
        <f>IF('Dashboard 입력'!AE60="","",'Dashboard 입력'!AE60)</f>
        <v/>
      </c>
      <c r="E56" s="118" t="str">
        <f>IF('Dashboard 입력'!AI60="", "", 'Dashboard 입력'!AI60 &amp; " (" &amp; 'Dashboard 입력'!AF60 &amp; ")")</f>
        <v/>
      </c>
      <c r="F56" s="118" t="str">
        <f>IF('Dashboard 입력'!AJ60="", "", 'Dashboard 입력'!AJ60 &amp; " (" &amp; 'Dashboard 입력'!AG60 &amp; ")")</f>
        <v/>
      </c>
      <c r="G56" s="118" t="str">
        <f>IF(위험성평가_입력[[#This Row],[위험성]]="","", 위험성평가_입력[[#This Row],[위험성]] &amp; " (" &amp; 위험성평가_입력[[#This Row],[위험도(전)]] &amp; ")")</f>
        <v/>
      </c>
      <c r="H56" s="116"/>
    </row>
    <row r="57" spans="1:8" ht="25" customHeight="1">
      <c r="A57" s="118" t="str">
        <f>IF('Dashboard 입력'!AB61="","",'Dashboard 입력'!AB61)</f>
        <v/>
      </c>
      <c r="B57" s="18" t="str">
        <f>IF('Dashboard 입력'!AC61="","",'Dashboard 입력'!AC61)</f>
        <v/>
      </c>
      <c r="C57" s="18" t="str">
        <f>IF('Dashboard 입력'!AD61="","",'Dashboard 입력'!AD61)</f>
        <v/>
      </c>
      <c r="D57" s="18" t="str">
        <f>IF('Dashboard 입력'!AE61="","",'Dashboard 입력'!AE61)</f>
        <v/>
      </c>
      <c r="E57" s="118" t="str">
        <f>IF('Dashboard 입력'!AI61="", "", 'Dashboard 입력'!AI61 &amp; " (" &amp; 'Dashboard 입력'!AF61 &amp; ")")</f>
        <v/>
      </c>
      <c r="F57" s="118" t="str">
        <f>IF('Dashboard 입력'!AJ61="", "", 'Dashboard 입력'!AJ61 &amp; " (" &amp; 'Dashboard 입력'!AG61 &amp; ")")</f>
        <v/>
      </c>
      <c r="G57" s="118" t="str">
        <f>IF(위험성평가_입력[[#This Row],[위험성]]="","", 위험성평가_입력[[#This Row],[위험성]] &amp; " (" &amp; 위험성평가_입력[[#This Row],[위험도(전)]] &amp; ")")</f>
        <v/>
      </c>
      <c r="H57" s="116"/>
    </row>
    <row r="58" spans="1:8" ht="25" customHeight="1">
      <c r="A58" s="118" t="str">
        <f>IF('Dashboard 입력'!AB62="","",'Dashboard 입력'!AB62)</f>
        <v/>
      </c>
      <c r="B58" s="18" t="str">
        <f>IF('Dashboard 입력'!AC62="","",'Dashboard 입력'!AC62)</f>
        <v/>
      </c>
      <c r="C58" s="18" t="str">
        <f>IF('Dashboard 입력'!AD62="","",'Dashboard 입력'!AD62)</f>
        <v/>
      </c>
      <c r="D58" s="18" t="str">
        <f>IF('Dashboard 입력'!AE62="","",'Dashboard 입력'!AE62)</f>
        <v/>
      </c>
      <c r="E58" s="118" t="str">
        <f>IF('Dashboard 입력'!AI62="", "", 'Dashboard 입력'!AI62 &amp; " (" &amp; 'Dashboard 입력'!AF62 &amp; ")")</f>
        <v/>
      </c>
      <c r="F58" s="118" t="str">
        <f>IF('Dashboard 입력'!AJ62="", "", 'Dashboard 입력'!AJ62 &amp; " (" &amp; 'Dashboard 입력'!AG62 &amp; ")")</f>
        <v/>
      </c>
      <c r="G58" s="118" t="str">
        <f>IF(위험성평가_입력[[#This Row],[위험성]]="","", 위험성평가_입력[[#This Row],[위험성]] &amp; " (" &amp; 위험성평가_입력[[#This Row],[위험도(전)]] &amp; ")")</f>
        <v/>
      </c>
      <c r="H58" s="116"/>
    </row>
    <row r="59" spans="1:8" ht="25" customHeight="1">
      <c r="A59" s="118" t="str">
        <f>IF('Dashboard 입력'!AB63="","",'Dashboard 입력'!AB63)</f>
        <v/>
      </c>
      <c r="B59" s="18" t="str">
        <f>IF('Dashboard 입력'!AC63="","",'Dashboard 입력'!AC63)</f>
        <v/>
      </c>
      <c r="C59" s="18" t="str">
        <f>IF('Dashboard 입력'!AD63="","",'Dashboard 입력'!AD63)</f>
        <v/>
      </c>
      <c r="D59" s="18" t="str">
        <f>IF('Dashboard 입력'!AE63="","",'Dashboard 입력'!AE63)</f>
        <v/>
      </c>
      <c r="E59" s="118" t="str">
        <f>IF('Dashboard 입력'!AI63="", "", 'Dashboard 입력'!AI63 &amp; " (" &amp; 'Dashboard 입력'!AF63 &amp; ")")</f>
        <v/>
      </c>
      <c r="F59" s="118" t="str">
        <f>IF('Dashboard 입력'!AJ63="", "", 'Dashboard 입력'!AJ63 &amp; " (" &amp; 'Dashboard 입력'!AG63 &amp; ")")</f>
        <v/>
      </c>
      <c r="G59" s="118" t="str">
        <f>IF(위험성평가_입력[[#This Row],[위험성]]="","", 위험성평가_입력[[#This Row],[위험성]] &amp; " (" &amp; 위험성평가_입력[[#This Row],[위험도(전)]] &amp; ")")</f>
        <v/>
      </c>
      <c r="H59" s="116"/>
    </row>
    <row r="60" spans="1:8" ht="25" customHeight="1">
      <c r="A60" s="118" t="str">
        <f>IF('Dashboard 입력'!AB64="","",'Dashboard 입력'!AB64)</f>
        <v/>
      </c>
      <c r="B60" s="18" t="str">
        <f>IF('Dashboard 입력'!AC64="","",'Dashboard 입력'!AC64)</f>
        <v/>
      </c>
      <c r="C60" s="18" t="str">
        <f>IF('Dashboard 입력'!AD64="","",'Dashboard 입력'!AD64)</f>
        <v/>
      </c>
      <c r="D60" s="18" t="str">
        <f>IF('Dashboard 입력'!AE64="","",'Dashboard 입력'!AE64)</f>
        <v/>
      </c>
      <c r="E60" s="118" t="str">
        <f>IF('Dashboard 입력'!AI64="", "", 'Dashboard 입력'!AI64 &amp; " (" &amp; 'Dashboard 입력'!AF64 &amp; ")")</f>
        <v/>
      </c>
      <c r="F60" s="118" t="str">
        <f>IF('Dashboard 입력'!AJ64="", "", 'Dashboard 입력'!AJ64 &amp; " (" &amp; 'Dashboard 입력'!AG64 &amp; ")")</f>
        <v/>
      </c>
      <c r="G60" s="118" t="str">
        <f>IF(위험성평가_입력[[#This Row],[위험성]]="","", 위험성평가_입력[[#This Row],[위험성]] &amp; " (" &amp; 위험성평가_입력[[#This Row],[위험도(전)]] &amp; ")")</f>
        <v/>
      </c>
      <c r="H60" s="116"/>
    </row>
    <row r="61" spans="1:8" ht="25" customHeight="1">
      <c r="A61" s="118" t="str">
        <f>IF('Dashboard 입력'!AB65="","",'Dashboard 입력'!AB65)</f>
        <v/>
      </c>
      <c r="B61" s="18" t="str">
        <f>IF('Dashboard 입력'!AC65="","",'Dashboard 입력'!AC65)</f>
        <v/>
      </c>
      <c r="C61" s="18" t="str">
        <f>IF('Dashboard 입력'!AD65="","",'Dashboard 입력'!AD65)</f>
        <v/>
      </c>
      <c r="D61" s="18" t="str">
        <f>IF('Dashboard 입력'!AE65="","",'Dashboard 입력'!AE65)</f>
        <v/>
      </c>
      <c r="E61" s="118" t="str">
        <f>IF('Dashboard 입력'!AI65="", "", 'Dashboard 입력'!AI65 &amp; " (" &amp; 'Dashboard 입력'!AF65 &amp; ")")</f>
        <v/>
      </c>
      <c r="F61" s="118" t="str">
        <f>IF('Dashboard 입력'!AJ65="", "", 'Dashboard 입력'!AJ65 &amp; " (" &amp; 'Dashboard 입력'!AG65 &amp; ")")</f>
        <v/>
      </c>
      <c r="G61" s="118" t="str">
        <f>IF(위험성평가_입력[[#This Row],[위험성]]="","", 위험성평가_입력[[#This Row],[위험성]] &amp; " (" &amp; 위험성평가_입력[[#This Row],[위험도(전)]] &amp; ")")</f>
        <v/>
      </c>
      <c r="H61" s="116"/>
    </row>
    <row r="62" spans="1:8" ht="25" customHeight="1">
      <c r="A62" s="118" t="str">
        <f>IF('Dashboard 입력'!AB66="","",'Dashboard 입력'!AB66)</f>
        <v/>
      </c>
      <c r="B62" s="18" t="str">
        <f>IF('Dashboard 입력'!AC66="","",'Dashboard 입력'!AC66)</f>
        <v/>
      </c>
      <c r="C62" s="18" t="str">
        <f>IF('Dashboard 입력'!AD66="","",'Dashboard 입력'!AD66)</f>
        <v/>
      </c>
      <c r="D62" s="18" t="str">
        <f>IF('Dashboard 입력'!AE66="","",'Dashboard 입력'!AE66)</f>
        <v/>
      </c>
      <c r="E62" s="118" t="str">
        <f>IF('Dashboard 입력'!AI66="", "", 'Dashboard 입력'!AI66 &amp; " (" &amp; 'Dashboard 입력'!AF66 &amp; ")")</f>
        <v/>
      </c>
      <c r="F62" s="118" t="str">
        <f>IF('Dashboard 입력'!AJ66="", "", 'Dashboard 입력'!AJ66 &amp; " (" &amp; 'Dashboard 입력'!AG66 &amp; ")")</f>
        <v/>
      </c>
      <c r="G62" s="118" t="str">
        <f>IF(위험성평가_입력[[#This Row],[위험성]]="","", 위험성평가_입력[[#This Row],[위험성]] &amp; " (" &amp; 위험성평가_입력[[#This Row],[위험도(전)]] &amp; ")")</f>
        <v/>
      </c>
      <c r="H62" s="116"/>
    </row>
    <row r="63" spans="1:8" ht="25" customHeight="1">
      <c r="A63" s="118" t="str">
        <f>IF('Dashboard 입력'!AB67="","",'Dashboard 입력'!AB67)</f>
        <v/>
      </c>
      <c r="B63" s="18" t="str">
        <f>IF('Dashboard 입력'!AC67="","",'Dashboard 입력'!AC67)</f>
        <v/>
      </c>
      <c r="C63" s="18" t="str">
        <f>IF('Dashboard 입력'!AD67="","",'Dashboard 입력'!AD67)</f>
        <v/>
      </c>
      <c r="D63" s="18" t="str">
        <f>IF('Dashboard 입력'!AE67="","",'Dashboard 입력'!AE67)</f>
        <v/>
      </c>
      <c r="E63" s="118" t="str">
        <f>IF('Dashboard 입력'!AI67="", "", 'Dashboard 입력'!AI67 &amp; " (" &amp; 'Dashboard 입력'!AF67 &amp; ")")</f>
        <v/>
      </c>
      <c r="F63" s="118" t="str">
        <f>IF('Dashboard 입력'!AJ67="", "", 'Dashboard 입력'!AJ67 &amp; " (" &amp; 'Dashboard 입력'!AG67 &amp; ")")</f>
        <v/>
      </c>
      <c r="G63" s="118" t="str">
        <f>IF(위험성평가_입력[[#This Row],[위험성]]="","", 위험성평가_입력[[#This Row],[위험성]] &amp; " (" &amp; 위험성평가_입력[[#This Row],[위험도(전)]] &amp; ")")</f>
        <v/>
      </c>
      <c r="H63" s="116"/>
    </row>
    <row r="64" spans="1:8" ht="25" customHeight="1">
      <c r="A64" s="118" t="str">
        <f>IF('Dashboard 입력'!AB68="","",'Dashboard 입력'!AB68)</f>
        <v/>
      </c>
      <c r="B64" s="18" t="str">
        <f>IF('Dashboard 입력'!AC68="","",'Dashboard 입력'!AC68)</f>
        <v/>
      </c>
      <c r="C64" s="18" t="str">
        <f>IF('Dashboard 입력'!AD68="","",'Dashboard 입력'!AD68)</f>
        <v/>
      </c>
      <c r="D64" s="18" t="str">
        <f>IF('Dashboard 입력'!AE68="","",'Dashboard 입력'!AE68)</f>
        <v/>
      </c>
      <c r="E64" s="118" t="str">
        <f>IF('Dashboard 입력'!AI68="", "", 'Dashboard 입력'!AI68 &amp; " (" &amp; 'Dashboard 입력'!AF68 &amp; ")")</f>
        <v/>
      </c>
      <c r="F64" s="118" t="str">
        <f>IF('Dashboard 입력'!AJ68="", "", 'Dashboard 입력'!AJ68 &amp; " (" &amp; 'Dashboard 입력'!AG68 &amp; ")")</f>
        <v/>
      </c>
      <c r="G64" s="118" t="str">
        <f>IF(위험성평가_입력[[#This Row],[위험성]]="","", 위험성평가_입력[[#This Row],[위험성]] &amp; " (" &amp; 위험성평가_입력[[#This Row],[위험도(전)]] &amp; ")")</f>
        <v/>
      </c>
      <c r="H64" s="116"/>
    </row>
    <row r="65" spans="1:8" ht="25" customHeight="1">
      <c r="A65" s="118" t="str">
        <f>IF('Dashboard 입력'!AB69="","",'Dashboard 입력'!AB69)</f>
        <v/>
      </c>
      <c r="B65" s="18" t="str">
        <f>IF('Dashboard 입력'!AC69="","",'Dashboard 입력'!AC69)</f>
        <v/>
      </c>
      <c r="C65" s="18" t="str">
        <f>IF('Dashboard 입력'!AD69="","",'Dashboard 입력'!AD69)</f>
        <v/>
      </c>
      <c r="D65" s="18" t="str">
        <f>IF('Dashboard 입력'!AE69="","",'Dashboard 입력'!AE69)</f>
        <v/>
      </c>
      <c r="E65" s="118" t="str">
        <f>IF('Dashboard 입력'!AI69="", "", 'Dashboard 입력'!AI69 &amp; " (" &amp; 'Dashboard 입력'!AF69 &amp; ")")</f>
        <v/>
      </c>
      <c r="F65" s="118" t="str">
        <f>IF('Dashboard 입력'!AJ69="", "", 'Dashboard 입력'!AJ69 &amp; " (" &amp; 'Dashboard 입력'!AG69 &amp; ")")</f>
        <v/>
      </c>
      <c r="G65" s="118" t="str">
        <f>IF(위험성평가_입력[[#This Row],[위험성]]="","", 위험성평가_입력[[#This Row],[위험성]] &amp; " (" &amp; 위험성평가_입력[[#This Row],[위험도(전)]] &amp; ")")</f>
        <v/>
      </c>
      <c r="H65" s="116"/>
    </row>
    <row r="66" spans="1:8" ht="25" customHeight="1">
      <c r="A66" s="118" t="str">
        <f>IF('Dashboard 입력'!AB70="","",'Dashboard 입력'!AB70)</f>
        <v/>
      </c>
      <c r="B66" s="18" t="str">
        <f>IF('Dashboard 입력'!AC70="","",'Dashboard 입력'!AC70)</f>
        <v/>
      </c>
      <c r="C66" s="18" t="str">
        <f>IF('Dashboard 입력'!AD70="","",'Dashboard 입력'!AD70)</f>
        <v/>
      </c>
      <c r="D66" s="18" t="str">
        <f>IF('Dashboard 입력'!AE70="","",'Dashboard 입력'!AE70)</f>
        <v/>
      </c>
      <c r="E66" s="118" t="str">
        <f>IF('Dashboard 입력'!AI70="", "", 'Dashboard 입력'!AI70 &amp; " (" &amp; 'Dashboard 입력'!AF70 &amp; ")")</f>
        <v/>
      </c>
      <c r="F66" s="118" t="str">
        <f>IF('Dashboard 입력'!AJ70="", "", 'Dashboard 입력'!AJ70 &amp; " (" &amp; 'Dashboard 입력'!AG70 &amp; ")")</f>
        <v/>
      </c>
      <c r="G66" s="118" t="str">
        <f>IF(위험성평가_입력[[#This Row],[위험성]]="","", 위험성평가_입력[[#This Row],[위험성]] &amp; " (" &amp; 위험성평가_입력[[#This Row],[위험도(전)]] &amp; ")")</f>
        <v/>
      </c>
      <c r="H66" s="116"/>
    </row>
    <row r="67" spans="1:8" ht="25" customHeight="1">
      <c r="A67" s="118" t="str">
        <f>IF('Dashboard 입력'!AB71="","",'Dashboard 입력'!AB71)</f>
        <v/>
      </c>
      <c r="B67" s="18" t="str">
        <f>IF('Dashboard 입력'!AC71="","",'Dashboard 입력'!AC71)</f>
        <v/>
      </c>
      <c r="C67" s="18" t="str">
        <f>IF('Dashboard 입력'!AD71="","",'Dashboard 입력'!AD71)</f>
        <v/>
      </c>
      <c r="D67" s="18" t="str">
        <f>IF('Dashboard 입력'!AE71="","",'Dashboard 입력'!AE71)</f>
        <v/>
      </c>
      <c r="E67" s="118" t="str">
        <f>IF('Dashboard 입력'!AI71="", "", 'Dashboard 입력'!AI71 &amp; " (" &amp; 'Dashboard 입력'!AF71 &amp; ")")</f>
        <v/>
      </c>
      <c r="F67" s="118" t="str">
        <f>IF('Dashboard 입력'!AJ71="", "", 'Dashboard 입력'!AJ71 &amp; " (" &amp; 'Dashboard 입력'!AG71 &amp; ")")</f>
        <v/>
      </c>
      <c r="G67" s="118" t="str">
        <f>IF(위험성평가_입력[[#This Row],[위험성]]="","", 위험성평가_입력[[#This Row],[위험성]] &amp; " (" &amp; 위험성평가_입력[[#This Row],[위험도(전)]] &amp; ")")</f>
        <v/>
      </c>
      <c r="H67" s="116"/>
    </row>
    <row r="68" spans="1:8" ht="25" customHeight="1">
      <c r="A68" s="118" t="str">
        <f>IF('Dashboard 입력'!AB72="","",'Dashboard 입력'!AB72)</f>
        <v/>
      </c>
      <c r="B68" s="18" t="str">
        <f>IF('Dashboard 입력'!AC72="","",'Dashboard 입력'!AC72)</f>
        <v/>
      </c>
      <c r="C68" s="18" t="str">
        <f>IF('Dashboard 입력'!AD72="","",'Dashboard 입력'!AD72)</f>
        <v/>
      </c>
      <c r="D68" s="18" t="str">
        <f>IF('Dashboard 입력'!AE72="","",'Dashboard 입력'!AE72)</f>
        <v/>
      </c>
      <c r="E68" s="118" t="str">
        <f>IF('Dashboard 입력'!AI72="", "", 'Dashboard 입력'!AI72 &amp; " (" &amp; 'Dashboard 입력'!AF72 &amp; ")")</f>
        <v/>
      </c>
      <c r="F68" s="118" t="str">
        <f>IF('Dashboard 입력'!AJ72="", "", 'Dashboard 입력'!AJ72 &amp; " (" &amp; 'Dashboard 입력'!AG72 &amp; ")")</f>
        <v/>
      </c>
      <c r="G68" s="118" t="str">
        <f>IF(위험성평가_입력[[#This Row],[위험성]]="","", 위험성평가_입력[[#This Row],[위험성]] &amp; " (" &amp; 위험성평가_입력[[#This Row],[위험도(전)]] &amp; ")")</f>
        <v/>
      </c>
      <c r="H68" s="116"/>
    </row>
    <row r="69" spans="1:8" ht="25" customHeight="1">
      <c r="A69" s="118" t="str">
        <f>IF('Dashboard 입력'!AB73="","",'Dashboard 입력'!AB73)</f>
        <v/>
      </c>
      <c r="B69" s="18" t="str">
        <f>IF('Dashboard 입력'!AC73="","",'Dashboard 입력'!AC73)</f>
        <v/>
      </c>
      <c r="C69" s="18" t="str">
        <f>IF('Dashboard 입력'!AD73="","",'Dashboard 입력'!AD73)</f>
        <v/>
      </c>
      <c r="D69" s="18" t="str">
        <f>IF('Dashboard 입력'!AE73="","",'Dashboard 입력'!AE73)</f>
        <v/>
      </c>
      <c r="E69" s="118" t="str">
        <f>IF('Dashboard 입력'!AI73="", "", 'Dashboard 입력'!AI73 &amp; " (" &amp; 'Dashboard 입력'!AF73 &amp; ")")</f>
        <v/>
      </c>
      <c r="F69" s="118" t="str">
        <f>IF('Dashboard 입력'!AJ73="", "", 'Dashboard 입력'!AJ73 &amp; " (" &amp; 'Dashboard 입력'!AG73 &amp; ")")</f>
        <v/>
      </c>
      <c r="G69" s="118" t="str">
        <f>IF(위험성평가_입력[[#This Row],[위험성]]="","", 위험성평가_입력[[#This Row],[위험성]] &amp; " (" &amp; 위험성평가_입력[[#This Row],[위험도(전)]] &amp; ")")</f>
        <v/>
      </c>
      <c r="H69" s="116"/>
    </row>
    <row r="70" spans="1:8" ht="25" customHeight="1">
      <c r="A70" s="118" t="str">
        <f>IF('Dashboard 입력'!AB74="","",'Dashboard 입력'!AB74)</f>
        <v/>
      </c>
      <c r="B70" s="18" t="str">
        <f>IF('Dashboard 입력'!AC74="","",'Dashboard 입력'!AC74)</f>
        <v/>
      </c>
      <c r="C70" s="18" t="str">
        <f>IF('Dashboard 입력'!AD74="","",'Dashboard 입력'!AD74)</f>
        <v/>
      </c>
      <c r="D70" s="18" t="str">
        <f>IF('Dashboard 입력'!AE74="","",'Dashboard 입력'!AE74)</f>
        <v/>
      </c>
      <c r="E70" s="118" t="str">
        <f>IF('Dashboard 입력'!AI74="", "", 'Dashboard 입력'!AI74 &amp; " (" &amp; 'Dashboard 입력'!AF74 &amp; ")")</f>
        <v/>
      </c>
      <c r="F70" s="118" t="str">
        <f>IF('Dashboard 입력'!AJ74="", "", 'Dashboard 입력'!AJ74 &amp; " (" &amp; 'Dashboard 입력'!AG74 &amp; ")")</f>
        <v/>
      </c>
      <c r="G70" s="118" t="str">
        <f>IF(위험성평가_입력[[#This Row],[위험성]]="","", 위험성평가_입력[[#This Row],[위험성]] &amp; " (" &amp; 위험성평가_입력[[#This Row],[위험도(전)]] &amp; ")")</f>
        <v/>
      </c>
      <c r="H70" s="116"/>
    </row>
    <row r="71" spans="1:8" ht="25" customHeight="1">
      <c r="A71" s="118" t="str">
        <f>IF('Dashboard 입력'!AB75="","",'Dashboard 입력'!AB75)</f>
        <v/>
      </c>
      <c r="B71" s="18" t="str">
        <f>IF('Dashboard 입력'!AC75="","",'Dashboard 입력'!AC75)</f>
        <v/>
      </c>
      <c r="C71" s="18" t="str">
        <f>IF('Dashboard 입력'!AD75="","",'Dashboard 입력'!AD75)</f>
        <v/>
      </c>
      <c r="D71" s="18" t="str">
        <f>IF('Dashboard 입력'!AE75="","",'Dashboard 입력'!AE75)</f>
        <v/>
      </c>
      <c r="E71" s="118" t="str">
        <f>IF('Dashboard 입력'!AI75="", "", 'Dashboard 입력'!AI75 &amp; " (" &amp; 'Dashboard 입력'!AF75 &amp; ")")</f>
        <v/>
      </c>
      <c r="F71" s="118" t="str">
        <f>IF('Dashboard 입력'!AJ75="", "", 'Dashboard 입력'!AJ75 &amp; " (" &amp; 'Dashboard 입력'!AG75 &amp; ")")</f>
        <v/>
      </c>
      <c r="G71" s="118" t="str">
        <f>IF(위험성평가_입력[[#This Row],[위험성]]="","", 위험성평가_입력[[#This Row],[위험성]] &amp; " (" &amp; 위험성평가_입력[[#This Row],[위험도(전)]] &amp; ")")</f>
        <v/>
      </c>
      <c r="H71" s="116"/>
    </row>
    <row r="72" spans="1:8" ht="25" customHeight="1">
      <c r="A72" s="118" t="str">
        <f>IF('Dashboard 입력'!AB76="","",'Dashboard 입력'!AB76)</f>
        <v/>
      </c>
      <c r="B72" s="18" t="str">
        <f>IF('Dashboard 입력'!AC76="","",'Dashboard 입력'!AC76)</f>
        <v/>
      </c>
      <c r="C72" s="18" t="str">
        <f>IF('Dashboard 입력'!AD76="","",'Dashboard 입력'!AD76)</f>
        <v/>
      </c>
      <c r="D72" s="18" t="str">
        <f>IF('Dashboard 입력'!AE76="","",'Dashboard 입력'!AE76)</f>
        <v/>
      </c>
      <c r="E72" s="118" t="str">
        <f>IF('Dashboard 입력'!AI76="", "", 'Dashboard 입력'!AI76 &amp; " (" &amp; 'Dashboard 입력'!AF76 &amp; ")")</f>
        <v/>
      </c>
      <c r="F72" s="118" t="str">
        <f>IF('Dashboard 입력'!AJ76="", "", 'Dashboard 입력'!AJ76 &amp; " (" &amp; 'Dashboard 입력'!AG76 &amp; ")")</f>
        <v/>
      </c>
      <c r="G72" s="118" t="str">
        <f>IF(위험성평가_입력[[#This Row],[위험성]]="","", 위험성평가_입력[[#This Row],[위험성]] &amp; " (" &amp; 위험성평가_입력[[#This Row],[위험도(전)]] &amp; ")")</f>
        <v/>
      </c>
      <c r="H72" s="116"/>
    </row>
    <row r="73" spans="1:8" ht="25" customHeight="1">
      <c r="A73" s="118" t="str">
        <f>IF('Dashboard 입력'!AB77="","",'Dashboard 입력'!AB77)</f>
        <v/>
      </c>
      <c r="B73" s="18" t="str">
        <f>IF('Dashboard 입력'!AC77="","",'Dashboard 입력'!AC77)</f>
        <v/>
      </c>
      <c r="C73" s="18" t="str">
        <f>IF('Dashboard 입력'!AD77="","",'Dashboard 입력'!AD77)</f>
        <v/>
      </c>
      <c r="D73" s="18" t="str">
        <f>IF('Dashboard 입력'!AE77="","",'Dashboard 입력'!AE77)</f>
        <v/>
      </c>
      <c r="E73" s="118" t="str">
        <f>IF('Dashboard 입력'!AI77="", "", 'Dashboard 입력'!AI77 &amp; " (" &amp; 'Dashboard 입력'!AF77 &amp; ")")</f>
        <v/>
      </c>
      <c r="F73" s="118" t="str">
        <f>IF('Dashboard 입력'!AJ77="", "", 'Dashboard 입력'!AJ77 &amp; " (" &amp; 'Dashboard 입력'!AG77 &amp; ")")</f>
        <v/>
      </c>
      <c r="G73" s="118" t="str">
        <f>IF(위험성평가_입력[[#This Row],[위험성]]="","", 위험성평가_입력[[#This Row],[위험성]] &amp; " (" &amp; 위험성평가_입력[[#This Row],[위험도(전)]] &amp; ")")</f>
        <v/>
      </c>
      <c r="H73" s="116"/>
    </row>
    <row r="74" spans="1:8" ht="25" customHeight="1">
      <c r="A74" s="118" t="str">
        <f>IF('Dashboard 입력'!AB78="","",'Dashboard 입력'!AB78)</f>
        <v/>
      </c>
      <c r="B74" s="18" t="str">
        <f>IF('Dashboard 입력'!AC78="","",'Dashboard 입력'!AC78)</f>
        <v/>
      </c>
      <c r="C74" s="18" t="str">
        <f>IF('Dashboard 입력'!AD78="","",'Dashboard 입력'!AD78)</f>
        <v/>
      </c>
      <c r="D74" s="18" t="str">
        <f>IF('Dashboard 입력'!AE78="","",'Dashboard 입력'!AE78)</f>
        <v/>
      </c>
      <c r="E74" s="118" t="str">
        <f>IF('Dashboard 입력'!AI78="", "", 'Dashboard 입력'!AI78 &amp; " (" &amp; 'Dashboard 입력'!AF78 &amp; ")")</f>
        <v/>
      </c>
      <c r="F74" s="118" t="str">
        <f>IF('Dashboard 입력'!AJ78="", "", 'Dashboard 입력'!AJ78 &amp; " (" &amp; 'Dashboard 입력'!AG78 &amp; ")")</f>
        <v/>
      </c>
      <c r="G74" s="118" t="str">
        <f>IF(위험성평가_입력[[#This Row],[위험성]]="","", 위험성평가_입력[[#This Row],[위험성]] &amp; " (" &amp; 위험성평가_입력[[#This Row],[위험도(전)]] &amp; ")")</f>
        <v/>
      </c>
      <c r="H74" s="116"/>
    </row>
    <row r="75" spans="1:8" ht="25" customHeight="1">
      <c r="A75" s="118" t="str">
        <f>IF('Dashboard 입력'!AB79="","",'Dashboard 입력'!AB79)</f>
        <v/>
      </c>
      <c r="B75" s="18" t="str">
        <f>IF('Dashboard 입력'!AC79="","",'Dashboard 입력'!AC79)</f>
        <v/>
      </c>
      <c r="C75" s="18" t="str">
        <f>IF('Dashboard 입력'!AD79="","",'Dashboard 입력'!AD79)</f>
        <v/>
      </c>
      <c r="D75" s="18" t="str">
        <f>IF('Dashboard 입력'!AE79="","",'Dashboard 입력'!AE79)</f>
        <v/>
      </c>
      <c r="E75" s="118" t="str">
        <f>IF('Dashboard 입력'!AI79="", "", 'Dashboard 입력'!AI79 &amp; " (" &amp; 'Dashboard 입력'!AF79 &amp; ")")</f>
        <v/>
      </c>
      <c r="F75" s="118" t="str">
        <f>IF('Dashboard 입력'!AJ79="", "", 'Dashboard 입력'!AJ79 &amp; " (" &amp; 'Dashboard 입력'!AG79 &amp; ")")</f>
        <v/>
      </c>
      <c r="G75" s="118" t="str">
        <f>IF(위험성평가_입력[[#This Row],[위험성]]="","", 위험성평가_입력[[#This Row],[위험성]] &amp; " (" &amp; 위험성평가_입력[[#This Row],[위험도(전)]] &amp; ")")</f>
        <v/>
      </c>
      <c r="H75" s="116"/>
    </row>
    <row r="76" spans="1:8" ht="25" customHeight="1">
      <c r="A76" s="118" t="str">
        <f>IF('Dashboard 입력'!AB80="","",'Dashboard 입력'!AB80)</f>
        <v/>
      </c>
      <c r="B76" s="18" t="str">
        <f>IF('Dashboard 입력'!AC80="","",'Dashboard 입력'!AC80)</f>
        <v/>
      </c>
      <c r="C76" s="18" t="str">
        <f>IF('Dashboard 입력'!AD80="","",'Dashboard 입력'!AD80)</f>
        <v/>
      </c>
      <c r="D76" s="18" t="str">
        <f>IF('Dashboard 입력'!AE80="","",'Dashboard 입력'!AE80)</f>
        <v/>
      </c>
      <c r="E76" s="118" t="str">
        <f>IF('Dashboard 입력'!AI80="", "", 'Dashboard 입력'!AI80 &amp; " (" &amp; 'Dashboard 입력'!AF80 &amp; ")")</f>
        <v/>
      </c>
      <c r="F76" s="118" t="str">
        <f>IF('Dashboard 입력'!AJ80="", "", 'Dashboard 입력'!AJ80 &amp; " (" &amp; 'Dashboard 입력'!AG80 &amp; ")")</f>
        <v/>
      </c>
      <c r="G76" s="118" t="str">
        <f>IF(위험성평가_입력[[#This Row],[위험성]]="","", 위험성평가_입력[[#This Row],[위험성]] &amp; " (" &amp; 위험성평가_입력[[#This Row],[위험도(전)]] &amp; ")")</f>
        <v/>
      </c>
      <c r="H76" s="116"/>
    </row>
    <row r="77" spans="1:8" ht="25" customHeight="1">
      <c r="A77" s="118" t="str">
        <f>IF('Dashboard 입력'!AB81="","",'Dashboard 입력'!AB81)</f>
        <v/>
      </c>
      <c r="B77" s="18" t="str">
        <f>IF('Dashboard 입력'!AC81="","",'Dashboard 입력'!AC81)</f>
        <v/>
      </c>
      <c r="C77" s="18" t="str">
        <f>IF('Dashboard 입력'!AD81="","",'Dashboard 입력'!AD81)</f>
        <v/>
      </c>
      <c r="D77" s="18" t="str">
        <f>IF('Dashboard 입력'!AE81="","",'Dashboard 입력'!AE81)</f>
        <v/>
      </c>
      <c r="E77" s="118" t="str">
        <f>IF('Dashboard 입력'!AI81="", "", 'Dashboard 입력'!AI81 &amp; " (" &amp; 'Dashboard 입력'!AF81 &amp; ")")</f>
        <v/>
      </c>
      <c r="F77" s="118" t="str">
        <f>IF('Dashboard 입력'!AJ81="", "", 'Dashboard 입력'!AJ81 &amp; " (" &amp; 'Dashboard 입력'!AG81 &amp; ")")</f>
        <v/>
      </c>
      <c r="G77" s="118" t="str">
        <f>IF(위험성평가_입력[[#This Row],[위험성]]="","", 위험성평가_입력[[#This Row],[위험성]] &amp; " (" &amp; 위험성평가_입력[[#This Row],[위험도(전)]] &amp; ")")</f>
        <v/>
      </c>
      <c r="H77" s="116"/>
    </row>
    <row r="78" spans="1:8" ht="25" customHeight="1">
      <c r="A78" s="118" t="str">
        <f>IF('Dashboard 입력'!AB82="","",'Dashboard 입력'!AB82)</f>
        <v/>
      </c>
      <c r="B78" s="18" t="str">
        <f>IF('Dashboard 입력'!AC82="","",'Dashboard 입력'!AC82)</f>
        <v/>
      </c>
      <c r="C78" s="18" t="str">
        <f>IF('Dashboard 입력'!AD82="","",'Dashboard 입력'!AD82)</f>
        <v/>
      </c>
      <c r="D78" s="18" t="str">
        <f>IF('Dashboard 입력'!AE82="","",'Dashboard 입력'!AE82)</f>
        <v/>
      </c>
      <c r="E78" s="118" t="str">
        <f>IF('Dashboard 입력'!AI82="", "", 'Dashboard 입력'!AI82 &amp; " (" &amp; 'Dashboard 입력'!AF82 &amp; ")")</f>
        <v/>
      </c>
      <c r="F78" s="118" t="str">
        <f>IF('Dashboard 입력'!AJ82="", "", 'Dashboard 입력'!AJ82 &amp; " (" &amp; 'Dashboard 입력'!AG82 &amp; ")")</f>
        <v/>
      </c>
      <c r="G78" s="118" t="str">
        <f>IF(위험성평가_입력[[#This Row],[위험성]]="","", 위험성평가_입력[[#This Row],[위험성]] &amp; " (" &amp; 위험성평가_입력[[#This Row],[위험도(전)]] &amp; ")")</f>
        <v/>
      </c>
      <c r="H78" s="116"/>
    </row>
    <row r="79" spans="1:8" ht="25" customHeight="1">
      <c r="A79" s="118" t="str">
        <f>IF('Dashboard 입력'!AB83="","",'Dashboard 입력'!AB83)</f>
        <v/>
      </c>
      <c r="B79" s="18" t="str">
        <f>IF('Dashboard 입력'!AC83="","",'Dashboard 입력'!AC83)</f>
        <v/>
      </c>
      <c r="C79" s="18" t="str">
        <f>IF('Dashboard 입력'!AD83="","",'Dashboard 입력'!AD83)</f>
        <v/>
      </c>
      <c r="D79" s="18" t="str">
        <f>IF('Dashboard 입력'!AE83="","",'Dashboard 입력'!AE83)</f>
        <v/>
      </c>
      <c r="E79" s="118" t="str">
        <f>IF('Dashboard 입력'!AI83="", "", 'Dashboard 입력'!AI83 &amp; " (" &amp; 'Dashboard 입력'!AF83 &amp; ")")</f>
        <v/>
      </c>
      <c r="F79" s="118" t="str">
        <f>IF('Dashboard 입력'!AJ83="", "", 'Dashboard 입력'!AJ83 &amp; " (" &amp; 'Dashboard 입력'!AG83 &amp; ")")</f>
        <v/>
      </c>
      <c r="G79" s="118" t="str">
        <f>IF(위험성평가_입력[[#This Row],[위험성]]="","", 위험성평가_입력[[#This Row],[위험성]] &amp; " (" &amp; 위험성평가_입력[[#This Row],[위험도(전)]] &amp; ")")</f>
        <v/>
      </c>
      <c r="H79" s="116"/>
    </row>
    <row r="80" spans="1:8" ht="25" customHeight="1">
      <c r="A80" s="118" t="str">
        <f>IF('Dashboard 입력'!AB84="","",'Dashboard 입력'!AB84)</f>
        <v/>
      </c>
      <c r="B80" s="18" t="str">
        <f>IF('Dashboard 입력'!AC84="","",'Dashboard 입력'!AC84)</f>
        <v/>
      </c>
      <c r="C80" s="18" t="str">
        <f>IF('Dashboard 입력'!AD84="","",'Dashboard 입력'!AD84)</f>
        <v/>
      </c>
      <c r="D80" s="18" t="str">
        <f>IF('Dashboard 입력'!AE84="","",'Dashboard 입력'!AE84)</f>
        <v/>
      </c>
      <c r="E80" s="118" t="str">
        <f>IF('Dashboard 입력'!AI84="", "", 'Dashboard 입력'!AI84 &amp; " (" &amp; 'Dashboard 입력'!AF84 &amp; ")")</f>
        <v/>
      </c>
      <c r="F80" s="118" t="str">
        <f>IF('Dashboard 입력'!AJ84="", "", 'Dashboard 입력'!AJ84 &amp; " (" &amp; 'Dashboard 입력'!AG84 &amp; ")")</f>
        <v/>
      </c>
      <c r="G80" s="118" t="str">
        <f>IF(위험성평가_입력[[#This Row],[위험성]]="","", 위험성평가_입력[[#This Row],[위험성]] &amp; " (" &amp; 위험성평가_입력[[#This Row],[위험도(전)]] &amp; ")")</f>
        <v/>
      </c>
      <c r="H80" s="116"/>
    </row>
    <row r="81" spans="1:8" ht="25" customHeight="1">
      <c r="A81" s="118" t="str">
        <f>IF('Dashboard 입력'!AB85="","",'Dashboard 입력'!AB85)</f>
        <v/>
      </c>
      <c r="B81" s="18" t="str">
        <f>IF('Dashboard 입력'!AC85="","",'Dashboard 입력'!AC85)</f>
        <v/>
      </c>
      <c r="C81" s="18" t="str">
        <f>IF('Dashboard 입력'!AD85="","",'Dashboard 입력'!AD85)</f>
        <v/>
      </c>
      <c r="D81" s="18" t="str">
        <f>IF('Dashboard 입력'!AE85="","",'Dashboard 입력'!AE85)</f>
        <v/>
      </c>
      <c r="E81" s="118" t="str">
        <f>IF('Dashboard 입력'!AI85="", "", 'Dashboard 입력'!AI85 &amp; " (" &amp; 'Dashboard 입력'!AF85 &amp; ")")</f>
        <v/>
      </c>
      <c r="F81" s="118" t="str">
        <f>IF('Dashboard 입력'!AJ85="", "", 'Dashboard 입력'!AJ85 &amp; " (" &amp; 'Dashboard 입력'!AG85 &amp; ")")</f>
        <v/>
      </c>
      <c r="G81" s="118" t="str">
        <f>IF(위험성평가_입력[[#This Row],[위험성]]="","", 위험성평가_입력[[#This Row],[위험성]] &amp; " (" &amp; 위험성평가_입력[[#This Row],[위험도(전)]] &amp; ")")</f>
        <v/>
      </c>
      <c r="H81" s="116"/>
    </row>
    <row r="82" spans="1:8" ht="25" customHeight="1">
      <c r="A82" s="118" t="str">
        <f>IF('Dashboard 입력'!AB86="","",'Dashboard 입력'!AB86)</f>
        <v/>
      </c>
      <c r="B82" s="18" t="str">
        <f>IF('Dashboard 입력'!AC86="","",'Dashboard 입력'!AC86)</f>
        <v/>
      </c>
      <c r="C82" s="18" t="str">
        <f>IF('Dashboard 입력'!AD86="","",'Dashboard 입력'!AD86)</f>
        <v/>
      </c>
      <c r="D82" s="18" t="str">
        <f>IF('Dashboard 입력'!AE86="","",'Dashboard 입력'!AE86)</f>
        <v/>
      </c>
      <c r="E82" s="118" t="str">
        <f>IF('Dashboard 입력'!AI86="", "", 'Dashboard 입력'!AI86 &amp; " (" &amp; 'Dashboard 입력'!AF86 &amp; ")")</f>
        <v/>
      </c>
      <c r="F82" s="118" t="str">
        <f>IF('Dashboard 입력'!AJ86="", "", 'Dashboard 입력'!AJ86 &amp; " (" &amp; 'Dashboard 입력'!AG86 &amp; ")")</f>
        <v/>
      </c>
      <c r="G82" s="118" t="str">
        <f>IF(위험성평가_입력[[#This Row],[위험성]]="","", 위험성평가_입력[[#This Row],[위험성]] &amp; " (" &amp; 위험성평가_입력[[#This Row],[위험도(전)]] &amp; ")")</f>
        <v/>
      </c>
      <c r="H82" s="116"/>
    </row>
    <row r="83" spans="1:8" ht="25" customHeight="1">
      <c r="A83" s="118" t="str">
        <f>IF('Dashboard 입력'!AB87="","",'Dashboard 입력'!AB87)</f>
        <v/>
      </c>
      <c r="B83" s="18" t="str">
        <f>IF('Dashboard 입력'!AC87="","",'Dashboard 입력'!AC87)</f>
        <v/>
      </c>
      <c r="C83" s="18" t="str">
        <f>IF('Dashboard 입력'!AD87="","",'Dashboard 입력'!AD87)</f>
        <v/>
      </c>
      <c r="D83" s="18" t="str">
        <f>IF('Dashboard 입력'!AE87="","",'Dashboard 입력'!AE87)</f>
        <v/>
      </c>
      <c r="E83" s="118" t="str">
        <f>IF('Dashboard 입력'!AI87="", "", 'Dashboard 입력'!AI87 &amp; " (" &amp; 'Dashboard 입력'!AF87 &amp; ")")</f>
        <v/>
      </c>
      <c r="F83" s="118" t="str">
        <f>IF('Dashboard 입력'!AJ87="", "", 'Dashboard 입력'!AJ87 &amp; " (" &amp; 'Dashboard 입력'!AG87 &amp; ")")</f>
        <v/>
      </c>
      <c r="G83" s="118" t="str">
        <f>IF(위험성평가_입력[[#This Row],[위험성]]="","", 위험성평가_입력[[#This Row],[위험성]] &amp; " (" &amp; 위험성평가_입력[[#This Row],[위험도(전)]] &amp; ")")</f>
        <v/>
      </c>
      <c r="H83" s="116"/>
    </row>
    <row r="84" spans="1:8" ht="25" customHeight="1">
      <c r="A84" s="118" t="str">
        <f>IF('Dashboard 입력'!AB88="","",'Dashboard 입력'!AB88)</f>
        <v/>
      </c>
      <c r="B84" s="18" t="str">
        <f>IF('Dashboard 입력'!AC88="","",'Dashboard 입력'!AC88)</f>
        <v/>
      </c>
      <c r="C84" s="18" t="str">
        <f>IF('Dashboard 입력'!AD88="","",'Dashboard 입력'!AD88)</f>
        <v/>
      </c>
      <c r="D84" s="18" t="str">
        <f>IF('Dashboard 입력'!AE88="","",'Dashboard 입력'!AE88)</f>
        <v/>
      </c>
      <c r="E84" s="118" t="str">
        <f>IF('Dashboard 입력'!AI88="", "", 'Dashboard 입력'!AI88 &amp; " (" &amp; 'Dashboard 입력'!AF88 &amp; ")")</f>
        <v/>
      </c>
      <c r="F84" s="118" t="str">
        <f>IF('Dashboard 입력'!AJ88="", "", 'Dashboard 입력'!AJ88 &amp; " (" &amp; 'Dashboard 입력'!AG88 &amp; ")")</f>
        <v/>
      </c>
      <c r="G84" s="118" t="str">
        <f>IF(위험성평가_입력[[#This Row],[위험성]]="","", 위험성평가_입력[[#This Row],[위험성]] &amp; " (" &amp; 위험성평가_입력[[#This Row],[위험도(전)]] &amp; ")")</f>
        <v/>
      </c>
      <c r="H84" s="116"/>
    </row>
    <row r="85" spans="1:8" ht="25" customHeight="1">
      <c r="A85" s="118" t="str">
        <f>IF('Dashboard 입력'!AB89="","",'Dashboard 입력'!AB89)</f>
        <v/>
      </c>
      <c r="B85" s="18" t="str">
        <f>IF('Dashboard 입력'!AC89="","",'Dashboard 입력'!AC89)</f>
        <v/>
      </c>
      <c r="C85" s="18" t="str">
        <f>IF('Dashboard 입력'!AD89="","",'Dashboard 입력'!AD89)</f>
        <v/>
      </c>
      <c r="D85" s="18" t="str">
        <f>IF('Dashboard 입력'!AE89="","",'Dashboard 입력'!AE89)</f>
        <v/>
      </c>
      <c r="E85" s="118" t="str">
        <f>IF('Dashboard 입력'!AI89="", "", 'Dashboard 입력'!AI89 &amp; " (" &amp; 'Dashboard 입력'!AF89 &amp; ")")</f>
        <v/>
      </c>
      <c r="F85" s="118" t="str">
        <f>IF('Dashboard 입력'!AJ89="", "", 'Dashboard 입력'!AJ89 &amp; " (" &amp; 'Dashboard 입력'!AG89 &amp; ")")</f>
        <v/>
      </c>
      <c r="G85" s="118" t="str">
        <f>IF(위험성평가_입력[[#This Row],[위험성]]="","", 위험성평가_입력[[#This Row],[위험성]] &amp; " (" &amp; 위험성평가_입력[[#This Row],[위험도(전)]] &amp; ")")</f>
        <v/>
      </c>
      <c r="H85" s="116"/>
    </row>
    <row r="86" spans="1:8" ht="25" customHeight="1">
      <c r="A86" s="118" t="str">
        <f>IF('Dashboard 입력'!AB90="","",'Dashboard 입력'!AB90)</f>
        <v/>
      </c>
      <c r="B86" s="18" t="str">
        <f>IF('Dashboard 입력'!AC90="","",'Dashboard 입력'!AC90)</f>
        <v/>
      </c>
      <c r="C86" s="18" t="str">
        <f>IF('Dashboard 입력'!AD90="","",'Dashboard 입력'!AD90)</f>
        <v/>
      </c>
      <c r="D86" s="18" t="str">
        <f>IF('Dashboard 입력'!AE90="","",'Dashboard 입력'!AE90)</f>
        <v/>
      </c>
      <c r="E86" s="118" t="str">
        <f>IF('Dashboard 입력'!AI90="", "", 'Dashboard 입력'!AI90 &amp; " (" &amp; 'Dashboard 입력'!AF90 &amp; ")")</f>
        <v/>
      </c>
      <c r="F86" s="118" t="str">
        <f>IF('Dashboard 입력'!AJ90="", "", 'Dashboard 입력'!AJ90 &amp; " (" &amp; 'Dashboard 입력'!AG90 &amp; ")")</f>
        <v/>
      </c>
      <c r="G86" s="118" t="str">
        <f>IF(위험성평가_입력[[#This Row],[위험성]]="","", 위험성평가_입력[[#This Row],[위험성]] &amp; " (" &amp; 위험성평가_입력[[#This Row],[위험도(전)]] &amp; ")")</f>
        <v/>
      </c>
      <c r="H86" s="116"/>
    </row>
    <row r="87" spans="1:8" ht="25" customHeight="1">
      <c r="A87" s="118" t="str">
        <f>IF('Dashboard 입력'!AB91="","",'Dashboard 입력'!AB91)</f>
        <v/>
      </c>
      <c r="B87" s="18" t="str">
        <f>IF('Dashboard 입력'!AC91="","",'Dashboard 입력'!AC91)</f>
        <v/>
      </c>
      <c r="C87" s="18" t="str">
        <f>IF('Dashboard 입력'!AD91="","",'Dashboard 입력'!AD91)</f>
        <v/>
      </c>
      <c r="D87" s="18" t="str">
        <f>IF('Dashboard 입력'!AE91="","",'Dashboard 입력'!AE91)</f>
        <v/>
      </c>
      <c r="E87" s="118" t="str">
        <f>IF('Dashboard 입력'!AI91="", "", 'Dashboard 입력'!AI91 &amp; " (" &amp; 'Dashboard 입력'!AF91 &amp; ")")</f>
        <v/>
      </c>
      <c r="F87" s="118" t="str">
        <f>IF('Dashboard 입력'!AJ91="", "", 'Dashboard 입력'!AJ91 &amp; " (" &amp; 'Dashboard 입력'!AG91 &amp; ")")</f>
        <v/>
      </c>
      <c r="G87" s="118" t="str">
        <f>IF(위험성평가_입력[[#This Row],[위험성]]="","", 위험성평가_입력[[#This Row],[위험성]] &amp; " (" &amp; 위험성평가_입력[[#This Row],[위험도(전)]] &amp; ")")</f>
        <v/>
      </c>
      <c r="H87" s="116"/>
    </row>
    <row r="88" spans="1:8" ht="25" customHeight="1">
      <c r="A88" s="118" t="str">
        <f>IF('Dashboard 입력'!AB92="","",'Dashboard 입력'!AB92)</f>
        <v/>
      </c>
      <c r="B88" s="18" t="str">
        <f>IF('Dashboard 입력'!AC92="","",'Dashboard 입력'!AC92)</f>
        <v/>
      </c>
      <c r="C88" s="18" t="str">
        <f>IF('Dashboard 입력'!AD92="","",'Dashboard 입력'!AD92)</f>
        <v/>
      </c>
      <c r="D88" s="18" t="str">
        <f>IF('Dashboard 입력'!AE92="","",'Dashboard 입력'!AE92)</f>
        <v/>
      </c>
      <c r="E88" s="118" t="str">
        <f>IF('Dashboard 입력'!AI92="", "", 'Dashboard 입력'!AI92 &amp; " (" &amp; 'Dashboard 입력'!AF92 &amp; ")")</f>
        <v/>
      </c>
      <c r="F88" s="118" t="str">
        <f>IF('Dashboard 입력'!AJ92="", "", 'Dashboard 입력'!AJ92 &amp; " (" &amp; 'Dashboard 입력'!AG92 &amp; ")")</f>
        <v/>
      </c>
      <c r="G88" s="118" t="str">
        <f>IF(위험성평가_입력[[#This Row],[위험성]]="","", 위험성평가_입력[[#This Row],[위험성]] &amp; " (" &amp; 위험성평가_입력[[#This Row],[위험도(전)]] &amp; ")")</f>
        <v/>
      </c>
      <c r="H88" s="116"/>
    </row>
    <row r="89" spans="1:8" ht="25" customHeight="1">
      <c r="A89" s="118" t="str">
        <f>IF('Dashboard 입력'!AB93="","",'Dashboard 입력'!AB93)</f>
        <v/>
      </c>
      <c r="B89" s="18" t="str">
        <f>IF('Dashboard 입력'!AC93="","",'Dashboard 입력'!AC93)</f>
        <v/>
      </c>
      <c r="C89" s="18" t="str">
        <f>IF('Dashboard 입력'!AD93="","",'Dashboard 입력'!AD93)</f>
        <v/>
      </c>
      <c r="D89" s="18" t="str">
        <f>IF('Dashboard 입력'!AE93="","",'Dashboard 입력'!AE93)</f>
        <v/>
      </c>
      <c r="E89" s="118" t="str">
        <f>IF('Dashboard 입력'!AI93="", "", 'Dashboard 입력'!AI93 &amp; " (" &amp; 'Dashboard 입력'!AF93 &amp; ")")</f>
        <v/>
      </c>
      <c r="F89" s="118" t="str">
        <f>IF('Dashboard 입력'!AJ93="", "", 'Dashboard 입력'!AJ93 &amp; " (" &amp; 'Dashboard 입력'!AG93 &amp; ")")</f>
        <v/>
      </c>
      <c r="G89" s="118" t="str">
        <f>IF(위험성평가_입력[[#This Row],[위험성]]="","", 위험성평가_입력[[#This Row],[위험성]] &amp; " (" &amp; 위험성평가_입력[[#This Row],[위험도(전)]] &amp; ")")</f>
        <v/>
      </c>
      <c r="H89" s="116"/>
    </row>
    <row r="90" spans="1:8" ht="25" customHeight="1">
      <c r="A90" s="118" t="str">
        <f>IF('Dashboard 입력'!AB94="","",'Dashboard 입력'!AB94)</f>
        <v/>
      </c>
      <c r="B90" s="18" t="str">
        <f>IF('Dashboard 입력'!AC94="","",'Dashboard 입력'!AC94)</f>
        <v/>
      </c>
      <c r="C90" s="18" t="str">
        <f>IF('Dashboard 입력'!AD94="","",'Dashboard 입력'!AD94)</f>
        <v/>
      </c>
      <c r="D90" s="18" t="str">
        <f>IF('Dashboard 입력'!AE94="","",'Dashboard 입력'!AE94)</f>
        <v/>
      </c>
      <c r="E90" s="118" t="str">
        <f>IF('Dashboard 입력'!AI94="", "", 'Dashboard 입력'!AI94 &amp; " (" &amp; 'Dashboard 입력'!AF94 &amp; ")")</f>
        <v/>
      </c>
      <c r="F90" s="118" t="str">
        <f>IF('Dashboard 입력'!AJ94="", "", 'Dashboard 입력'!AJ94 &amp; " (" &amp; 'Dashboard 입력'!AG94 &amp; ")")</f>
        <v/>
      </c>
      <c r="G90" s="118" t="str">
        <f>IF(위험성평가_입력[[#This Row],[위험성]]="","", 위험성평가_입력[[#This Row],[위험성]] &amp; " (" &amp; 위험성평가_입력[[#This Row],[위험도(전)]] &amp; ")")</f>
        <v/>
      </c>
      <c r="H90" s="116"/>
    </row>
    <row r="91" spans="1:8" ht="25" customHeight="1">
      <c r="A91" s="118" t="str">
        <f>IF('Dashboard 입력'!AB95="","",'Dashboard 입력'!AB95)</f>
        <v/>
      </c>
      <c r="B91" s="18" t="str">
        <f>IF('Dashboard 입력'!AC95="","",'Dashboard 입력'!AC95)</f>
        <v/>
      </c>
      <c r="C91" s="18" t="str">
        <f>IF('Dashboard 입력'!AD95="","",'Dashboard 입력'!AD95)</f>
        <v/>
      </c>
      <c r="D91" s="18" t="str">
        <f>IF('Dashboard 입력'!AE95="","",'Dashboard 입력'!AE95)</f>
        <v/>
      </c>
      <c r="E91" s="118" t="str">
        <f>IF('Dashboard 입력'!AI95="", "", 'Dashboard 입력'!AI95 &amp; " (" &amp; 'Dashboard 입력'!AF95 &amp; ")")</f>
        <v/>
      </c>
      <c r="F91" s="118" t="str">
        <f>IF('Dashboard 입력'!AJ95="", "", 'Dashboard 입력'!AJ95 &amp; " (" &amp; 'Dashboard 입력'!AG95 &amp; ")")</f>
        <v/>
      </c>
      <c r="G91" s="118" t="str">
        <f>IF(위험성평가_입력[[#This Row],[위험성]]="","", 위험성평가_입력[[#This Row],[위험성]] &amp; " (" &amp; 위험성평가_입력[[#This Row],[위험도(전)]] &amp; ")")</f>
        <v/>
      </c>
      <c r="H91" s="116"/>
    </row>
    <row r="92" spans="1:8" ht="25" customHeight="1">
      <c r="A92" s="118" t="str">
        <f>IF('Dashboard 입력'!AB96="","",'Dashboard 입력'!AB96)</f>
        <v/>
      </c>
      <c r="B92" s="18" t="str">
        <f>IF('Dashboard 입력'!AC96="","",'Dashboard 입력'!AC96)</f>
        <v/>
      </c>
      <c r="C92" s="18" t="str">
        <f>IF('Dashboard 입력'!AD96="","",'Dashboard 입력'!AD96)</f>
        <v/>
      </c>
      <c r="D92" s="18" t="str">
        <f>IF('Dashboard 입력'!AE96="","",'Dashboard 입력'!AE96)</f>
        <v/>
      </c>
      <c r="E92" s="118" t="str">
        <f>IF('Dashboard 입력'!AI96="", "", 'Dashboard 입력'!AI96 &amp; " (" &amp; 'Dashboard 입력'!AF96 &amp; ")")</f>
        <v/>
      </c>
      <c r="F92" s="118" t="str">
        <f>IF('Dashboard 입력'!AJ96="", "", 'Dashboard 입력'!AJ96 &amp; " (" &amp; 'Dashboard 입력'!AG96 &amp; ")")</f>
        <v/>
      </c>
      <c r="G92" s="118" t="str">
        <f>IF(위험성평가_입력[[#This Row],[위험성]]="","", 위험성평가_입력[[#This Row],[위험성]] &amp; " (" &amp; 위험성평가_입력[[#This Row],[위험도(전)]] &amp; ")")</f>
        <v/>
      </c>
      <c r="H92" s="116"/>
    </row>
    <row r="93" spans="1:8" ht="25" customHeight="1">
      <c r="A93" s="118" t="str">
        <f>IF('Dashboard 입력'!AB97="","",'Dashboard 입력'!AB97)</f>
        <v/>
      </c>
      <c r="B93" s="18" t="str">
        <f>IF('Dashboard 입력'!AC97="","",'Dashboard 입력'!AC97)</f>
        <v/>
      </c>
      <c r="C93" s="18" t="str">
        <f>IF('Dashboard 입력'!AD97="","",'Dashboard 입력'!AD97)</f>
        <v/>
      </c>
      <c r="D93" s="18" t="str">
        <f>IF('Dashboard 입력'!AE97="","",'Dashboard 입력'!AE97)</f>
        <v/>
      </c>
      <c r="E93" s="118" t="str">
        <f>IF('Dashboard 입력'!AI97="", "", 'Dashboard 입력'!AI97 &amp; " (" &amp; 'Dashboard 입력'!AF97 &amp; ")")</f>
        <v/>
      </c>
      <c r="F93" s="118" t="str">
        <f>IF('Dashboard 입력'!AJ97="", "", 'Dashboard 입력'!AJ97 &amp; " (" &amp; 'Dashboard 입력'!AG97 &amp; ")")</f>
        <v/>
      </c>
      <c r="G93" s="118" t="str">
        <f>IF(위험성평가_입력[[#This Row],[위험성]]="","", 위험성평가_입력[[#This Row],[위험성]] &amp; " (" &amp; 위험성평가_입력[[#This Row],[위험도(전)]] &amp; ")")</f>
        <v/>
      </c>
      <c r="H93" s="116"/>
    </row>
    <row r="94" spans="1:8" ht="25" customHeight="1">
      <c r="A94" s="118" t="str">
        <f>IF('Dashboard 입력'!AB98="","",'Dashboard 입력'!AB98)</f>
        <v/>
      </c>
      <c r="B94" s="18" t="str">
        <f>IF('Dashboard 입력'!AC98="","",'Dashboard 입력'!AC98)</f>
        <v/>
      </c>
      <c r="C94" s="18" t="str">
        <f>IF('Dashboard 입력'!AD98="","",'Dashboard 입력'!AD98)</f>
        <v/>
      </c>
      <c r="D94" s="18" t="str">
        <f>IF('Dashboard 입력'!AE98="","",'Dashboard 입력'!AE98)</f>
        <v/>
      </c>
      <c r="E94" s="118" t="str">
        <f>IF('Dashboard 입력'!AI98="", "", 'Dashboard 입력'!AI98 &amp; " (" &amp; 'Dashboard 입력'!AF98 &amp; ")")</f>
        <v/>
      </c>
      <c r="F94" s="118" t="str">
        <f>IF('Dashboard 입력'!AJ98="", "", 'Dashboard 입력'!AJ98 &amp; " (" &amp; 'Dashboard 입력'!AG98 &amp; ")")</f>
        <v/>
      </c>
      <c r="G94" s="118" t="str">
        <f>IF(위험성평가_입력[[#This Row],[위험성]]="","", 위험성평가_입력[[#This Row],[위험성]] &amp; " (" &amp; 위험성평가_입력[[#This Row],[위험도(전)]] &amp; ")")</f>
        <v/>
      </c>
      <c r="H94" s="116"/>
    </row>
    <row r="95" spans="1:8" ht="25" customHeight="1">
      <c r="A95" s="118" t="str">
        <f>IF('Dashboard 입력'!AB99="","",'Dashboard 입력'!AB99)</f>
        <v/>
      </c>
      <c r="B95" s="18" t="str">
        <f>IF('Dashboard 입력'!AC99="","",'Dashboard 입력'!AC99)</f>
        <v/>
      </c>
      <c r="C95" s="18" t="str">
        <f>IF('Dashboard 입력'!AD99="","",'Dashboard 입력'!AD99)</f>
        <v/>
      </c>
      <c r="D95" s="18" t="str">
        <f>IF('Dashboard 입력'!AE99="","",'Dashboard 입력'!AE99)</f>
        <v/>
      </c>
      <c r="E95" s="118" t="str">
        <f>IF('Dashboard 입력'!AI99="", "", 'Dashboard 입력'!AI99 &amp; " (" &amp; 'Dashboard 입력'!AF99 &amp; ")")</f>
        <v/>
      </c>
      <c r="F95" s="118" t="str">
        <f>IF('Dashboard 입력'!AJ99="", "", 'Dashboard 입력'!AJ99 &amp; " (" &amp; 'Dashboard 입력'!AG99 &amp; ")")</f>
        <v/>
      </c>
      <c r="G95" s="118" t="str">
        <f>IF(위험성평가_입력[[#This Row],[위험성]]="","", 위험성평가_입력[[#This Row],[위험성]] &amp; " (" &amp; 위험성평가_입력[[#This Row],[위험도(전)]] &amp; ")")</f>
        <v/>
      </c>
      <c r="H95" s="116"/>
    </row>
    <row r="96" spans="1:8" ht="25" customHeight="1">
      <c r="A96" s="118" t="str">
        <f>IF('Dashboard 입력'!AB100="","",'Dashboard 입력'!AB100)</f>
        <v/>
      </c>
      <c r="B96" s="18" t="str">
        <f>IF('Dashboard 입력'!AC100="","",'Dashboard 입력'!AC100)</f>
        <v/>
      </c>
      <c r="C96" s="18" t="str">
        <f>IF('Dashboard 입력'!AD100="","",'Dashboard 입력'!AD100)</f>
        <v/>
      </c>
      <c r="D96" s="18" t="str">
        <f>IF('Dashboard 입력'!AE100="","",'Dashboard 입력'!AE100)</f>
        <v/>
      </c>
      <c r="E96" s="118" t="str">
        <f>IF('Dashboard 입력'!AI100="", "", 'Dashboard 입력'!AI100 &amp; " (" &amp; 'Dashboard 입력'!AF100 &amp; ")")</f>
        <v/>
      </c>
      <c r="F96" s="118" t="str">
        <f>IF('Dashboard 입력'!AJ100="", "", 'Dashboard 입력'!AJ100 &amp; " (" &amp; 'Dashboard 입력'!AG100 &amp; ")")</f>
        <v/>
      </c>
      <c r="G96" s="118" t="str">
        <f>IF(위험성평가_입력[[#This Row],[위험성]]="","", 위험성평가_입력[[#This Row],[위험성]] &amp; " (" &amp; 위험성평가_입력[[#This Row],[위험도(전)]] &amp; ")")</f>
        <v/>
      </c>
      <c r="H96" s="116"/>
    </row>
    <row r="97" spans="1:8" ht="25" customHeight="1">
      <c r="A97" s="118" t="str">
        <f>IF('Dashboard 입력'!AB101="","",'Dashboard 입력'!AB101)</f>
        <v/>
      </c>
      <c r="B97" s="18" t="str">
        <f>IF('Dashboard 입력'!AC101="","",'Dashboard 입력'!AC101)</f>
        <v/>
      </c>
      <c r="C97" s="18" t="str">
        <f>IF('Dashboard 입력'!AD101="","",'Dashboard 입력'!AD101)</f>
        <v/>
      </c>
      <c r="D97" s="18" t="str">
        <f>IF('Dashboard 입력'!AE101="","",'Dashboard 입력'!AE101)</f>
        <v/>
      </c>
      <c r="E97" s="118" t="str">
        <f>IF('Dashboard 입력'!AI101="", "", 'Dashboard 입력'!AI101 &amp; " (" &amp; 'Dashboard 입력'!AF101 &amp; ")")</f>
        <v/>
      </c>
      <c r="F97" s="118" t="str">
        <f>IF('Dashboard 입력'!AJ101="", "", 'Dashboard 입력'!AJ101 &amp; " (" &amp; 'Dashboard 입력'!AG101 &amp; ")")</f>
        <v/>
      </c>
      <c r="G97" s="118" t="str">
        <f>IF(위험성평가_입력[[#This Row],[위험성]]="","", 위험성평가_입력[[#This Row],[위험성]] &amp; " (" &amp; 위험성평가_입력[[#This Row],[위험도(전)]] &amp; ")")</f>
        <v/>
      </c>
      <c r="H97" s="116"/>
    </row>
    <row r="98" spans="1:8" ht="25" customHeight="1">
      <c r="A98" s="118" t="str">
        <f>IF('Dashboard 입력'!AB102="","",'Dashboard 입력'!AB102)</f>
        <v/>
      </c>
      <c r="B98" s="18" t="str">
        <f>IF('Dashboard 입력'!AC102="","",'Dashboard 입력'!AC102)</f>
        <v/>
      </c>
      <c r="C98" s="18" t="str">
        <f>IF('Dashboard 입력'!AD102="","",'Dashboard 입력'!AD102)</f>
        <v/>
      </c>
      <c r="D98" s="18" t="str">
        <f>IF('Dashboard 입력'!AE102="","",'Dashboard 입력'!AE102)</f>
        <v/>
      </c>
      <c r="E98" s="118" t="str">
        <f>IF('Dashboard 입력'!AI102="", "", 'Dashboard 입력'!AI102 &amp; " (" &amp; 'Dashboard 입력'!AF102 &amp; ")")</f>
        <v/>
      </c>
      <c r="F98" s="118" t="str">
        <f>IF('Dashboard 입력'!AJ102="", "", 'Dashboard 입력'!AJ102 &amp; " (" &amp; 'Dashboard 입력'!AG102 &amp; ")")</f>
        <v/>
      </c>
      <c r="G98" s="118" t="str">
        <f>IF(위험성평가_입력[[#This Row],[위험성]]="","", 위험성평가_입력[[#This Row],[위험성]] &amp; " (" &amp; 위험성평가_입력[[#This Row],[위험도(전)]] &amp; ")")</f>
        <v/>
      </c>
      <c r="H98" s="116"/>
    </row>
    <row r="99" spans="1:8" ht="25" customHeight="1">
      <c r="A99" s="118" t="str">
        <f>IF('Dashboard 입력'!AB103="","",'Dashboard 입력'!AB103)</f>
        <v/>
      </c>
      <c r="B99" s="18" t="str">
        <f>IF('Dashboard 입력'!AC103="","",'Dashboard 입력'!AC103)</f>
        <v/>
      </c>
      <c r="C99" s="18" t="str">
        <f>IF('Dashboard 입력'!AD103="","",'Dashboard 입력'!AD103)</f>
        <v/>
      </c>
      <c r="D99" s="18" t="str">
        <f>IF('Dashboard 입력'!AE103="","",'Dashboard 입력'!AE103)</f>
        <v/>
      </c>
      <c r="E99" s="118" t="str">
        <f>IF('Dashboard 입력'!AI103="", "", 'Dashboard 입력'!AI103 &amp; " (" &amp; 'Dashboard 입력'!AF103 &amp; ")")</f>
        <v/>
      </c>
      <c r="F99" s="118" t="str">
        <f>IF('Dashboard 입력'!AJ103="", "", 'Dashboard 입력'!AJ103 &amp; " (" &amp; 'Dashboard 입력'!AG103 &amp; ")")</f>
        <v/>
      </c>
      <c r="G99" s="118" t="str">
        <f>IF(위험성평가_입력[[#This Row],[위험성]]="","", 위험성평가_입력[[#This Row],[위험성]] &amp; " (" &amp; 위험성평가_입력[[#This Row],[위험도(전)]] &amp; ")")</f>
        <v/>
      </c>
      <c r="H99" s="116"/>
    </row>
    <row r="100" spans="1:8" ht="25" customHeight="1">
      <c r="A100" s="118" t="str">
        <f>IF('Dashboard 입력'!AB104="","",'Dashboard 입력'!AB104)</f>
        <v/>
      </c>
      <c r="B100" s="18" t="str">
        <f>IF('Dashboard 입력'!AC104="","",'Dashboard 입력'!AC104)</f>
        <v/>
      </c>
      <c r="C100" s="18" t="str">
        <f>IF('Dashboard 입력'!AD104="","",'Dashboard 입력'!AD104)</f>
        <v/>
      </c>
      <c r="D100" s="18" t="str">
        <f>IF('Dashboard 입력'!AE104="","",'Dashboard 입력'!AE104)</f>
        <v/>
      </c>
      <c r="E100" s="118" t="str">
        <f>IF('Dashboard 입력'!AI104="", "", 'Dashboard 입력'!AI104 &amp; " (" &amp; 'Dashboard 입력'!AF104 &amp; ")")</f>
        <v/>
      </c>
      <c r="F100" s="118" t="str">
        <f>IF('Dashboard 입력'!AJ104="", "", 'Dashboard 입력'!AJ104 &amp; " (" &amp; 'Dashboard 입력'!AG104 &amp; ")")</f>
        <v/>
      </c>
      <c r="G100" s="118" t="str">
        <f>IF(위험성평가_입력[[#This Row],[위험성]]="","", 위험성평가_입력[[#This Row],[위험성]] &amp; " (" &amp; 위험성평가_입력[[#This Row],[위험도(전)]] &amp; ")")</f>
        <v/>
      </c>
      <c r="H100" s="116"/>
    </row>
    <row r="101" spans="1:8" ht="25" customHeight="1">
      <c r="A101" s="118" t="str">
        <f>IF('Dashboard 입력'!AB105="","",'Dashboard 입력'!AB105)</f>
        <v/>
      </c>
      <c r="B101" s="18" t="str">
        <f>IF('Dashboard 입력'!AC105="","",'Dashboard 입력'!AC105)</f>
        <v/>
      </c>
      <c r="C101" s="18" t="str">
        <f>IF('Dashboard 입력'!AD105="","",'Dashboard 입력'!AD105)</f>
        <v/>
      </c>
      <c r="D101" s="18" t="str">
        <f>IF('Dashboard 입력'!AE105="","",'Dashboard 입력'!AE105)</f>
        <v/>
      </c>
      <c r="E101" s="118" t="str">
        <f>IF('Dashboard 입력'!AI105="", "", 'Dashboard 입력'!AI105 &amp; " (" &amp; 'Dashboard 입력'!AF105 &amp; ")")</f>
        <v/>
      </c>
      <c r="F101" s="118" t="str">
        <f>IF('Dashboard 입력'!AJ105="", "", 'Dashboard 입력'!AJ105 &amp; " (" &amp; 'Dashboard 입력'!AG105 &amp; ")")</f>
        <v/>
      </c>
      <c r="G101" s="118" t="str">
        <f>IF(위험성평가_입력[[#This Row],[위험성]]="","", 위험성평가_입력[[#This Row],[위험성]] &amp; " (" &amp; 위험성평가_입력[[#This Row],[위험도(전)]] &amp; ")")</f>
        <v/>
      </c>
      <c r="H101" s="116"/>
    </row>
    <row r="102" spans="1:8" ht="25" customHeight="1">
      <c r="A102" s="118" t="str">
        <f>IF('Dashboard 입력'!AB106="","",'Dashboard 입력'!AB106)</f>
        <v/>
      </c>
      <c r="B102" s="18" t="str">
        <f>IF('Dashboard 입력'!AC106="","",'Dashboard 입력'!AC106)</f>
        <v/>
      </c>
      <c r="C102" s="18" t="str">
        <f>IF('Dashboard 입력'!AD106="","",'Dashboard 입력'!AD106)</f>
        <v/>
      </c>
      <c r="D102" s="18" t="str">
        <f>IF('Dashboard 입력'!AE106="","",'Dashboard 입력'!AE106)</f>
        <v/>
      </c>
      <c r="E102" s="118" t="str">
        <f>IF('Dashboard 입력'!AI106="", "", 'Dashboard 입력'!AI106 &amp; " (" &amp; 'Dashboard 입력'!AF106 &amp; ")")</f>
        <v/>
      </c>
      <c r="F102" s="118" t="str">
        <f>IF('Dashboard 입력'!AJ106="", "", 'Dashboard 입력'!AJ106 &amp; " (" &amp; 'Dashboard 입력'!AG106 &amp; ")")</f>
        <v/>
      </c>
      <c r="G102" s="118" t="str">
        <f>IF(위험성평가_입력[[#This Row],[위험성]]="","", 위험성평가_입력[[#This Row],[위험성]] &amp; " (" &amp; 위험성평가_입력[[#This Row],[위험도(전)]] &amp; ")")</f>
        <v/>
      </c>
      <c r="H102" s="116"/>
    </row>
    <row r="103" spans="1:8" ht="25" customHeight="1">
      <c r="A103" s="118" t="str">
        <f>IF('Dashboard 입력'!AB107="","",'Dashboard 입력'!AB107)</f>
        <v/>
      </c>
      <c r="B103" s="18" t="str">
        <f>IF('Dashboard 입력'!AC107="","",'Dashboard 입력'!AC107)</f>
        <v/>
      </c>
      <c r="C103" s="18" t="str">
        <f>IF('Dashboard 입력'!AD107="","",'Dashboard 입력'!AD107)</f>
        <v/>
      </c>
      <c r="D103" s="18" t="str">
        <f>IF('Dashboard 입력'!AE107="","",'Dashboard 입력'!AE107)</f>
        <v/>
      </c>
      <c r="E103" s="118" t="str">
        <f>IF('Dashboard 입력'!AI107="", "", 'Dashboard 입력'!AI107 &amp; " (" &amp; 'Dashboard 입력'!AF107 &amp; ")")</f>
        <v/>
      </c>
      <c r="F103" s="118" t="str">
        <f>IF('Dashboard 입력'!AJ107="", "", 'Dashboard 입력'!AJ107 &amp; " (" &amp; 'Dashboard 입력'!AG107 &amp; ")")</f>
        <v/>
      </c>
      <c r="G103" s="118" t="str">
        <f>IF(위험성평가_입력[[#This Row],[위험성]]="","", 위험성평가_입력[[#This Row],[위험성]] &amp; " (" &amp; 위험성평가_입력[[#This Row],[위험도(전)]] &amp; ")")</f>
        <v/>
      </c>
      <c r="H103" s="116"/>
    </row>
    <row r="104" spans="1:8" ht="25" customHeight="1">
      <c r="A104" s="118" t="str">
        <f>IF('Dashboard 입력'!AB108="","",'Dashboard 입력'!AB108)</f>
        <v/>
      </c>
      <c r="B104" s="18" t="str">
        <f>IF('Dashboard 입력'!AC108="","",'Dashboard 입력'!AC108)</f>
        <v/>
      </c>
      <c r="C104" s="18" t="str">
        <f>IF('Dashboard 입력'!AD108="","",'Dashboard 입력'!AD108)</f>
        <v/>
      </c>
      <c r="D104" s="18" t="str">
        <f>IF('Dashboard 입력'!AE108="","",'Dashboard 입력'!AE108)</f>
        <v/>
      </c>
      <c r="E104" s="118" t="str">
        <f>IF('Dashboard 입력'!AI108="", "", 'Dashboard 입력'!AI108 &amp; " (" &amp; 'Dashboard 입력'!AF108 &amp; ")")</f>
        <v/>
      </c>
      <c r="F104" s="118" t="str">
        <f>IF('Dashboard 입력'!AJ108="", "", 'Dashboard 입력'!AJ108 &amp; " (" &amp; 'Dashboard 입력'!AG108 &amp; ")")</f>
        <v/>
      </c>
      <c r="G104" s="118" t="str">
        <f>IF(위험성평가_입력[[#This Row],[위험성]]="","", 위험성평가_입력[[#This Row],[위험성]] &amp; " (" &amp; 위험성평가_입력[[#This Row],[위험도(전)]] &amp; ")")</f>
        <v/>
      </c>
      <c r="H104" s="116"/>
    </row>
    <row r="105" spans="1:8" ht="25" customHeight="1">
      <c r="A105" s="118" t="str">
        <f>IF('Dashboard 입력'!AB109="","",'Dashboard 입력'!AB109)</f>
        <v/>
      </c>
      <c r="B105" s="18" t="str">
        <f>IF('Dashboard 입력'!AC109="","",'Dashboard 입력'!AC109)</f>
        <v/>
      </c>
      <c r="C105" s="18" t="str">
        <f>IF('Dashboard 입력'!AD109="","",'Dashboard 입력'!AD109)</f>
        <v/>
      </c>
      <c r="D105" s="18" t="str">
        <f>IF('Dashboard 입력'!AE109="","",'Dashboard 입력'!AE109)</f>
        <v/>
      </c>
      <c r="E105" s="118" t="str">
        <f>IF('Dashboard 입력'!AI109="", "", 'Dashboard 입력'!AI109 &amp; " (" &amp; 'Dashboard 입력'!AF109 &amp; ")")</f>
        <v/>
      </c>
      <c r="F105" s="118" t="str">
        <f>IF('Dashboard 입력'!AJ109="", "", 'Dashboard 입력'!AJ109 &amp; " (" &amp; 'Dashboard 입력'!AG109 &amp; ")")</f>
        <v/>
      </c>
      <c r="G105" s="118" t="str">
        <f>IF(위험성평가_입력[[#This Row],[위험성]]="","", 위험성평가_입력[[#This Row],[위험성]] &amp; " (" &amp; 위험성평가_입력[[#This Row],[위험도(전)]] &amp; ")")</f>
        <v/>
      </c>
      <c r="H105" s="116"/>
    </row>
    <row r="106" spans="1:8" ht="25" customHeight="1">
      <c r="A106" s="118" t="str">
        <f>IF('Dashboard 입력'!AB110="","",'Dashboard 입력'!AB110)</f>
        <v/>
      </c>
      <c r="B106" s="18" t="str">
        <f>IF('Dashboard 입력'!AC110="","",'Dashboard 입력'!AC110)</f>
        <v/>
      </c>
      <c r="C106" s="18" t="str">
        <f>IF('Dashboard 입력'!AD110="","",'Dashboard 입력'!AD110)</f>
        <v/>
      </c>
      <c r="D106" s="18" t="str">
        <f>IF('Dashboard 입력'!AE110="","",'Dashboard 입력'!AE110)</f>
        <v/>
      </c>
      <c r="E106" s="118" t="str">
        <f>IF('Dashboard 입력'!AI110="", "", 'Dashboard 입력'!AI110 &amp; " (" &amp; 'Dashboard 입력'!AF110 &amp; ")")</f>
        <v/>
      </c>
      <c r="F106" s="118" t="str">
        <f>IF('Dashboard 입력'!AJ110="", "", 'Dashboard 입력'!AJ110 &amp; " (" &amp; 'Dashboard 입력'!AG110 &amp; ")")</f>
        <v/>
      </c>
      <c r="G106" s="118" t="str">
        <f>IF(위험성평가_입력[[#This Row],[위험성]]="","", 위험성평가_입력[[#This Row],[위험성]] &amp; " (" &amp; 위험성평가_입력[[#This Row],[위험도(전)]] &amp; ")")</f>
        <v/>
      </c>
      <c r="H106" s="116"/>
    </row>
    <row r="107" spans="1:8" ht="25" customHeight="1">
      <c r="A107" s="118" t="str">
        <f>IF('Dashboard 입력'!AB111="","",'Dashboard 입력'!AB111)</f>
        <v/>
      </c>
      <c r="B107" s="18" t="str">
        <f>IF('Dashboard 입력'!AC111="","",'Dashboard 입력'!AC111)</f>
        <v/>
      </c>
      <c r="C107" s="18" t="str">
        <f>IF('Dashboard 입력'!AD111="","",'Dashboard 입력'!AD111)</f>
        <v/>
      </c>
      <c r="D107" s="18" t="str">
        <f>IF('Dashboard 입력'!AE111="","",'Dashboard 입력'!AE111)</f>
        <v/>
      </c>
      <c r="E107" s="118" t="str">
        <f>IF('Dashboard 입력'!AI111="", "", 'Dashboard 입력'!AI111 &amp; " (" &amp; 'Dashboard 입력'!AF111 &amp; ")")</f>
        <v/>
      </c>
      <c r="F107" s="118" t="str">
        <f>IF('Dashboard 입력'!AJ111="", "", 'Dashboard 입력'!AJ111 &amp; " (" &amp; 'Dashboard 입력'!AG111 &amp; ")")</f>
        <v/>
      </c>
      <c r="G107" s="118" t="str">
        <f>IF(위험성평가_입력[[#This Row],[위험성]]="","", 위험성평가_입력[[#This Row],[위험성]] &amp; " (" &amp; 위험성평가_입력[[#This Row],[위험도(전)]] &amp; ")")</f>
        <v/>
      </c>
      <c r="H107" s="116"/>
    </row>
    <row r="108" spans="1:8" ht="25" customHeight="1">
      <c r="A108" s="118" t="str">
        <f>IF('Dashboard 입력'!AB112="","",'Dashboard 입력'!AB112)</f>
        <v/>
      </c>
      <c r="B108" s="18" t="str">
        <f>IF('Dashboard 입력'!AC112="","",'Dashboard 입력'!AC112)</f>
        <v/>
      </c>
      <c r="C108" s="18" t="str">
        <f>IF('Dashboard 입력'!AD112="","",'Dashboard 입력'!AD112)</f>
        <v/>
      </c>
      <c r="D108" s="18" t="str">
        <f>IF('Dashboard 입력'!AE112="","",'Dashboard 입력'!AE112)</f>
        <v/>
      </c>
      <c r="E108" s="118" t="str">
        <f>IF('Dashboard 입력'!AI112="", "", 'Dashboard 입력'!AI112 &amp; " (" &amp; 'Dashboard 입력'!AF112 &amp; ")")</f>
        <v/>
      </c>
      <c r="F108" s="118" t="str">
        <f>IF('Dashboard 입력'!AJ112="", "", 'Dashboard 입력'!AJ112 &amp; " (" &amp; 'Dashboard 입력'!AG112 &amp; ")")</f>
        <v/>
      </c>
      <c r="G108" s="118" t="str">
        <f>IF(위험성평가_입력[[#This Row],[위험성]]="","", 위험성평가_입력[[#This Row],[위험성]] &amp; " (" &amp; 위험성평가_입력[[#This Row],[위험도(전)]] &amp; ")")</f>
        <v/>
      </c>
      <c r="H108" s="116"/>
    </row>
    <row r="109" spans="1:8" ht="25" customHeight="1">
      <c r="A109" s="118" t="str">
        <f>IF('Dashboard 입력'!AB113="","",'Dashboard 입력'!AB113)</f>
        <v/>
      </c>
      <c r="B109" s="18" t="str">
        <f>IF('Dashboard 입력'!AC113="","",'Dashboard 입력'!AC113)</f>
        <v/>
      </c>
      <c r="C109" s="18" t="str">
        <f>IF('Dashboard 입력'!AD113="","",'Dashboard 입력'!AD113)</f>
        <v/>
      </c>
      <c r="D109" s="18" t="str">
        <f>IF('Dashboard 입력'!AE113="","",'Dashboard 입력'!AE113)</f>
        <v/>
      </c>
      <c r="E109" s="118" t="str">
        <f>IF('Dashboard 입력'!AI113="", "", 'Dashboard 입력'!AI113 &amp; " (" &amp; 'Dashboard 입력'!AF113 &amp; ")")</f>
        <v/>
      </c>
      <c r="F109" s="118" t="str">
        <f>IF('Dashboard 입력'!AJ113="", "", 'Dashboard 입력'!AJ113 &amp; " (" &amp; 'Dashboard 입력'!AG113 &amp; ")")</f>
        <v/>
      </c>
      <c r="G109" s="118" t="str">
        <f>IF(위험성평가_입력[[#This Row],[위험성]]="","", 위험성평가_입력[[#This Row],[위험성]] &amp; " (" &amp; 위험성평가_입력[[#This Row],[위험도(전)]] &amp; ")")</f>
        <v/>
      </c>
      <c r="H109" s="116"/>
    </row>
    <row r="110" spans="1:8" ht="25" customHeight="1">
      <c r="A110" s="118" t="str">
        <f>IF('Dashboard 입력'!AB114="","",'Dashboard 입력'!AB114)</f>
        <v/>
      </c>
      <c r="B110" s="18" t="str">
        <f>IF('Dashboard 입력'!AC114="","",'Dashboard 입력'!AC114)</f>
        <v/>
      </c>
      <c r="C110" s="18" t="str">
        <f>IF('Dashboard 입력'!AD114="","",'Dashboard 입력'!AD114)</f>
        <v/>
      </c>
      <c r="D110" s="18" t="str">
        <f>IF('Dashboard 입력'!AE114="","",'Dashboard 입력'!AE114)</f>
        <v/>
      </c>
      <c r="E110" s="118" t="str">
        <f>IF('Dashboard 입력'!AI114="", "", 'Dashboard 입력'!AI114 &amp; " (" &amp; 'Dashboard 입력'!AF114 &amp; ")")</f>
        <v/>
      </c>
      <c r="F110" s="118" t="str">
        <f>IF('Dashboard 입력'!AJ114="", "", 'Dashboard 입력'!AJ114 &amp; " (" &amp; 'Dashboard 입력'!AG114 &amp; ")")</f>
        <v/>
      </c>
      <c r="G110" s="118" t="str">
        <f>IF(위험성평가_입력[[#This Row],[위험성]]="","", 위험성평가_입력[[#This Row],[위험성]] &amp; " (" &amp; 위험성평가_입력[[#This Row],[위험도(전)]] &amp; ")")</f>
        <v/>
      </c>
      <c r="H110" s="116"/>
    </row>
    <row r="111" spans="1:8" ht="25" customHeight="1">
      <c r="A111" s="118" t="str">
        <f>IF('Dashboard 입력'!AB115="","",'Dashboard 입력'!AB115)</f>
        <v/>
      </c>
      <c r="B111" s="18" t="str">
        <f>IF('Dashboard 입력'!AC115="","",'Dashboard 입력'!AC115)</f>
        <v/>
      </c>
      <c r="C111" s="18" t="str">
        <f>IF('Dashboard 입력'!AD115="","",'Dashboard 입력'!AD115)</f>
        <v/>
      </c>
      <c r="D111" s="18" t="str">
        <f>IF('Dashboard 입력'!AE115="","",'Dashboard 입력'!AE115)</f>
        <v/>
      </c>
      <c r="E111" s="118" t="str">
        <f>IF('Dashboard 입력'!AI115="", "", 'Dashboard 입력'!AI115 &amp; " (" &amp; 'Dashboard 입력'!AF115 &amp; ")")</f>
        <v/>
      </c>
      <c r="F111" s="118" t="str">
        <f>IF('Dashboard 입력'!AJ115="", "", 'Dashboard 입력'!AJ115 &amp; " (" &amp; 'Dashboard 입력'!AG115 &amp; ")")</f>
        <v/>
      </c>
      <c r="G111" s="118" t="str">
        <f>IF(위험성평가_입력[[#This Row],[위험성]]="","", 위험성평가_입력[[#This Row],[위험성]] &amp; " (" &amp; 위험성평가_입력[[#This Row],[위험도(전)]] &amp; ")")</f>
        <v/>
      </c>
      <c r="H111" s="116"/>
    </row>
    <row r="112" spans="1:8" ht="25" customHeight="1">
      <c r="A112" s="118" t="str">
        <f>IF('Dashboard 입력'!AB116="","",'Dashboard 입력'!AB116)</f>
        <v/>
      </c>
      <c r="B112" s="18" t="str">
        <f>IF('Dashboard 입력'!AC116="","",'Dashboard 입력'!AC116)</f>
        <v/>
      </c>
      <c r="C112" s="18" t="str">
        <f>IF('Dashboard 입력'!AD116="","",'Dashboard 입력'!AD116)</f>
        <v/>
      </c>
      <c r="D112" s="18" t="str">
        <f>IF('Dashboard 입력'!AE116="","",'Dashboard 입력'!AE116)</f>
        <v/>
      </c>
      <c r="E112" s="118" t="str">
        <f>IF('Dashboard 입력'!AI116="", "", 'Dashboard 입력'!AI116 &amp; " (" &amp; 'Dashboard 입력'!AF116 &amp; ")")</f>
        <v/>
      </c>
      <c r="F112" s="118" t="str">
        <f>IF('Dashboard 입력'!AJ116="", "", 'Dashboard 입력'!AJ116 &amp; " (" &amp; 'Dashboard 입력'!AG116 &amp; ")")</f>
        <v/>
      </c>
      <c r="G112" s="118" t="str">
        <f>IF(위험성평가_입력[[#This Row],[위험성]]="","", 위험성평가_입력[[#This Row],[위험성]] &amp; " (" &amp; 위험성평가_입력[[#This Row],[위험도(전)]] &amp; ")")</f>
        <v/>
      </c>
      <c r="H112" s="116"/>
    </row>
    <row r="113" spans="1:8" ht="25" customHeight="1">
      <c r="A113" s="118" t="str">
        <f>IF('Dashboard 입력'!AB117="","",'Dashboard 입력'!AB117)</f>
        <v/>
      </c>
      <c r="B113" s="18" t="str">
        <f>IF('Dashboard 입력'!AC117="","",'Dashboard 입력'!AC117)</f>
        <v/>
      </c>
      <c r="C113" s="18" t="str">
        <f>IF('Dashboard 입력'!AD117="","",'Dashboard 입력'!AD117)</f>
        <v/>
      </c>
      <c r="D113" s="18" t="str">
        <f>IF('Dashboard 입력'!AE117="","",'Dashboard 입력'!AE117)</f>
        <v/>
      </c>
      <c r="E113" s="118" t="str">
        <f>IF('Dashboard 입력'!AI117="", "", 'Dashboard 입력'!AI117 &amp; " (" &amp; 'Dashboard 입력'!AF117 &amp; ")")</f>
        <v/>
      </c>
      <c r="F113" s="118" t="str">
        <f>IF('Dashboard 입력'!AJ117="", "", 'Dashboard 입력'!AJ117 &amp; " (" &amp; 'Dashboard 입력'!AG117 &amp; ")")</f>
        <v/>
      </c>
      <c r="G113" s="118" t="str">
        <f>IF(위험성평가_입력[[#This Row],[위험성]]="","", 위험성평가_입력[[#This Row],[위험성]] &amp; " (" &amp; 위험성평가_입력[[#This Row],[위험도(전)]] &amp; ")")</f>
        <v/>
      </c>
      <c r="H113" s="116"/>
    </row>
    <row r="114" spans="1:8" ht="25" customHeight="1">
      <c r="A114" s="118" t="str">
        <f>IF('Dashboard 입력'!AB118="","",'Dashboard 입력'!AB118)</f>
        <v/>
      </c>
      <c r="B114" s="18" t="str">
        <f>IF('Dashboard 입력'!AC118="","",'Dashboard 입력'!AC118)</f>
        <v/>
      </c>
      <c r="C114" s="18" t="str">
        <f>IF('Dashboard 입력'!AD118="","",'Dashboard 입력'!AD118)</f>
        <v/>
      </c>
      <c r="D114" s="18" t="str">
        <f>IF('Dashboard 입력'!AE118="","",'Dashboard 입력'!AE118)</f>
        <v/>
      </c>
      <c r="E114" s="118" t="str">
        <f>IF('Dashboard 입력'!AI118="", "", 'Dashboard 입력'!AI118 &amp; " (" &amp; 'Dashboard 입력'!AF118 &amp; ")")</f>
        <v/>
      </c>
      <c r="F114" s="118" t="str">
        <f>IF('Dashboard 입력'!AJ118="", "", 'Dashboard 입력'!AJ118 &amp; " (" &amp; 'Dashboard 입력'!AG118 &amp; ")")</f>
        <v/>
      </c>
      <c r="G114" s="118" t="str">
        <f>IF(위험성평가_입력[[#This Row],[위험성]]="","", 위험성평가_입력[[#This Row],[위험성]] &amp; " (" &amp; 위험성평가_입력[[#This Row],[위험도(전)]] &amp; ")")</f>
        <v/>
      </c>
      <c r="H114" s="116"/>
    </row>
    <row r="115" spans="1:8" ht="25" customHeight="1">
      <c r="A115" s="118" t="str">
        <f>IF('Dashboard 입력'!AB119="","",'Dashboard 입력'!AB119)</f>
        <v/>
      </c>
      <c r="B115" s="18" t="str">
        <f>IF('Dashboard 입력'!AC119="","",'Dashboard 입력'!AC119)</f>
        <v/>
      </c>
      <c r="C115" s="18" t="str">
        <f>IF('Dashboard 입력'!AD119="","",'Dashboard 입력'!AD119)</f>
        <v/>
      </c>
      <c r="D115" s="18" t="str">
        <f>IF('Dashboard 입력'!AE119="","",'Dashboard 입력'!AE119)</f>
        <v/>
      </c>
      <c r="E115" s="118" t="str">
        <f>IF('Dashboard 입력'!AI119="", "", 'Dashboard 입력'!AI119 &amp; " (" &amp; 'Dashboard 입력'!AF119 &amp; ")")</f>
        <v/>
      </c>
      <c r="F115" s="118" t="str">
        <f>IF('Dashboard 입력'!AJ119="", "", 'Dashboard 입력'!AJ119 &amp; " (" &amp; 'Dashboard 입력'!AG119 &amp; ")")</f>
        <v/>
      </c>
      <c r="G115" s="118" t="str">
        <f>IF(위험성평가_입력[[#This Row],[위험성]]="","", 위험성평가_입력[[#This Row],[위험성]] &amp; " (" &amp; 위험성평가_입력[[#This Row],[위험도(전)]] &amp; ")")</f>
        <v/>
      </c>
      <c r="H115" s="116"/>
    </row>
    <row r="116" spans="1:8" ht="25" customHeight="1">
      <c r="A116" s="118" t="str">
        <f>IF('Dashboard 입력'!AB120="","",'Dashboard 입력'!AB120)</f>
        <v/>
      </c>
      <c r="B116" s="18" t="str">
        <f>IF('Dashboard 입력'!AC120="","",'Dashboard 입력'!AC120)</f>
        <v/>
      </c>
      <c r="C116" s="18" t="str">
        <f>IF('Dashboard 입력'!AD120="","",'Dashboard 입력'!AD120)</f>
        <v/>
      </c>
      <c r="D116" s="18" t="str">
        <f>IF('Dashboard 입력'!AE120="","",'Dashboard 입력'!AE120)</f>
        <v/>
      </c>
      <c r="E116" s="118" t="str">
        <f>IF('Dashboard 입력'!AI120="", "", 'Dashboard 입력'!AI120 &amp; " (" &amp; 'Dashboard 입력'!AF120 &amp; ")")</f>
        <v/>
      </c>
      <c r="F116" s="118" t="str">
        <f>IF('Dashboard 입력'!AJ120="", "", 'Dashboard 입력'!AJ120 &amp; " (" &amp; 'Dashboard 입력'!AG120 &amp; ")")</f>
        <v/>
      </c>
      <c r="G116" s="118" t="str">
        <f>IF(위험성평가_입력[[#This Row],[위험성]]="","", 위험성평가_입력[[#This Row],[위험성]] &amp; " (" &amp; 위험성평가_입력[[#This Row],[위험도(전)]] &amp; ")")</f>
        <v/>
      </c>
      <c r="H116" s="116"/>
    </row>
    <row r="117" spans="1:8" ht="25" customHeight="1">
      <c r="A117" s="118" t="str">
        <f>IF('Dashboard 입력'!AB121="","",'Dashboard 입력'!AB121)</f>
        <v/>
      </c>
      <c r="B117" s="18" t="str">
        <f>IF('Dashboard 입력'!AC121="","",'Dashboard 입력'!AC121)</f>
        <v/>
      </c>
      <c r="C117" s="18" t="str">
        <f>IF('Dashboard 입력'!AD121="","",'Dashboard 입력'!AD121)</f>
        <v/>
      </c>
      <c r="D117" s="18" t="str">
        <f>IF('Dashboard 입력'!AE121="","",'Dashboard 입력'!AE121)</f>
        <v/>
      </c>
      <c r="E117" s="118" t="str">
        <f>IF('Dashboard 입력'!AI121="", "", 'Dashboard 입력'!AI121 &amp; " (" &amp; 'Dashboard 입력'!AF121 &amp; ")")</f>
        <v/>
      </c>
      <c r="F117" s="118" t="str">
        <f>IF('Dashboard 입력'!AJ121="", "", 'Dashboard 입력'!AJ121 &amp; " (" &amp; 'Dashboard 입력'!AG121 &amp; ")")</f>
        <v/>
      </c>
      <c r="G117" s="118" t="str">
        <f>IF(위험성평가_입력[[#This Row],[위험성]]="","", 위험성평가_입력[[#This Row],[위험성]] &amp; " (" &amp; 위험성평가_입력[[#This Row],[위험도(전)]] &amp; ")")</f>
        <v/>
      </c>
      <c r="H117" s="116"/>
    </row>
    <row r="118" spans="1:8" ht="25" customHeight="1">
      <c r="A118" s="118" t="str">
        <f>IF('Dashboard 입력'!AB122="","",'Dashboard 입력'!AB122)</f>
        <v/>
      </c>
      <c r="B118" s="18" t="str">
        <f>IF('Dashboard 입력'!AC122="","",'Dashboard 입력'!AC122)</f>
        <v/>
      </c>
      <c r="C118" s="18" t="str">
        <f>IF('Dashboard 입력'!AD122="","",'Dashboard 입력'!AD122)</f>
        <v/>
      </c>
      <c r="D118" s="18" t="str">
        <f>IF('Dashboard 입력'!AE122="","",'Dashboard 입력'!AE122)</f>
        <v/>
      </c>
      <c r="E118" s="118" t="str">
        <f>IF('Dashboard 입력'!AI122="", "", 'Dashboard 입력'!AI122 &amp; " (" &amp; 'Dashboard 입력'!AF122 &amp; ")")</f>
        <v/>
      </c>
      <c r="F118" s="118" t="str">
        <f>IF('Dashboard 입력'!AJ122="", "", 'Dashboard 입력'!AJ122 &amp; " (" &amp; 'Dashboard 입력'!AG122 &amp; ")")</f>
        <v/>
      </c>
      <c r="G118" s="118" t="str">
        <f>IF(위험성평가_입력[[#This Row],[위험성]]="","", 위험성평가_입력[[#This Row],[위험성]] &amp; " (" &amp; 위험성평가_입력[[#This Row],[위험도(전)]] &amp; ")")</f>
        <v/>
      </c>
      <c r="H118" s="116"/>
    </row>
    <row r="119" spans="1:8" ht="25" customHeight="1">
      <c r="A119" s="118" t="str">
        <f>IF('Dashboard 입력'!AB123="","",'Dashboard 입력'!AB123)</f>
        <v/>
      </c>
      <c r="B119" s="18" t="str">
        <f>IF('Dashboard 입력'!AC123="","",'Dashboard 입력'!AC123)</f>
        <v/>
      </c>
      <c r="C119" s="18" t="str">
        <f>IF('Dashboard 입력'!AD123="","",'Dashboard 입력'!AD123)</f>
        <v/>
      </c>
      <c r="D119" s="18" t="str">
        <f>IF('Dashboard 입력'!AE123="","",'Dashboard 입력'!AE123)</f>
        <v/>
      </c>
      <c r="E119" s="118" t="str">
        <f>IF('Dashboard 입력'!AI123="", "", 'Dashboard 입력'!AI123 &amp; " (" &amp; 'Dashboard 입력'!AF123 &amp; ")")</f>
        <v/>
      </c>
      <c r="F119" s="118" t="str">
        <f>IF('Dashboard 입력'!AJ123="", "", 'Dashboard 입력'!AJ123 &amp; " (" &amp; 'Dashboard 입력'!AG123 &amp; ")")</f>
        <v/>
      </c>
      <c r="G119" s="118" t="str">
        <f>IF(위험성평가_입력[[#This Row],[위험성]]="","", 위험성평가_입력[[#This Row],[위험성]] &amp; " (" &amp; 위험성평가_입력[[#This Row],[위험도(전)]] &amp; ")")</f>
        <v/>
      </c>
      <c r="H119" s="116"/>
    </row>
    <row r="120" spans="1:8" ht="25" customHeight="1">
      <c r="A120" s="118" t="str">
        <f>IF('Dashboard 입력'!AB124="","",'Dashboard 입력'!AB124)</f>
        <v/>
      </c>
      <c r="B120" s="18" t="str">
        <f>IF('Dashboard 입력'!AC124="","",'Dashboard 입력'!AC124)</f>
        <v/>
      </c>
      <c r="C120" s="18" t="str">
        <f>IF('Dashboard 입력'!AD124="","",'Dashboard 입력'!AD124)</f>
        <v/>
      </c>
      <c r="D120" s="18" t="str">
        <f>IF('Dashboard 입력'!AE124="","",'Dashboard 입력'!AE124)</f>
        <v/>
      </c>
      <c r="E120" s="118" t="str">
        <f>IF('Dashboard 입력'!AI124="", "", 'Dashboard 입력'!AI124 &amp; " (" &amp; 'Dashboard 입력'!AF124 &amp; ")")</f>
        <v/>
      </c>
      <c r="F120" s="118" t="str">
        <f>IF('Dashboard 입력'!AJ124="", "", 'Dashboard 입력'!AJ124 &amp; " (" &amp; 'Dashboard 입력'!AG124 &amp; ")")</f>
        <v/>
      </c>
      <c r="G120" s="118" t="str">
        <f>IF(위험성평가_입력[[#This Row],[위험성]]="","", 위험성평가_입력[[#This Row],[위험성]] &amp; " (" &amp; 위험성평가_입력[[#This Row],[위험도(전)]] &amp; ")")</f>
        <v/>
      </c>
      <c r="H120" s="116"/>
    </row>
    <row r="121" spans="1:8" ht="25" customHeight="1">
      <c r="A121" s="118" t="str">
        <f>IF('Dashboard 입력'!AB125="","",'Dashboard 입력'!AB125)</f>
        <v/>
      </c>
      <c r="B121" s="18" t="str">
        <f>IF('Dashboard 입력'!AC125="","",'Dashboard 입력'!AC125)</f>
        <v/>
      </c>
      <c r="C121" s="18" t="str">
        <f>IF('Dashboard 입력'!AD125="","",'Dashboard 입력'!AD125)</f>
        <v/>
      </c>
      <c r="D121" s="18" t="str">
        <f>IF('Dashboard 입력'!AE125="","",'Dashboard 입력'!AE125)</f>
        <v/>
      </c>
      <c r="E121" s="118" t="str">
        <f>IF('Dashboard 입력'!AI125="", "", 'Dashboard 입력'!AI125 &amp; " (" &amp; 'Dashboard 입력'!AF125 &amp; ")")</f>
        <v/>
      </c>
      <c r="F121" s="118" t="str">
        <f>IF('Dashboard 입력'!AJ125="", "", 'Dashboard 입력'!AJ125 &amp; " (" &amp; 'Dashboard 입력'!AG125 &amp; ")")</f>
        <v/>
      </c>
      <c r="G121" s="118" t="str">
        <f>IF(위험성평가_입력[[#This Row],[위험성]]="","", 위험성평가_입력[[#This Row],[위험성]] &amp; " (" &amp; 위험성평가_입력[[#This Row],[위험도(전)]] &amp; ")")</f>
        <v/>
      </c>
      <c r="H121" s="116"/>
    </row>
    <row r="122" spans="1:8" ht="25" customHeight="1">
      <c r="A122" s="118" t="str">
        <f>IF('Dashboard 입력'!AB126="","",'Dashboard 입력'!AB126)</f>
        <v/>
      </c>
      <c r="B122" s="18" t="str">
        <f>IF('Dashboard 입력'!AC126="","",'Dashboard 입력'!AC126)</f>
        <v/>
      </c>
      <c r="C122" s="18" t="str">
        <f>IF('Dashboard 입력'!AD126="","",'Dashboard 입력'!AD126)</f>
        <v/>
      </c>
      <c r="D122" s="18" t="str">
        <f>IF('Dashboard 입력'!AE126="","",'Dashboard 입력'!AE126)</f>
        <v/>
      </c>
      <c r="E122" s="118" t="str">
        <f>IF('Dashboard 입력'!AI126="", "", 'Dashboard 입력'!AI126 &amp; " (" &amp; 'Dashboard 입력'!AF126 &amp; ")")</f>
        <v/>
      </c>
      <c r="F122" s="118" t="str">
        <f>IF('Dashboard 입력'!AJ126="", "", 'Dashboard 입력'!AJ126 &amp; " (" &amp; 'Dashboard 입력'!AG126 &amp; ")")</f>
        <v/>
      </c>
      <c r="G122" s="118" t="str">
        <f>IF(위험성평가_입력[[#This Row],[위험성]]="","", 위험성평가_입력[[#This Row],[위험성]] &amp; " (" &amp; 위험성평가_입력[[#This Row],[위험도(전)]] &amp; ")")</f>
        <v/>
      </c>
      <c r="H122" s="116"/>
    </row>
    <row r="123" spans="1:8" ht="25" customHeight="1">
      <c r="A123" s="118" t="str">
        <f>IF('Dashboard 입력'!AB127="","",'Dashboard 입력'!AB127)</f>
        <v/>
      </c>
      <c r="B123" s="18" t="str">
        <f>IF('Dashboard 입력'!AC127="","",'Dashboard 입력'!AC127)</f>
        <v/>
      </c>
      <c r="C123" s="18" t="str">
        <f>IF('Dashboard 입력'!AD127="","",'Dashboard 입력'!AD127)</f>
        <v/>
      </c>
      <c r="D123" s="18" t="str">
        <f>IF('Dashboard 입력'!AE127="","",'Dashboard 입력'!AE127)</f>
        <v/>
      </c>
      <c r="E123" s="118" t="str">
        <f>IF('Dashboard 입력'!AI127="", "", 'Dashboard 입력'!AI127 &amp; " (" &amp; 'Dashboard 입력'!AF127 &amp; ")")</f>
        <v/>
      </c>
      <c r="F123" s="118" t="str">
        <f>IF('Dashboard 입력'!AJ127="", "", 'Dashboard 입력'!AJ127 &amp; " (" &amp; 'Dashboard 입력'!AG127 &amp; ")")</f>
        <v/>
      </c>
      <c r="G123" s="118" t="str">
        <f>IF(위험성평가_입력[[#This Row],[위험성]]="","", 위험성평가_입력[[#This Row],[위험성]] &amp; " (" &amp; 위험성평가_입력[[#This Row],[위험도(전)]] &amp; ")")</f>
        <v/>
      </c>
      <c r="H123" s="116"/>
    </row>
    <row r="124" spans="1:8" ht="25" customHeight="1">
      <c r="A124" s="118" t="str">
        <f>IF('Dashboard 입력'!AB128="","",'Dashboard 입력'!AB128)</f>
        <v/>
      </c>
      <c r="B124" s="18" t="str">
        <f>IF('Dashboard 입력'!AC128="","",'Dashboard 입력'!AC128)</f>
        <v/>
      </c>
      <c r="C124" s="18" t="str">
        <f>IF('Dashboard 입력'!AD128="","",'Dashboard 입력'!AD128)</f>
        <v/>
      </c>
      <c r="D124" s="18" t="str">
        <f>IF('Dashboard 입력'!AE128="","",'Dashboard 입력'!AE128)</f>
        <v/>
      </c>
      <c r="E124" s="118" t="str">
        <f>IF('Dashboard 입력'!AI128="", "", 'Dashboard 입력'!AI128 &amp; " (" &amp; 'Dashboard 입력'!AF128 &amp; ")")</f>
        <v/>
      </c>
      <c r="F124" s="118" t="str">
        <f>IF('Dashboard 입력'!AJ128="", "", 'Dashboard 입력'!AJ128 &amp; " (" &amp; 'Dashboard 입력'!AG128 &amp; ")")</f>
        <v/>
      </c>
      <c r="G124" s="118" t="str">
        <f>IF(위험성평가_입력[[#This Row],[위험성]]="","", 위험성평가_입력[[#This Row],[위험성]] &amp; " (" &amp; 위험성평가_입력[[#This Row],[위험도(전)]] &amp; ")")</f>
        <v/>
      </c>
      <c r="H124" s="116"/>
    </row>
    <row r="125" spans="1:8" ht="25" customHeight="1">
      <c r="A125" s="118" t="str">
        <f>IF('Dashboard 입력'!AB129="","",'Dashboard 입력'!AB129)</f>
        <v/>
      </c>
      <c r="B125" s="18" t="str">
        <f>IF('Dashboard 입력'!AC129="","",'Dashboard 입력'!AC129)</f>
        <v/>
      </c>
      <c r="C125" s="18" t="str">
        <f>IF('Dashboard 입력'!AD129="","",'Dashboard 입력'!AD129)</f>
        <v/>
      </c>
      <c r="D125" s="18" t="str">
        <f>IF('Dashboard 입력'!AE129="","",'Dashboard 입력'!AE129)</f>
        <v/>
      </c>
      <c r="E125" s="118" t="str">
        <f>IF('Dashboard 입력'!AI129="", "", 'Dashboard 입력'!AI129 &amp; " (" &amp; 'Dashboard 입력'!AF129 &amp; ")")</f>
        <v/>
      </c>
      <c r="F125" s="118" t="str">
        <f>IF('Dashboard 입력'!AJ129="", "", 'Dashboard 입력'!AJ129 &amp; " (" &amp; 'Dashboard 입력'!AG129 &amp; ")")</f>
        <v/>
      </c>
      <c r="G125" s="118" t="str">
        <f>IF(위험성평가_입력[[#This Row],[위험성]]="","", 위험성평가_입력[[#This Row],[위험성]] &amp; " (" &amp; 위험성평가_입력[[#This Row],[위험도(전)]] &amp; ")")</f>
        <v/>
      </c>
      <c r="H125" s="116"/>
    </row>
    <row r="126" spans="1:8" ht="25" customHeight="1">
      <c r="A126" s="118" t="str">
        <f>IF('Dashboard 입력'!AB130="","",'Dashboard 입력'!AB130)</f>
        <v/>
      </c>
      <c r="B126" s="18" t="str">
        <f>IF('Dashboard 입력'!AC130="","",'Dashboard 입력'!AC130)</f>
        <v/>
      </c>
      <c r="C126" s="18" t="str">
        <f>IF('Dashboard 입력'!AD130="","",'Dashboard 입력'!AD130)</f>
        <v/>
      </c>
      <c r="D126" s="18" t="str">
        <f>IF('Dashboard 입력'!AE130="","",'Dashboard 입력'!AE130)</f>
        <v/>
      </c>
      <c r="E126" s="118" t="str">
        <f>IF('Dashboard 입력'!AI130="", "", 'Dashboard 입력'!AI130 &amp; " (" &amp; 'Dashboard 입력'!AF130 &amp; ")")</f>
        <v/>
      </c>
      <c r="F126" s="118" t="str">
        <f>IF('Dashboard 입력'!AJ130="", "", 'Dashboard 입력'!AJ130 &amp; " (" &amp; 'Dashboard 입력'!AG130 &amp; ")")</f>
        <v/>
      </c>
      <c r="G126" s="118" t="str">
        <f>IF(위험성평가_입력[[#This Row],[위험성]]="","", 위험성평가_입력[[#This Row],[위험성]] &amp; " (" &amp; 위험성평가_입력[[#This Row],[위험도(전)]] &amp; ")")</f>
        <v/>
      </c>
      <c r="H126" s="116"/>
    </row>
    <row r="127" spans="1:8" ht="25" customHeight="1">
      <c r="A127" s="118" t="str">
        <f>IF('Dashboard 입력'!AB131="","",'Dashboard 입력'!AB131)</f>
        <v/>
      </c>
      <c r="B127" s="18" t="str">
        <f>IF('Dashboard 입력'!AC131="","",'Dashboard 입력'!AC131)</f>
        <v/>
      </c>
      <c r="C127" s="18" t="str">
        <f>IF('Dashboard 입력'!AD131="","",'Dashboard 입력'!AD131)</f>
        <v/>
      </c>
      <c r="D127" s="18" t="str">
        <f>IF('Dashboard 입력'!AE131="","",'Dashboard 입력'!AE131)</f>
        <v/>
      </c>
      <c r="E127" s="118" t="str">
        <f>IF('Dashboard 입력'!AI131="", "", 'Dashboard 입력'!AI131 &amp; " (" &amp; 'Dashboard 입력'!AF131 &amp; ")")</f>
        <v/>
      </c>
      <c r="F127" s="118" t="str">
        <f>IF('Dashboard 입력'!AJ131="", "", 'Dashboard 입력'!AJ131 &amp; " (" &amp; 'Dashboard 입력'!AG131 &amp; ")")</f>
        <v/>
      </c>
      <c r="G127" s="118" t="str">
        <f>IF(위험성평가_입력[[#This Row],[위험성]]="","", 위험성평가_입력[[#This Row],[위험성]] &amp; " (" &amp; 위험성평가_입력[[#This Row],[위험도(전)]] &amp; ")")</f>
        <v/>
      </c>
      <c r="H127" s="116"/>
    </row>
    <row r="128" spans="1:8" ht="25" customHeight="1">
      <c r="A128" s="118" t="str">
        <f>IF('Dashboard 입력'!AB132="","",'Dashboard 입력'!AB132)</f>
        <v/>
      </c>
      <c r="B128" s="18" t="str">
        <f>IF('Dashboard 입력'!AC132="","",'Dashboard 입력'!AC132)</f>
        <v/>
      </c>
      <c r="C128" s="18" t="str">
        <f>IF('Dashboard 입력'!AD132="","",'Dashboard 입력'!AD132)</f>
        <v/>
      </c>
      <c r="D128" s="18" t="str">
        <f>IF('Dashboard 입력'!AE132="","",'Dashboard 입력'!AE132)</f>
        <v/>
      </c>
      <c r="E128" s="118" t="str">
        <f>IF('Dashboard 입력'!AI132="", "", 'Dashboard 입력'!AI132 &amp; " (" &amp; 'Dashboard 입력'!AF132 &amp; ")")</f>
        <v/>
      </c>
      <c r="F128" s="118" t="str">
        <f>IF('Dashboard 입력'!AJ132="", "", 'Dashboard 입력'!AJ132 &amp; " (" &amp; 'Dashboard 입력'!AG132 &amp; ")")</f>
        <v/>
      </c>
      <c r="G128" s="118" t="str">
        <f>IF(위험성평가_입력[[#This Row],[위험성]]="","", 위험성평가_입력[[#This Row],[위험성]] &amp; " (" &amp; 위험성평가_입력[[#This Row],[위험도(전)]] &amp; ")")</f>
        <v/>
      </c>
      <c r="H128" s="116"/>
    </row>
    <row r="129" spans="1:8" ht="25" customHeight="1">
      <c r="A129" s="118" t="str">
        <f>IF('Dashboard 입력'!AB133="","",'Dashboard 입력'!AB133)</f>
        <v/>
      </c>
      <c r="B129" s="18" t="str">
        <f>IF('Dashboard 입력'!AC133="","",'Dashboard 입력'!AC133)</f>
        <v/>
      </c>
      <c r="C129" s="18" t="str">
        <f>IF('Dashboard 입력'!AD133="","",'Dashboard 입력'!AD133)</f>
        <v/>
      </c>
      <c r="D129" s="18" t="str">
        <f>IF('Dashboard 입력'!AE133="","",'Dashboard 입력'!AE133)</f>
        <v/>
      </c>
      <c r="E129" s="118" t="str">
        <f>IF('Dashboard 입력'!AI133="", "", 'Dashboard 입력'!AI133 &amp; " (" &amp; 'Dashboard 입력'!AF133 &amp; ")")</f>
        <v/>
      </c>
      <c r="F129" s="118" t="str">
        <f>IF('Dashboard 입력'!AJ133="", "", 'Dashboard 입력'!AJ133 &amp; " (" &amp; 'Dashboard 입력'!AG133 &amp; ")")</f>
        <v/>
      </c>
      <c r="G129" s="118" t="str">
        <f>IF(위험성평가_입력[[#This Row],[위험성]]="","", 위험성평가_입력[[#This Row],[위험성]] &amp; " (" &amp; 위험성평가_입력[[#This Row],[위험도(전)]] &amp; ")")</f>
        <v/>
      </c>
      <c r="H129" s="116"/>
    </row>
    <row r="130" spans="1:8" ht="25" customHeight="1">
      <c r="A130" s="118" t="str">
        <f>IF('Dashboard 입력'!AB134="","",'Dashboard 입력'!AB134)</f>
        <v/>
      </c>
      <c r="B130" s="18" t="str">
        <f>IF('Dashboard 입력'!AC134="","",'Dashboard 입력'!AC134)</f>
        <v/>
      </c>
      <c r="C130" s="18" t="str">
        <f>IF('Dashboard 입력'!AD134="","",'Dashboard 입력'!AD134)</f>
        <v/>
      </c>
      <c r="D130" s="18" t="str">
        <f>IF('Dashboard 입력'!AE134="","",'Dashboard 입력'!AE134)</f>
        <v/>
      </c>
      <c r="E130" s="118" t="str">
        <f>IF('Dashboard 입력'!AI134="", "", 'Dashboard 입력'!AI134 &amp; " (" &amp; 'Dashboard 입력'!AF134 &amp; ")")</f>
        <v/>
      </c>
      <c r="F130" s="118" t="str">
        <f>IF('Dashboard 입력'!AJ134="", "", 'Dashboard 입력'!AJ134 &amp; " (" &amp; 'Dashboard 입력'!AG134 &amp; ")")</f>
        <v/>
      </c>
      <c r="G130" s="118" t="str">
        <f>IF(위험성평가_입력[[#This Row],[위험성]]="","", 위험성평가_입력[[#This Row],[위험성]] &amp; " (" &amp; 위험성평가_입력[[#This Row],[위험도(전)]] &amp; ")")</f>
        <v/>
      </c>
      <c r="H130" s="116"/>
    </row>
    <row r="131" spans="1:8" ht="25" customHeight="1">
      <c r="A131" s="118" t="str">
        <f>IF('Dashboard 입력'!AB135="","",'Dashboard 입력'!AB135)</f>
        <v/>
      </c>
      <c r="B131" s="18" t="str">
        <f>IF('Dashboard 입력'!AC135="","",'Dashboard 입력'!AC135)</f>
        <v/>
      </c>
      <c r="C131" s="18" t="str">
        <f>IF('Dashboard 입력'!AD135="","",'Dashboard 입력'!AD135)</f>
        <v/>
      </c>
      <c r="D131" s="18" t="str">
        <f>IF('Dashboard 입력'!AE135="","",'Dashboard 입력'!AE135)</f>
        <v/>
      </c>
      <c r="E131" s="118" t="str">
        <f>IF('Dashboard 입력'!AI135="", "", 'Dashboard 입력'!AI135 &amp; " (" &amp; 'Dashboard 입력'!AF135 &amp; ")")</f>
        <v/>
      </c>
      <c r="F131" s="118" t="str">
        <f>IF('Dashboard 입력'!AJ135="", "", 'Dashboard 입력'!AJ135 &amp; " (" &amp; 'Dashboard 입력'!AG135 &amp; ")")</f>
        <v/>
      </c>
      <c r="G131" s="118" t="str">
        <f>IF(위험성평가_입력[[#This Row],[위험성]]="","", 위험성평가_입력[[#This Row],[위험성]] &amp; " (" &amp; 위험성평가_입력[[#This Row],[위험도(전)]] &amp; ")")</f>
        <v/>
      </c>
      <c r="H131" s="116"/>
    </row>
    <row r="132" spans="1:8" ht="25" customHeight="1">
      <c r="A132" s="118" t="str">
        <f>IF('Dashboard 입력'!AB136="","",'Dashboard 입력'!AB136)</f>
        <v/>
      </c>
      <c r="B132" s="18" t="str">
        <f>IF('Dashboard 입력'!AC136="","",'Dashboard 입력'!AC136)</f>
        <v/>
      </c>
      <c r="C132" s="18" t="str">
        <f>IF('Dashboard 입력'!AD136="","",'Dashboard 입력'!AD136)</f>
        <v/>
      </c>
      <c r="D132" s="18" t="str">
        <f>IF('Dashboard 입력'!AE136="","",'Dashboard 입력'!AE136)</f>
        <v/>
      </c>
      <c r="E132" s="118" t="str">
        <f>IF('Dashboard 입력'!AI136="", "", 'Dashboard 입력'!AI136 &amp; " (" &amp; 'Dashboard 입력'!AF136 &amp; ")")</f>
        <v/>
      </c>
      <c r="F132" s="118" t="str">
        <f>IF('Dashboard 입력'!AJ136="", "", 'Dashboard 입력'!AJ136 &amp; " (" &amp; 'Dashboard 입력'!AG136 &amp; ")")</f>
        <v/>
      </c>
      <c r="G132" s="118" t="str">
        <f>IF(위험성평가_입력[[#This Row],[위험성]]="","", 위험성평가_입력[[#This Row],[위험성]] &amp; " (" &amp; 위험성평가_입력[[#This Row],[위험도(전)]] &amp; ")")</f>
        <v/>
      </c>
      <c r="H132" s="116"/>
    </row>
    <row r="133" spans="1:8" ht="25" customHeight="1">
      <c r="A133" s="118" t="str">
        <f>IF('Dashboard 입력'!AB137="","",'Dashboard 입력'!AB137)</f>
        <v/>
      </c>
      <c r="B133" s="18" t="str">
        <f>IF('Dashboard 입력'!AC137="","",'Dashboard 입력'!AC137)</f>
        <v/>
      </c>
      <c r="C133" s="18" t="str">
        <f>IF('Dashboard 입력'!AD137="","",'Dashboard 입력'!AD137)</f>
        <v/>
      </c>
      <c r="D133" s="18" t="str">
        <f>IF('Dashboard 입력'!AE137="","",'Dashboard 입력'!AE137)</f>
        <v/>
      </c>
      <c r="E133" s="118" t="str">
        <f>IF('Dashboard 입력'!AI137="", "", 'Dashboard 입력'!AI137 &amp; " (" &amp; 'Dashboard 입력'!AF137 &amp; ")")</f>
        <v/>
      </c>
      <c r="F133" s="118" t="str">
        <f>IF('Dashboard 입력'!AJ137="", "", 'Dashboard 입력'!AJ137 &amp; " (" &amp; 'Dashboard 입력'!AG137 &amp; ")")</f>
        <v/>
      </c>
      <c r="G133" s="118" t="str">
        <f>IF(위험성평가_입력[[#This Row],[위험성]]="","", 위험성평가_입력[[#This Row],[위험성]] &amp; " (" &amp; 위험성평가_입력[[#This Row],[위험도(전)]] &amp; ")")</f>
        <v/>
      </c>
      <c r="H133" s="116"/>
    </row>
    <row r="134" spans="1:8" ht="25" customHeight="1">
      <c r="A134" s="118" t="str">
        <f>IF('Dashboard 입력'!AB138="","",'Dashboard 입력'!AB138)</f>
        <v/>
      </c>
      <c r="B134" s="18" t="str">
        <f>IF('Dashboard 입력'!AC138="","",'Dashboard 입력'!AC138)</f>
        <v/>
      </c>
      <c r="C134" s="18" t="str">
        <f>IF('Dashboard 입력'!AD138="","",'Dashboard 입력'!AD138)</f>
        <v/>
      </c>
      <c r="D134" s="18" t="str">
        <f>IF('Dashboard 입력'!AE138="","",'Dashboard 입력'!AE138)</f>
        <v/>
      </c>
      <c r="E134" s="118" t="str">
        <f>IF('Dashboard 입력'!AI138="", "", 'Dashboard 입력'!AI138 &amp; " (" &amp; 'Dashboard 입력'!AF138 &amp; ")")</f>
        <v/>
      </c>
      <c r="F134" s="118" t="str">
        <f>IF('Dashboard 입력'!AJ138="", "", 'Dashboard 입력'!AJ138 &amp; " (" &amp; 'Dashboard 입력'!AG138 &amp; ")")</f>
        <v/>
      </c>
      <c r="G134" s="118" t="str">
        <f>IF(위험성평가_입력[[#This Row],[위험성]]="","", 위험성평가_입력[[#This Row],[위험성]] &amp; " (" &amp; 위험성평가_입력[[#This Row],[위험도(전)]] &amp; ")")</f>
        <v/>
      </c>
      <c r="H134" s="116"/>
    </row>
    <row r="135" spans="1:8" ht="25" customHeight="1">
      <c r="A135" s="118" t="str">
        <f>IF('Dashboard 입력'!AB139="","",'Dashboard 입력'!AB139)</f>
        <v/>
      </c>
      <c r="B135" s="18" t="str">
        <f>IF('Dashboard 입력'!AC139="","",'Dashboard 입력'!AC139)</f>
        <v/>
      </c>
      <c r="C135" s="18" t="str">
        <f>IF('Dashboard 입력'!AD139="","",'Dashboard 입력'!AD139)</f>
        <v/>
      </c>
      <c r="D135" s="18" t="str">
        <f>IF('Dashboard 입력'!AE139="","",'Dashboard 입력'!AE139)</f>
        <v/>
      </c>
      <c r="E135" s="118" t="str">
        <f>IF('Dashboard 입력'!AI139="", "", 'Dashboard 입력'!AI139 &amp; " (" &amp; 'Dashboard 입력'!AF139 &amp; ")")</f>
        <v/>
      </c>
      <c r="F135" s="118" t="str">
        <f>IF('Dashboard 입력'!AJ139="", "", 'Dashboard 입력'!AJ139 &amp; " (" &amp; 'Dashboard 입력'!AG139 &amp; ")")</f>
        <v/>
      </c>
      <c r="G135" s="118" t="str">
        <f>IF(위험성평가_입력[[#This Row],[위험성]]="","", 위험성평가_입력[[#This Row],[위험성]] &amp; " (" &amp; 위험성평가_입력[[#This Row],[위험도(전)]] &amp; ")")</f>
        <v/>
      </c>
      <c r="H135" s="116"/>
    </row>
    <row r="136" spans="1:8" ht="25" customHeight="1">
      <c r="A136" s="118" t="str">
        <f>IF('Dashboard 입력'!AB140="","",'Dashboard 입력'!AB140)</f>
        <v/>
      </c>
      <c r="B136" s="18" t="str">
        <f>IF('Dashboard 입력'!AC140="","",'Dashboard 입력'!AC140)</f>
        <v/>
      </c>
      <c r="C136" s="18" t="str">
        <f>IF('Dashboard 입력'!AD140="","",'Dashboard 입력'!AD140)</f>
        <v/>
      </c>
      <c r="D136" s="18" t="str">
        <f>IF('Dashboard 입력'!AE140="","",'Dashboard 입력'!AE140)</f>
        <v/>
      </c>
      <c r="E136" s="118" t="str">
        <f>IF('Dashboard 입력'!AI140="", "", 'Dashboard 입력'!AI140 &amp; " (" &amp; 'Dashboard 입력'!AF140 &amp; ")")</f>
        <v/>
      </c>
      <c r="F136" s="118" t="str">
        <f>IF('Dashboard 입력'!AJ140="", "", 'Dashboard 입력'!AJ140 &amp; " (" &amp; 'Dashboard 입력'!AG140 &amp; ")")</f>
        <v/>
      </c>
      <c r="G136" s="118" t="str">
        <f>IF(위험성평가_입력[[#This Row],[위험성]]="","", 위험성평가_입력[[#This Row],[위험성]] &amp; " (" &amp; 위험성평가_입력[[#This Row],[위험도(전)]] &amp; ")")</f>
        <v/>
      </c>
      <c r="H136" s="116"/>
    </row>
    <row r="137" spans="1:8" ht="25" customHeight="1">
      <c r="A137" s="118" t="str">
        <f>IF('Dashboard 입력'!AB141="","",'Dashboard 입력'!AB141)</f>
        <v/>
      </c>
      <c r="B137" s="18" t="str">
        <f>IF('Dashboard 입력'!AC141="","",'Dashboard 입력'!AC141)</f>
        <v/>
      </c>
      <c r="C137" s="18" t="str">
        <f>IF('Dashboard 입력'!AD141="","",'Dashboard 입력'!AD141)</f>
        <v/>
      </c>
      <c r="D137" s="18" t="str">
        <f>IF('Dashboard 입력'!AE141="","",'Dashboard 입력'!AE141)</f>
        <v/>
      </c>
      <c r="E137" s="118" t="str">
        <f>IF('Dashboard 입력'!AI141="", "", 'Dashboard 입력'!AI141 &amp; " (" &amp; 'Dashboard 입력'!AF141 &amp; ")")</f>
        <v/>
      </c>
      <c r="F137" s="118" t="str">
        <f>IF('Dashboard 입력'!AJ141="", "", 'Dashboard 입력'!AJ141 &amp; " (" &amp; 'Dashboard 입력'!AG141 &amp; ")")</f>
        <v/>
      </c>
      <c r="G137" s="118" t="str">
        <f>IF(위험성평가_입력[[#This Row],[위험성]]="","", 위험성평가_입력[[#This Row],[위험성]] &amp; " (" &amp; 위험성평가_입력[[#This Row],[위험도(전)]] &amp; ")")</f>
        <v/>
      </c>
      <c r="H137" s="116"/>
    </row>
    <row r="138" spans="1:8" ht="25" customHeight="1">
      <c r="A138" s="118" t="str">
        <f>IF('Dashboard 입력'!AB142="","",'Dashboard 입력'!AB142)</f>
        <v/>
      </c>
      <c r="B138" s="18" t="str">
        <f>IF('Dashboard 입력'!AC142="","",'Dashboard 입력'!AC142)</f>
        <v/>
      </c>
      <c r="C138" s="18" t="str">
        <f>IF('Dashboard 입력'!AD142="","",'Dashboard 입력'!AD142)</f>
        <v/>
      </c>
      <c r="D138" s="18" t="str">
        <f>IF('Dashboard 입력'!AE142="","",'Dashboard 입력'!AE142)</f>
        <v/>
      </c>
      <c r="E138" s="118" t="str">
        <f>IF('Dashboard 입력'!AI142="", "", 'Dashboard 입력'!AI142 &amp; " (" &amp; 'Dashboard 입력'!AF142 &amp; ")")</f>
        <v/>
      </c>
      <c r="F138" s="118" t="str">
        <f>IF('Dashboard 입력'!AJ142="", "", 'Dashboard 입력'!AJ142 &amp; " (" &amp; 'Dashboard 입력'!AG142 &amp; ")")</f>
        <v/>
      </c>
      <c r="G138" s="118" t="str">
        <f>IF(위험성평가_입력[[#This Row],[위험성]]="","", 위험성평가_입력[[#This Row],[위험성]] &amp; " (" &amp; 위험성평가_입력[[#This Row],[위험도(전)]] &amp; ")")</f>
        <v/>
      </c>
      <c r="H138" s="116"/>
    </row>
    <row r="139" spans="1:8" ht="25" customHeight="1">
      <c r="A139" s="118" t="str">
        <f>IF('Dashboard 입력'!AB143="","",'Dashboard 입력'!AB143)</f>
        <v/>
      </c>
      <c r="B139" s="18" t="str">
        <f>IF('Dashboard 입력'!AC143="","",'Dashboard 입력'!AC143)</f>
        <v/>
      </c>
      <c r="C139" s="18" t="str">
        <f>IF('Dashboard 입력'!AD143="","",'Dashboard 입력'!AD143)</f>
        <v/>
      </c>
      <c r="D139" s="18" t="str">
        <f>IF('Dashboard 입력'!AE143="","",'Dashboard 입력'!AE143)</f>
        <v/>
      </c>
      <c r="E139" s="118" t="str">
        <f>IF('Dashboard 입력'!AI143="", "", 'Dashboard 입력'!AI143 &amp; " (" &amp; 'Dashboard 입력'!AF143 &amp; ")")</f>
        <v/>
      </c>
      <c r="F139" s="118" t="str">
        <f>IF('Dashboard 입력'!AJ143="", "", 'Dashboard 입력'!AJ143 &amp; " (" &amp; 'Dashboard 입력'!AG143 &amp; ")")</f>
        <v/>
      </c>
      <c r="G139" s="118" t="str">
        <f>IF(위험성평가_입력[[#This Row],[위험성]]="","", 위험성평가_입력[[#This Row],[위험성]] &amp; " (" &amp; 위험성평가_입력[[#This Row],[위험도(전)]] &amp; ")")</f>
        <v/>
      </c>
      <c r="H139" s="116"/>
    </row>
    <row r="140" spans="1:8" ht="25" customHeight="1">
      <c r="A140" s="118" t="str">
        <f>IF('Dashboard 입력'!AB144="","",'Dashboard 입력'!AB144)</f>
        <v/>
      </c>
      <c r="B140" s="18" t="str">
        <f>IF('Dashboard 입력'!AC144="","",'Dashboard 입력'!AC144)</f>
        <v/>
      </c>
      <c r="C140" s="18" t="str">
        <f>IF('Dashboard 입력'!AD144="","",'Dashboard 입력'!AD144)</f>
        <v/>
      </c>
      <c r="D140" s="18" t="str">
        <f>IF('Dashboard 입력'!AE144="","",'Dashboard 입력'!AE144)</f>
        <v/>
      </c>
      <c r="E140" s="118" t="str">
        <f>IF('Dashboard 입력'!AI144="", "", 'Dashboard 입력'!AI144 &amp; " (" &amp; 'Dashboard 입력'!AF144 &amp; ")")</f>
        <v/>
      </c>
      <c r="F140" s="118" t="str">
        <f>IF('Dashboard 입력'!AJ144="", "", 'Dashboard 입력'!AJ144 &amp; " (" &amp; 'Dashboard 입력'!AG144 &amp; ")")</f>
        <v/>
      </c>
      <c r="G140" s="118" t="str">
        <f>IF(위험성평가_입력[[#This Row],[위험성]]="","", 위험성평가_입력[[#This Row],[위험성]] &amp; " (" &amp; 위험성평가_입력[[#This Row],[위험도(전)]] &amp; ")")</f>
        <v/>
      </c>
      <c r="H140" s="116"/>
    </row>
    <row r="141" spans="1:8" ht="25" customHeight="1">
      <c r="A141" s="118" t="str">
        <f>IF('Dashboard 입력'!AB145="","",'Dashboard 입력'!AB145)</f>
        <v/>
      </c>
      <c r="B141" s="18" t="str">
        <f>IF('Dashboard 입력'!AC145="","",'Dashboard 입력'!AC145)</f>
        <v/>
      </c>
      <c r="C141" s="18" t="str">
        <f>IF('Dashboard 입력'!AD145="","",'Dashboard 입력'!AD145)</f>
        <v/>
      </c>
      <c r="D141" s="18" t="str">
        <f>IF('Dashboard 입력'!AE145="","",'Dashboard 입력'!AE145)</f>
        <v/>
      </c>
      <c r="E141" s="118" t="str">
        <f>IF('Dashboard 입력'!AI145="", "", 'Dashboard 입력'!AI145 &amp; " (" &amp; 'Dashboard 입력'!AF145 &amp; ")")</f>
        <v/>
      </c>
      <c r="F141" s="118" t="str">
        <f>IF('Dashboard 입력'!AJ145="", "", 'Dashboard 입력'!AJ145 &amp; " (" &amp; 'Dashboard 입력'!AG145 &amp; ")")</f>
        <v/>
      </c>
      <c r="G141" s="118" t="str">
        <f>IF(위험성평가_입력[[#This Row],[위험성]]="","", 위험성평가_입력[[#This Row],[위험성]] &amp; " (" &amp; 위험성평가_입력[[#This Row],[위험도(전)]] &amp; ")")</f>
        <v/>
      </c>
      <c r="H141" s="116"/>
    </row>
    <row r="142" spans="1:8" ht="25" customHeight="1">
      <c r="A142" s="118" t="str">
        <f>IF('Dashboard 입력'!AB146="","",'Dashboard 입력'!AB146)</f>
        <v/>
      </c>
      <c r="B142" s="18" t="str">
        <f>IF('Dashboard 입력'!AC146="","",'Dashboard 입력'!AC146)</f>
        <v/>
      </c>
      <c r="C142" s="18" t="str">
        <f>IF('Dashboard 입력'!AD146="","",'Dashboard 입력'!AD146)</f>
        <v/>
      </c>
      <c r="D142" s="18" t="str">
        <f>IF('Dashboard 입력'!AE146="","",'Dashboard 입력'!AE146)</f>
        <v/>
      </c>
      <c r="E142" s="118" t="str">
        <f>IF('Dashboard 입력'!AI146="", "", 'Dashboard 입력'!AI146 &amp; " (" &amp; 'Dashboard 입력'!AF146 &amp; ")")</f>
        <v/>
      </c>
      <c r="F142" s="118" t="str">
        <f>IF('Dashboard 입력'!AJ146="", "", 'Dashboard 입력'!AJ146 &amp; " (" &amp; 'Dashboard 입력'!AG146 &amp; ")")</f>
        <v/>
      </c>
      <c r="G142" s="118" t="str">
        <f>IF(위험성평가_입력[[#This Row],[위험성]]="","", 위험성평가_입력[[#This Row],[위험성]] &amp; " (" &amp; 위험성평가_입력[[#This Row],[위험도(전)]] &amp; ")")</f>
        <v/>
      </c>
      <c r="H142" s="116"/>
    </row>
    <row r="143" spans="1:8" ht="25" customHeight="1">
      <c r="A143" s="118" t="str">
        <f>IF('Dashboard 입력'!AB147="","",'Dashboard 입력'!AB147)</f>
        <v/>
      </c>
      <c r="B143" s="18" t="str">
        <f>IF('Dashboard 입력'!AC147="","",'Dashboard 입력'!AC147)</f>
        <v/>
      </c>
      <c r="C143" s="18" t="str">
        <f>IF('Dashboard 입력'!AD147="","",'Dashboard 입력'!AD147)</f>
        <v/>
      </c>
      <c r="D143" s="18" t="str">
        <f>IF('Dashboard 입력'!AE147="","",'Dashboard 입력'!AE147)</f>
        <v/>
      </c>
      <c r="E143" s="118" t="str">
        <f>IF('Dashboard 입력'!AI147="", "", 'Dashboard 입력'!AI147 &amp; " (" &amp; 'Dashboard 입력'!AF147 &amp; ")")</f>
        <v/>
      </c>
      <c r="F143" s="118" t="str">
        <f>IF('Dashboard 입력'!AJ147="", "", 'Dashboard 입력'!AJ147 &amp; " (" &amp; 'Dashboard 입력'!AG147 &amp; ")")</f>
        <v/>
      </c>
      <c r="G143" s="118" t="str">
        <f>IF(위험성평가_입력[[#This Row],[위험성]]="","", 위험성평가_입력[[#This Row],[위험성]] &amp; " (" &amp; 위험성평가_입력[[#This Row],[위험도(전)]] &amp; ")")</f>
        <v/>
      </c>
      <c r="H143" s="116"/>
    </row>
    <row r="144" spans="1:8" ht="25" customHeight="1">
      <c r="A144" s="118" t="str">
        <f>IF('Dashboard 입력'!AB148="","",'Dashboard 입력'!AB148)</f>
        <v/>
      </c>
      <c r="B144" s="18" t="str">
        <f>IF('Dashboard 입력'!AC148="","",'Dashboard 입력'!AC148)</f>
        <v/>
      </c>
      <c r="C144" s="18" t="str">
        <f>IF('Dashboard 입력'!AD148="","",'Dashboard 입력'!AD148)</f>
        <v/>
      </c>
      <c r="D144" s="18" t="str">
        <f>IF('Dashboard 입력'!AE148="","",'Dashboard 입력'!AE148)</f>
        <v/>
      </c>
      <c r="E144" s="118" t="str">
        <f>IF('Dashboard 입력'!AI148="", "", 'Dashboard 입력'!AI148 &amp; " (" &amp; 'Dashboard 입력'!AF148 &amp; ")")</f>
        <v/>
      </c>
      <c r="F144" s="118" t="str">
        <f>IF('Dashboard 입력'!AJ148="", "", 'Dashboard 입력'!AJ148 &amp; " (" &amp; 'Dashboard 입력'!AG148 &amp; ")")</f>
        <v/>
      </c>
      <c r="G144" s="118" t="str">
        <f>IF(위험성평가_입력[[#This Row],[위험성]]="","", 위험성평가_입력[[#This Row],[위험성]] &amp; " (" &amp; 위험성평가_입력[[#This Row],[위험도(전)]] &amp; ")")</f>
        <v/>
      </c>
      <c r="H144" s="116"/>
    </row>
    <row r="145" spans="1:8" ht="25" customHeight="1">
      <c r="A145" s="118" t="str">
        <f>IF('Dashboard 입력'!AB149="","",'Dashboard 입력'!AB149)</f>
        <v/>
      </c>
      <c r="B145" s="18" t="str">
        <f>IF('Dashboard 입력'!AC149="","",'Dashboard 입력'!AC149)</f>
        <v/>
      </c>
      <c r="C145" s="18" t="str">
        <f>IF('Dashboard 입력'!AD149="","",'Dashboard 입력'!AD149)</f>
        <v/>
      </c>
      <c r="D145" s="18" t="str">
        <f>IF('Dashboard 입력'!AE149="","",'Dashboard 입력'!AE149)</f>
        <v/>
      </c>
      <c r="E145" s="118" t="str">
        <f>IF('Dashboard 입력'!AI149="", "", 'Dashboard 입력'!AI149 &amp; " (" &amp; 'Dashboard 입력'!AF149 &amp; ")")</f>
        <v/>
      </c>
      <c r="F145" s="118" t="str">
        <f>IF('Dashboard 입력'!AJ149="", "", 'Dashboard 입력'!AJ149 &amp; " (" &amp; 'Dashboard 입력'!AG149 &amp; ")")</f>
        <v/>
      </c>
      <c r="G145" s="118" t="str">
        <f>IF(위험성평가_입력[[#This Row],[위험성]]="","", 위험성평가_입력[[#This Row],[위험성]] &amp; " (" &amp; 위험성평가_입력[[#This Row],[위험도(전)]] &amp; ")")</f>
        <v/>
      </c>
      <c r="H145" s="116"/>
    </row>
    <row r="146" spans="1:8" ht="25" customHeight="1">
      <c r="A146" s="118" t="str">
        <f>IF('Dashboard 입력'!AB150="","",'Dashboard 입력'!AB150)</f>
        <v/>
      </c>
      <c r="B146" s="18" t="str">
        <f>IF('Dashboard 입력'!AC150="","",'Dashboard 입력'!AC150)</f>
        <v/>
      </c>
      <c r="C146" s="18" t="str">
        <f>IF('Dashboard 입력'!AD150="","",'Dashboard 입력'!AD150)</f>
        <v/>
      </c>
      <c r="D146" s="18" t="str">
        <f>IF('Dashboard 입력'!AE150="","",'Dashboard 입력'!AE150)</f>
        <v/>
      </c>
      <c r="E146" s="118" t="str">
        <f>IF('Dashboard 입력'!AI150="", "", 'Dashboard 입력'!AI150 &amp; " (" &amp; 'Dashboard 입력'!AF150 &amp; ")")</f>
        <v/>
      </c>
      <c r="F146" s="118" t="str">
        <f>IF('Dashboard 입력'!AJ150="", "", 'Dashboard 입력'!AJ150 &amp; " (" &amp; 'Dashboard 입력'!AG150 &amp; ")")</f>
        <v/>
      </c>
      <c r="G146" s="118" t="str">
        <f>IF(위험성평가_입력[[#This Row],[위험성]]="","", 위험성평가_입력[[#This Row],[위험성]] &amp; " (" &amp; 위험성평가_입력[[#This Row],[위험도(전)]] &amp; ")")</f>
        <v/>
      </c>
      <c r="H146" s="116"/>
    </row>
    <row r="147" spans="1:8" ht="25" customHeight="1">
      <c r="A147" s="118" t="str">
        <f>IF('Dashboard 입력'!AB151="","",'Dashboard 입력'!AB151)</f>
        <v/>
      </c>
      <c r="B147" s="18" t="str">
        <f>IF('Dashboard 입력'!AC151="","",'Dashboard 입력'!AC151)</f>
        <v/>
      </c>
      <c r="C147" s="18" t="str">
        <f>IF('Dashboard 입력'!AD151="","",'Dashboard 입력'!AD151)</f>
        <v/>
      </c>
      <c r="D147" s="18" t="str">
        <f>IF('Dashboard 입력'!AE151="","",'Dashboard 입력'!AE151)</f>
        <v/>
      </c>
      <c r="E147" s="118" t="str">
        <f>IF('Dashboard 입력'!AI151="", "", 'Dashboard 입력'!AI151 &amp; " (" &amp; 'Dashboard 입력'!AF151 &amp; ")")</f>
        <v/>
      </c>
      <c r="F147" s="118" t="str">
        <f>IF('Dashboard 입력'!AJ151="", "", 'Dashboard 입력'!AJ151 &amp; " (" &amp; 'Dashboard 입력'!AG151 &amp; ")")</f>
        <v/>
      </c>
      <c r="G147" s="118" t="str">
        <f>IF(위험성평가_입력[[#This Row],[위험성]]="","", 위험성평가_입력[[#This Row],[위험성]] &amp; " (" &amp; 위험성평가_입력[[#This Row],[위험도(전)]] &amp; ")")</f>
        <v/>
      </c>
      <c r="H147" s="116"/>
    </row>
    <row r="148" spans="1:8" ht="25" customHeight="1">
      <c r="A148" s="118" t="str">
        <f>IF('Dashboard 입력'!AB152="","",'Dashboard 입력'!AB152)</f>
        <v/>
      </c>
      <c r="B148" s="18" t="str">
        <f>IF('Dashboard 입력'!AC152="","",'Dashboard 입력'!AC152)</f>
        <v/>
      </c>
      <c r="C148" s="18" t="str">
        <f>IF('Dashboard 입력'!AD152="","",'Dashboard 입력'!AD152)</f>
        <v/>
      </c>
      <c r="D148" s="18" t="str">
        <f>IF('Dashboard 입력'!AE152="","",'Dashboard 입력'!AE152)</f>
        <v/>
      </c>
      <c r="E148" s="118" t="str">
        <f>IF('Dashboard 입력'!AI152="", "", 'Dashboard 입력'!AI152 &amp; " (" &amp; 'Dashboard 입력'!AF152 &amp; ")")</f>
        <v/>
      </c>
      <c r="F148" s="118" t="str">
        <f>IF('Dashboard 입력'!AJ152="", "", 'Dashboard 입력'!AJ152 &amp; " (" &amp; 'Dashboard 입력'!AG152 &amp; ")")</f>
        <v/>
      </c>
      <c r="G148" s="118" t="str">
        <f>IF(위험성평가_입력[[#This Row],[위험성]]="","", 위험성평가_입력[[#This Row],[위험성]] &amp; " (" &amp; 위험성평가_입력[[#This Row],[위험도(전)]] &amp; ")")</f>
        <v/>
      </c>
      <c r="H148" s="116"/>
    </row>
    <row r="149" spans="1:8" ht="25" customHeight="1">
      <c r="A149" s="118" t="str">
        <f>IF('Dashboard 입력'!AB153="","",'Dashboard 입력'!AB153)</f>
        <v/>
      </c>
      <c r="B149" s="18" t="str">
        <f>IF('Dashboard 입력'!AC153="","",'Dashboard 입력'!AC153)</f>
        <v/>
      </c>
      <c r="C149" s="18" t="str">
        <f>IF('Dashboard 입력'!AD153="","",'Dashboard 입력'!AD153)</f>
        <v/>
      </c>
      <c r="D149" s="18" t="str">
        <f>IF('Dashboard 입력'!AE153="","",'Dashboard 입력'!AE153)</f>
        <v/>
      </c>
      <c r="E149" s="118" t="str">
        <f>IF('Dashboard 입력'!AI153="", "", 'Dashboard 입력'!AI153 &amp; " (" &amp; 'Dashboard 입력'!AF153 &amp; ")")</f>
        <v/>
      </c>
      <c r="F149" s="118" t="str">
        <f>IF('Dashboard 입력'!AJ153="", "", 'Dashboard 입력'!AJ153 &amp; " (" &amp; 'Dashboard 입력'!AG153 &amp; ")")</f>
        <v/>
      </c>
      <c r="G149" s="118" t="str">
        <f>IF(위험성평가_입력[[#This Row],[위험성]]="","", 위험성평가_입력[[#This Row],[위험성]] &amp; " (" &amp; 위험성평가_입력[[#This Row],[위험도(전)]] &amp; ")")</f>
        <v/>
      </c>
      <c r="H149" s="116"/>
    </row>
    <row r="150" spans="1:8" ht="25" customHeight="1">
      <c r="A150" s="118" t="str">
        <f>IF('Dashboard 입력'!AB154="","",'Dashboard 입력'!AB154)</f>
        <v/>
      </c>
      <c r="B150" s="18" t="str">
        <f>IF('Dashboard 입력'!AC154="","",'Dashboard 입력'!AC154)</f>
        <v/>
      </c>
      <c r="C150" s="18" t="str">
        <f>IF('Dashboard 입력'!AD154="","",'Dashboard 입력'!AD154)</f>
        <v/>
      </c>
      <c r="D150" s="18" t="str">
        <f>IF('Dashboard 입력'!AE154="","",'Dashboard 입력'!AE154)</f>
        <v/>
      </c>
      <c r="E150" s="118" t="str">
        <f>IF('Dashboard 입력'!AI154="", "", 'Dashboard 입력'!AI154 &amp; " (" &amp; 'Dashboard 입력'!AF154 &amp; ")")</f>
        <v/>
      </c>
      <c r="F150" s="118" t="str">
        <f>IF('Dashboard 입력'!AJ154="", "", 'Dashboard 입력'!AJ154 &amp; " (" &amp; 'Dashboard 입력'!AG154 &amp; ")")</f>
        <v/>
      </c>
      <c r="G150" s="118" t="str">
        <f>IF(위험성평가_입력[[#This Row],[위험성]]="","", 위험성평가_입력[[#This Row],[위험성]] &amp; " (" &amp; 위험성평가_입력[[#This Row],[위험도(전)]] &amp; ")")</f>
        <v/>
      </c>
      <c r="H150" s="116"/>
    </row>
    <row r="151" spans="1:8" ht="25" customHeight="1">
      <c r="A151" s="118" t="str">
        <f>IF('Dashboard 입력'!AB155="","",'Dashboard 입력'!AB155)</f>
        <v/>
      </c>
      <c r="B151" s="18" t="str">
        <f>IF('Dashboard 입력'!AC155="","",'Dashboard 입력'!AC155)</f>
        <v/>
      </c>
      <c r="C151" s="18" t="str">
        <f>IF('Dashboard 입력'!AD155="","",'Dashboard 입력'!AD155)</f>
        <v/>
      </c>
      <c r="D151" s="18" t="str">
        <f>IF('Dashboard 입력'!AE155="","",'Dashboard 입력'!AE155)</f>
        <v/>
      </c>
      <c r="E151" s="118" t="str">
        <f>IF('Dashboard 입력'!AI155="", "", 'Dashboard 입력'!AI155 &amp; " (" &amp; 'Dashboard 입력'!AF155 &amp; ")")</f>
        <v/>
      </c>
      <c r="F151" s="118" t="str">
        <f>IF('Dashboard 입력'!AJ155="", "", 'Dashboard 입력'!AJ155 &amp; " (" &amp; 'Dashboard 입력'!AG155 &amp; ")")</f>
        <v/>
      </c>
      <c r="G151" s="118" t="str">
        <f>IF(위험성평가_입력[[#This Row],[위험성]]="","", 위험성평가_입력[[#This Row],[위험성]] &amp; " (" &amp; 위험성평가_입력[[#This Row],[위험도(전)]] &amp; ")")</f>
        <v/>
      </c>
      <c r="H151" s="116"/>
    </row>
    <row r="152" spans="1:8" ht="25" customHeight="1">
      <c r="A152" s="118" t="str">
        <f>IF('Dashboard 입력'!AB156="","",'Dashboard 입력'!AB156)</f>
        <v/>
      </c>
      <c r="B152" s="18" t="str">
        <f>IF('Dashboard 입력'!AC156="","",'Dashboard 입력'!AC156)</f>
        <v/>
      </c>
      <c r="C152" s="18" t="str">
        <f>IF('Dashboard 입력'!AD156="","",'Dashboard 입력'!AD156)</f>
        <v/>
      </c>
      <c r="D152" s="18" t="str">
        <f>IF('Dashboard 입력'!AE156="","",'Dashboard 입력'!AE156)</f>
        <v/>
      </c>
      <c r="E152" s="118" t="str">
        <f>IF('Dashboard 입력'!AI156="", "", 'Dashboard 입력'!AI156 &amp; " (" &amp; 'Dashboard 입력'!AF156 &amp; ")")</f>
        <v/>
      </c>
      <c r="F152" s="118" t="str">
        <f>IF('Dashboard 입력'!AJ156="", "", 'Dashboard 입력'!AJ156 &amp; " (" &amp; 'Dashboard 입력'!AG156 &amp; ")")</f>
        <v/>
      </c>
      <c r="G152" s="118" t="str">
        <f>IF(위험성평가_입력[[#This Row],[위험성]]="","", 위험성평가_입력[[#This Row],[위험성]] &amp; " (" &amp; 위험성평가_입력[[#This Row],[위험도(전)]] &amp; ")")</f>
        <v/>
      </c>
      <c r="H152" s="116"/>
    </row>
    <row r="153" spans="1:8" ht="25" customHeight="1">
      <c r="A153" s="118" t="str">
        <f>IF('Dashboard 입력'!AB157="","",'Dashboard 입력'!AB157)</f>
        <v/>
      </c>
      <c r="B153" s="18" t="str">
        <f>IF('Dashboard 입력'!AC157="","",'Dashboard 입력'!AC157)</f>
        <v/>
      </c>
      <c r="C153" s="18" t="str">
        <f>IF('Dashboard 입력'!AD157="","",'Dashboard 입력'!AD157)</f>
        <v/>
      </c>
      <c r="D153" s="18" t="str">
        <f>IF('Dashboard 입력'!AE157="","",'Dashboard 입력'!AE157)</f>
        <v/>
      </c>
      <c r="E153" s="118" t="str">
        <f>IF('Dashboard 입력'!AI157="", "", 'Dashboard 입력'!AI157 &amp; " (" &amp; 'Dashboard 입력'!AF157 &amp; ")")</f>
        <v/>
      </c>
      <c r="F153" s="118" t="str">
        <f>IF('Dashboard 입력'!AJ157="", "", 'Dashboard 입력'!AJ157 &amp; " (" &amp; 'Dashboard 입력'!AG157 &amp; ")")</f>
        <v/>
      </c>
      <c r="G153" s="118" t="str">
        <f>IF(위험성평가_입력[[#This Row],[위험성]]="","", 위험성평가_입력[[#This Row],[위험성]] &amp; " (" &amp; 위험성평가_입력[[#This Row],[위험도(전)]] &amp; ")")</f>
        <v/>
      </c>
      <c r="H153" s="116"/>
    </row>
    <row r="154" spans="1:8" ht="25" customHeight="1">
      <c r="A154" s="118" t="str">
        <f>IF('Dashboard 입력'!AB158="","",'Dashboard 입력'!AB158)</f>
        <v/>
      </c>
      <c r="B154" s="18" t="str">
        <f>IF('Dashboard 입력'!AC158="","",'Dashboard 입력'!AC158)</f>
        <v/>
      </c>
      <c r="C154" s="18" t="str">
        <f>IF('Dashboard 입력'!AD158="","",'Dashboard 입력'!AD158)</f>
        <v/>
      </c>
      <c r="D154" s="18" t="str">
        <f>IF('Dashboard 입력'!AE158="","",'Dashboard 입력'!AE158)</f>
        <v/>
      </c>
      <c r="E154" s="118" t="str">
        <f>IF('Dashboard 입력'!AI158="", "", 'Dashboard 입력'!AI158 &amp; " (" &amp; 'Dashboard 입력'!AF158 &amp; ")")</f>
        <v/>
      </c>
      <c r="F154" s="118" t="str">
        <f>IF('Dashboard 입력'!AJ158="", "", 'Dashboard 입력'!AJ158 &amp; " (" &amp; 'Dashboard 입력'!AG158 &amp; ")")</f>
        <v/>
      </c>
      <c r="G154" s="118" t="str">
        <f>IF(위험성평가_입력[[#This Row],[위험성]]="","", 위험성평가_입력[[#This Row],[위험성]] &amp; " (" &amp; 위험성평가_입력[[#This Row],[위험도(전)]] &amp; ")")</f>
        <v/>
      </c>
      <c r="H154" s="116"/>
    </row>
    <row r="155" spans="1:8" ht="25" customHeight="1">
      <c r="A155" s="118" t="str">
        <f>IF('Dashboard 입력'!AB159="","",'Dashboard 입력'!AB159)</f>
        <v/>
      </c>
      <c r="B155" s="18" t="str">
        <f>IF('Dashboard 입력'!AC159="","",'Dashboard 입력'!AC159)</f>
        <v/>
      </c>
      <c r="C155" s="18" t="str">
        <f>IF('Dashboard 입력'!AD159="","",'Dashboard 입력'!AD159)</f>
        <v/>
      </c>
      <c r="D155" s="18" t="str">
        <f>IF('Dashboard 입력'!AE159="","",'Dashboard 입력'!AE159)</f>
        <v/>
      </c>
      <c r="E155" s="118" t="str">
        <f>IF('Dashboard 입력'!AI159="", "", 'Dashboard 입력'!AI159 &amp; " (" &amp; 'Dashboard 입력'!AF159 &amp; ")")</f>
        <v/>
      </c>
      <c r="F155" s="118" t="str">
        <f>IF('Dashboard 입력'!AJ159="", "", 'Dashboard 입력'!AJ159 &amp; " (" &amp; 'Dashboard 입력'!AG159 &amp; ")")</f>
        <v/>
      </c>
      <c r="G155" s="118" t="str">
        <f>IF(위험성평가_입력[[#This Row],[위험성]]="","", 위험성평가_입력[[#This Row],[위험성]] &amp; " (" &amp; 위험성평가_입력[[#This Row],[위험도(전)]] &amp; ")")</f>
        <v/>
      </c>
      <c r="H155" s="116"/>
    </row>
    <row r="156" spans="1:8" ht="25" customHeight="1">
      <c r="A156" s="118" t="str">
        <f>IF('Dashboard 입력'!AB160="","",'Dashboard 입력'!AB160)</f>
        <v/>
      </c>
      <c r="B156" s="18" t="str">
        <f>IF('Dashboard 입력'!AC160="","",'Dashboard 입력'!AC160)</f>
        <v/>
      </c>
      <c r="C156" s="18" t="str">
        <f>IF('Dashboard 입력'!AD160="","",'Dashboard 입력'!AD160)</f>
        <v/>
      </c>
      <c r="D156" s="18" t="str">
        <f>IF('Dashboard 입력'!AE160="","",'Dashboard 입력'!AE160)</f>
        <v/>
      </c>
      <c r="E156" s="118" t="str">
        <f>IF('Dashboard 입력'!AI160="", "", 'Dashboard 입력'!AI160 &amp; " (" &amp; 'Dashboard 입력'!AF160 &amp; ")")</f>
        <v/>
      </c>
      <c r="F156" s="118" t="str">
        <f>IF('Dashboard 입력'!AJ160="", "", 'Dashboard 입력'!AJ160 &amp; " (" &amp; 'Dashboard 입력'!AG160 &amp; ")")</f>
        <v/>
      </c>
      <c r="G156" s="118" t="str">
        <f>IF(위험성평가_입력[[#This Row],[위험성]]="","", 위험성평가_입력[[#This Row],[위험성]] &amp; " (" &amp; 위험성평가_입력[[#This Row],[위험도(전)]] &amp; ")")</f>
        <v/>
      </c>
      <c r="H156" s="116"/>
    </row>
    <row r="157" spans="1:8" ht="25" customHeight="1">
      <c r="A157" s="118" t="str">
        <f>IF('Dashboard 입력'!AB161="","",'Dashboard 입력'!AB161)</f>
        <v/>
      </c>
      <c r="B157" s="18" t="str">
        <f>IF('Dashboard 입력'!AC161="","",'Dashboard 입력'!AC161)</f>
        <v/>
      </c>
      <c r="C157" s="18" t="str">
        <f>IF('Dashboard 입력'!AD161="","",'Dashboard 입력'!AD161)</f>
        <v/>
      </c>
      <c r="D157" s="18" t="str">
        <f>IF('Dashboard 입력'!AE161="","",'Dashboard 입력'!AE161)</f>
        <v/>
      </c>
      <c r="E157" s="118" t="str">
        <f>IF('Dashboard 입력'!AI161="", "", 'Dashboard 입력'!AI161 &amp; " (" &amp; 'Dashboard 입력'!AF161 &amp; ")")</f>
        <v/>
      </c>
      <c r="F157" s="118" t="str">
        <f>IF('Dashboard 입력'!AJ161="", "", 'Dashboard 입력'!AJ161 &amp; " (" &amp; 'Dashboard 입력'!AG161 &amp; ")")</f>
        <v/>
      </c>
      <c r="G157" s="118" t="str">
        <f>IF(위험성평가_입력[[#This Row],[위험성]]="","", 위험성평가_입력[[#This Row],[위험성]] &amp; " (" &amp; 위험성평가_입력[[#This Row],[위험도(전)]] &amp; ")")</f>
        <v/>
      </c>
      <c r="H157" s="116"/>
    </row>
    <row r="158" spans="1:8" ht="25" customHeight="1">
      <c r="A158" s="118" t="str">
        <f>IF('Dashboard 입력'!AB162="","",'Dashboard 입력'!AB162)</f>
        <v/>
      </c>
      <c r="B158" s="18" t="str">
        <f>IF('Dashboard 입력'!AC162="","",'Dashboard 입력'!AC162)</f>
        <v/>
      </c>
      <c r="C158" s="18" t="str">
        <f>IF('Dashboard 입력'!AD162="","",'Dashboard 입력'!AD162)</f>
        <v/>
      </c>
      <c r="D158" s="18" t="str">
        <f>IF('Dashboard 입력'!AE162="","",'Dashboard 입력'!AE162)</f>
        <v/>
      </c>
      <c r="E158" s="118" t="str">
        <f>IF('Dashboard 입력'!AI162="", "", 'Dashboard 입력'!AI162 &amp; " (" &amp; 'Dashboard 입력'!AF162 &amp; ")")</f>
        <v/>
      </c>
      <c r="F158" s="118" t="str">
        <f>IF('Dashboard 입력'!AJ162="", "", 'Dashboard 입력'!AJ162 &amp; " (" &amp; 'Dashboard 입력'!AG162 &amp; ")")</f>
        <v/>
      </c>
      <c r="G158" s="118" t="str">
        <f>IF(위험성평가_입력[[#This Row],[위험성]]="","", 위험성평가_입력[[#This Row],[위험성]] &amp; " (" &amp; 위험성평가_입력[[#This Row],[위험도(전)]] &amp; ")")</f>
        <v/>
      </c>
      <c r="H158" s="116"/>
    </row>
    <row r="159" spans="1:8" ht="25" customHeight="1">
      <c r="A159" s="118" t="str">
        <f>IF('Dashboard 입력'!AB163="","",'Dashboard 입력'!AB163)</f>
        <v/>
      </c>
      <c r="B159" s="18" t="str">
        <f>IF('Dashboard 입력'!AC163="","",'Dashboard 입력'!AC163)</f>
        <v/>
      </c>
      <c r="C159" s="18" t="str">
        <f>IF('Dashboard 입력'!AD163="","",'Dashboard 입력'!AD163)</f>
        <v/>
      </c>
      <c r="D159" s="18" t="str">
        <f>IF('Dashboard 입력'!AE163="","",'Dashboard 입력'!AE163)</f>
        <v/>
      </c>
      <c r="E159" s="118" t="str">
        <f>IF('Dashboard 입력'!AI163="", "", 'Dashboard 입력'!AI163 &amp; " (" &amp; 'Dashboard 입력'!AF163 &amp; ")")</f>
        <v/>
      </c>
      <c r="F159" s="118" t="str">
        <f>IF('Dashboard 입력'!AJ163="", "", 'Dashboard 입력'!AJ163 &amp; " (" &amp; 'Dashboard 입력'!AG163 &amp; ")")</f>
        <v/>
      </c>
      <c r="G159" s="118" t="str">
        <f>IF(위험성평가_입력[[#This Row],[위험성]]="","", 위험성평가_입력[[#This Row],[위험성]] &amp; " (" &amp; 위험성평가_입력[[#This Row],[위험도(전)]] &amp; ")")</f>
        <v/>
      </c>
      <c r="H159" s="116"/>
    </row>
    <row r="160" spans="1:8" ht="25" customHeight="1">
      <c r="A160" s="118" t="str">
        <f>IF('Dashboard 입력'!AB164="","",'Dashboard 입력'!AB164)</f>
        <v/>
      </c>
      <c r="B160" s="18" t="str">
        <f>IF('Dashboard 입력'!AC164="","",'Dashboard 입력'!AC164)</f>
        <v/>
      </c>
      <c r="C160" s="18" t="str">
        <f>IF('Dashboard 입력'!AD164="","",'Dashboard 입력'!AD164)</f>
        <v/>
      </c>
      <c r="D160" s="18" t="str">
        <f>IF('Dashboard 입력'!AE164="","",'Dashboard 입력'!AE164)</f>
        <v/>
      </c>
      <c r="E160" s="118" t="str">
        <f>IF('Dashboard 입력'!AI164="", "", 'Dashboard 입력'!AI164 &amp; " (" &amp; 'Dashboard 입력'!AF164 &amp; ")")</f>
        <v/>
      </c>
      <c r="F160" s="118" t="str">
        <f>IF('Dashboard 입력'!AJ164="", "", 'Dashboard 입력'!AJ164 &amp; " (" &amp; 'Dashboard 입력'!AG164 &amp; ")")</f>
        <v/>
      </c>
      <c r="G160" s="118" t="str">
        <f>IF(위험성평가_입력[[#This Row],[위험성]]="","", 위험성평가_입력[[#This Row],[위험성]] &amp; " (" &amp; 위험성평가_입력[[#This Row],[위험도(전)]] &amp; ")")</f>
        <v/>
      </c>
      <c r="H160" s="116"/>
    </row>
    <row r="161" spans="1:8" ht="25" customHeight="1">
      <c r="A161" s="118" t="str">
        <f>IF('Dashboard 입력'!AB165="","",'Dashboard 입력'!AB165)</f>
        <v/>
      </c>
      <c r="B161" s="18" t="str">
        <f>IF('Dashboard 입력'!AC165="","",'Dashboard 입력'!AC165)</f>
        <v/>
      </c>
      <c r="C161" s="18" t="str">
        <f>IF('Dashboard 입력'!AD165="","",'Dashboard 입력'!AD165)</f>
        <v/>
      </c>
      <c r="D161" s="18" t="str">
        <f>IF('Dashboard 입력'!AE165="","",'Dashboard 입력'!AE165)</f>
        <v/>
      </c>
      <c r="E161" s="118" t="str">
        <f>IF('Dashboard 입력'!AI165="", "", 'Dashboard 입력'!AI165 &amp; " (" &amp; 'Dashboard 입력'!AF165 &amp; ")")</f>
        <v/>
      </c>
      <c r="F161" s="118" t="str">
        <f>IF('Dashboard 입력'!AJ165="", "", 'Dashboard 입력'!AJ165 &amp; " (" &amp; 'Dashboard 입력'!AG165 &amp; ")")</f>
        <v/>
      </c>
      <c r="G161" s="118" t="str">
        <f>IF(위험성평가_입력[[#This Row],[위험성]]="","", 위험성평가_입력[[#This Row],[위험성]] &amp; " (" &amp; 위험성평가_입력[[#This Row],[위험도(전)]] &amp; ")")</f>
        <v/>
      </c>
      <c r="H161" s="116"/>
    </row>
    <row r="162" spans="1:8" ht="25" customHeight="1">
      <c r="A162" s="118" t="str">
        <f>IF('Dashboard 입력'!AB166="","",'Dashboard 입력'!AB166)</f>
        <v/>
      </c>
      <c r="B162" s="18" t="str">
        <f>IF('Dashboard 입력'!AC166="","",'Dashboard 입력'!AC166)</f>
        <v/>
      </c>
      <c r="C162" s="18" t="str">
        <f>IF('Dashboard 입력'!AD166="","",'Dashboard 입력'!AD166)</f>
        <v/>
      </c>
      <c r="D162" s="18" t="str">
        <f>IF('Dashboard 입력'!AE166="","",'Dashboard 입력'!AE166)</f>
        <v/>
      </c>
      <c r="E162" s="118" t="str">
        <f>IF('Dashboard 입력'!AI166="", "", 'Dashboard 입력'!AI166 &amp; " (" &amp; 'Dashboard 입력'!AF166 &amp; ")")</f>
        <v/>
      </c>
      <c r="F162" s="118" t="str">
        <f>IF('Dashboard 입력'!AJ166="", "", 'Dashboard 입력'!AJ166 &amp; " (" &amp; 'Dashboard 입력'!AG166 &amp; ")")</f>
        <v/>
      </c>
      <c r="G162" s="118" t="str">
        <f>IF(위험성평가_입력[[#This Row],[위험성]]="","", 위험성평가_입력[[#This Row],[위험성]] &amp; " (" &amp; 위험성평가_입력[[#This Row],[위험도(전)]] &amp; ")")</f>
        <v/>
      </c>
      <c r="H162" s="116"/>
    </row>
    <row r="163" spans="1:8" ht="25" customHeight="1">
      <c r="A163" s="118" t="str">
        <f>IF('Dashboard 입력'!AB167="","",'Dashboard 입력'!AB167)</f>
        <v/>
      </c>
      <c r="B163" s="18" t="str">
        <f>IF('Dashboard 입력'!AC167="","",'Dashboard 입력'!AC167)</f>
        <v/>
      </c>
      <c r="C163" s="18" t="str">
        <f>IF('Dashboard 입력'!AD167="","",'Dashboard 입력'!AD167)</f>
        <v/>
      </c>
      <c r="D163" s="18" t="str">
        <f>IF('Dashboard 입력'!AE167="","",'Dashboard 입력'!AE167)</f>
        <v/>
      </c>
      <c r="E163" s="118" t="str">
        <f>IF('Dashboard 입력'!AI167="", "", 'Dashboard 입력'!AI167 &amp; " (" &amp; 'Dashboard 입력'!AF167 &amp; ")")</f>
        <v/>
      </c>
      <c r="F163" s="118" t="str">
        <f>IF('Dashboard 입력'!AJ167="", "", 'Dashboard 입력'!AJ167 &amp; " (" &amp; 'Dashboard 입력'!AG167 &amp; ")")</f>
        <v/>
      </c>
      <c r="G163" s="118" t="str">
        <f>IF(위험성평가_입력[[#This Row],[위험성]]="","", 위험성평가_입력[[#This Row],[위험성]] &amp; " (" &amp; 위험성평가_입력[[#This Row],[위험도(전)]] &amp; ")")</f>
        <v/>
      </c>
      <c r="H163" s="116"/>
    </row>
    <row r="164" spans="1:8" ht="25" customHeight="1">
      <c r="A164" s="118" t="str">
        <f>IF('Dashboard 입력'!AB168="","",'Dashboard 입력'!AB168)</f>
        <v/>
      </c>
      <c r="B164" s="18" t="str">
        <f>IF('Dashboard 입력'!AC168="","",'Dashboard 입력'!AC168)</f>
        <v/>
      </c>
      <c r="C164" s="18" t="str">
        <f>IF('Dashboard 입력'!AD168="","",'Dashboard 입력'!AD168)</f>
        <v/>
      </c>
      <c r="D164" s="18" t="str">
        <f>IF('Dashboard 입력'!AE168="","",'Dashboard 입력'!AE168)</f>
        <v/>
      </c>
      <c r="E164" s="118" t="str">
        <f>IF('Dashboard 입력'!AI168="", "", 'Dashboard 입력'!AI168 &amp; " (" &amp; 'Dashboard 입력'!AF168 &amp; ")")</f>
        <v/>
      </c>
      <c r="F164" s="118" t="str">
        <f>IF('Dashboard 입력'!AJ168="", "", 'Dashboard 입력'!AJ168 &amp; " (" &amp; 'Dashboard 입력'!AG168 &amp; ")")</f>
        <v/>
      </c>
      <c r="G164" s="118" t="str">
        <f>IF(위험성평가_입력[[#This Row],[위험성]]="","", 위험성평가_입력[[#This Row],[위험성]] &amp; " (" &amp; 위험성평가_입력[[#This Row],[위험도(전)]] &amp; ")")</f>
        <v/>
      </c>
      <c r="H164" s="116"/>
    </row>
    <row r="165" spans="1:8" ht="25" customHeight="1">
      <c r="A165" s="118" t="str">
        <f>IF('Dashboard 입력'!AB169="","",'Dashboard 입력'!AB169)</f>
        <v/>
      </c>
      <c r="B165" s="18" t="str">
        <f>IF('Dashboard 입력'!AC169="","",'Dashboard 입력'!AC169)</f>
        <v/>
      </c>
      <c r="C165" s="18" t="str">
        <f>IF('Dashboard 입력'!AD169="","",'Dashboard 입력'!AD169)</f>
        <v/>
      </c>
      <c r="D165" s="18" t="str">
        <f>IF('Dashboard 입력'!AE169="","",'Dashboard 입력'!AE169)</f>
        <v/>
      </c>
      <c r="E165" s="118" t="str">
        <f>IF('Dashboard 입력'!AI169="", "", 'Dashboard 입력'!AI169 &amp; " (" &amp; 'Dashboard 입력'!AF169 &amp; ")")</f>
        <v/>
      </c>
      <c r="F165" s="118" t="str">
        <f>IF('Dashboard 입력'!AJ169="", "", 'Dashboard 입력'!AJ169 &amp; " (" &amp; 'Dashboard 입력'!AG169 &amp; ")")</f>
        <v/>
      </c>
      <c r="G165" s="118" t="str">
        <f>IF(위험성평가_입력[[#This Row],[위험성]]="","", 위험성평가_입력[[#This Row],[위험성]] &amp; " (" &amp; 위험성평가_입력[[#This Row],[위험도(전)]] &amp; ")")</f>
        <v/>
      </c>
      <c r="H165" s="116"/>
    </row>
    <row r="166" spans="1:8" ht="25" customHeight="1">
      <c r="A166" s="118" t="str">
        <f>IF('Dashboard 입력'!AB170="","",'Dashboard 입력'!AB170)</f>
        <v/>
      </c>
      <c r="B166" s="18" t="str">
        <f>IF('Dashboard 입력'!AC170="","",'Dashboard 입력'!AC170)</f>
        <v/>
      </c>
      <c r="C166" s="18" t="str">
        <f>IF('Dashboard 입력'!AD170="","",'Dashboard 입력'!AD170)</f>
        <v/>
      </c>
      <c r="D166" s="18" t="str">
        <f>IF('Dashboard 입력'!AE170="","",'Dashboard 입력'!AE170)</f>
        <v/>
      </c>
      <c r="E166" s="118" t="str">
        <f>IF('Dashboard 입력'!AI170="", "", 'Dashboard 입력'!AI170 &amp; " (" &amp; 'Dashboard 입력'!AF170 &amp; ")")</f>
        <v/>
      </c>
      <c r="F166" s="118" t="str">
        <f>IF('Dashboard 입력'!AJ170="", "", 'Dashboard 입력'!AJ170 &amp; " (" &amp; 'Dashboard 입력'!AG170 &amp; ")")</f>
        <v/>
      </c>
      <c r="G166" s="118" t="str">
        <f>IF(위험성평가_입력[[#This Row],[위험성]]="","", 위험성평가_입력[[#This Row],[위험성]] &amp; " (" &amp; 위험성평가_입력[[#This Row],[위험도(전)]] &amp; ")")</f>
        <v/>
      </c>
      <c r="H166" s="116"/>
    </row>
    <row r="167" spans="1:8" ht="25" customHeight="1">
      <c r="A167" s="118" t="str">
        <f>IF('Dashboard 입력'!AB171="","",'Dashboard 입력'!AB171)</f>
        <v/>
      </c>
      <c r="B167" s="18" t="str">
        <f>IF('Dashboard 입력'!AC171="","",'Dashboard 입력'!AC171)</f>
        <v/>
      </c>
      <c r="C167" s="18" t="str">
        <f>IF('Dashboard 입력'!AD171="","",'Dashboard 입력'!AD171)</f>
        <v/>
      </c>
      <c r="D167" s="18" t="str">
        <f>IF('Dashboard 입력'!AE171="","",'Dashboard 입력'!AE171)</f>
        <v/>
      </c>
      <c r="E167" s="118" t="str">
        <f>IF('Dashboard 입력'!AI171="", "", 'Dashboard 입력'!AI171 &amp; " (" &amp; 'Dashboard 입력'!AF171 &amp; ")")</f>
        <v/>
      </c>
      <c r="F167" s="118" t="str">
        <f>IF('Dashboard 입력'!AJ171="", "", 'Dashboard 입력'!AJ171 &amp; " (" &amp; 'Dashboard 입력'!AG171 &amp; ")")</f>
        <v/>
      </c>
      <c r="G167" s="118" t="str">
        <f>IF(위험성평가_입력[[#This Row],[위험성]]="","", 위험성평가_입력[[#This Row],[위험성]] &amp; " (" &amp; 위험성평가_입력[[#This Row],[위험도(전)]] &amp; ")")</f>
        <v/>
      </c>
      <c r="H167" s="116"/>
    </row>
    <row r="168" spans="1:8" ht="25" customHeight="1">
      <c r="A168" s="118" t="str">
        <f>IF('Dashboard 입력'!AB172="","",'Dashboard 입력'!AB172)</f>
        <v/>
      </c>
      <c r="B168" s="18" t="str">
        <f>IF('Dashboard 입력'!AC172="","",'Dashboard 입력'!AC172)</f>
        <v/>
      </c>
      <c r="C168" s="18" t="str">
        <f>IF('Dashboard 입력'!AD172="","",'Dashboard 입력'!AD172)</f>
        <v/>
      </c>
      <c r="D168" s="18" t="str">
        <f>IF('Dashboard 입력'!AE172="","",'Dashboard 입력'!AE172)</f>
        <v/>
      </c>
      <c r="E168" s="118" t="str">
        <f>IF('Dashboard 입력'!AI172="", "", 'Dashboard 입력'!AI172 &amp; " (" &amp; 'Dashboard 입력'!AF172 &amp; ")")</f>
        <v/>
      </c>
      <c r="F168" s="118" t="str">
        <f>IF('Dashboard 입력'!AJ172="", "", 'Dashboard 입력'!AJ172 &amp; " (" &amp; 'Dashboard 입력'!AG172 &amp; ")")</f>
        <v/>
      </c>
      <c r="G168" s="118" t="str">
        <f>IF(위험성평가_입력[[#This Row],[위험성]]="","", 위험성평가_입력[[#This Row],[위험성]] &amp; " (" &amp; 위험성평가_입력[[#This Row],[위험도(전)]] &amp; ")")</f>
        <v/>
      </c>
      <c r="H168" s="116"/>
    </row>
    <row r="169" spans="1:8" ht="25" customHeight="1">
      <c r="A169" s="118" t="str">
        <f>IF('Dashboard 입력'!AB173="","",'Dashboard 입력'!AB173)</f>
        <v/>
      </c>
      <c r="B169" s="18" t="str">
        <f>IF('Dashboard 입력'!AC173="","",'Dashboard 입력'!AC173)</f>
        <v/>
      </c>
      <c r="C169" s="18" t="str">
        <f>IF('Dashboard 입력'!AD173="","",'Dashboard 입력'!AD173)</f>
        <v/>
      </c>
      <c r="D169" s="18" t="str">
        <f>IF('Dashboard 입력'!AE173="","",'Dashboard 입력'!AE173)</f>
        <v/>
      </c>
      <c r="E169" s="118" t="str">
        <f>IF('Dashboard 입력'!AI173="", "", 'Dashboard 입력'!AI173 &amp; " (" &amp; 'Dashboard 입력'!AF173 &amp; ")")</f>
        <v/>
      </c>
      <c r="F169" s="118" t="str">
        <f>IF('Dashboard 입력'!AJ173="", "", 'Dashboard 입력'!AJ173 &amp; " (" &amp; 'Dashboard 입력'!AG173 &amp; ")")</f>
        <v/>
      </c>
      <c r="G169" s="118" t="str">
        <f>IF(위험성평가_입력[[#This Row],[위험성]]="","", 위험성평가_입력[[#This Row],[위험성]] &amp; " (" &amp; 위험성평가_입력[[#This Row],[위험도(전)]] &amp; ")")</f>
        <v/>
      </c>
      <c r="H169" s="116"/>
    </row>
    <row r="170" spans="1:8" ht="25" customHeight="1">
      <c r="A170" s="118" t="str">
        <f>IF('Dashboard 입력'!AB174="","",'Dashboard 입력'!AB174)</f>
        <v/>
      </c>
      <c r="B170" s="18" t="str">
        <f>IF('Dashboard 입력'!AC174="","",'Dashboard 입력'!AC174)</f>
        <v/>
      </c>
      <c r="C170" s="18" t="str">
        <f>IF('Dashboard 입력'!AD174="","",'Dashboard 입력'!AD174)</f>
        <v/>
      </c>
      <c r="D170" s="18" t="str">
        <f>IF('Dashboard 입력'!AE174="","",'Dashboard 입력'!AE174)</f>
        <v/>
      </c>
      <c r="E170" s="118" t="str">
        <f>IF('Dashboard 입력'!AI174="", "", 'Dashboard 입력'!AI174 &amp; " (" &amp; 'Dashboard 입력'!AF174 &amp; ")")</f>
        <v/>
      </c>
      <c r="F170" s="118" t="str">
        <f>IF('Dashboard 입력'!AJ174="", "", 'Dashboard 입력'!AJ174 &amp; " (" &amp; 'Dashboard 입력'!AG174 &amp; ")")</f>
        <v/>
      </c>
      <c r="G170" s="118" t="str">
        <f>IF(위험성평가_입력[[#This Row],[위험성]]="","", 위험성평가_입력[[#This Row],[위험성]] &amp; " (" &amp; 위험성평가_입력[[#This Row],[위험도(전)]] &amp; ")")</f>
        <v/>
      </c>
      <c r="H170" s="116"/>
    </row>
    <row r="171" spans="1:8" ht="25" customHeight="1">
      <c r="A171" s="118" t="str">
        <f>IF('Dashboard 입력'!AB175="","",'Dashboard 입력'!AB175)</f>
        <v/>
      </c>
      <c r="B171" s="18" t="str">
        <f>IF('Dashboard 입력'!AC175="","",'Dashboard 입력'!AC175)</f>
        <v/>
      </c>
      <c r="C171" s="18" t="str">
        <f>IF('Dashboard 입력'!AD175="","",'Dashboard 입력'!AD175)</f>
        <v/>
      </c>
      <c r="D171" s="18" t="str">
        <f>IF('Dashboard 입력'!AE175="","",'Dashboard 입력'!AE175)</f>
        <v/>
      </c>
      <c r="E171" s="118" t="str">
        <f>IF('Dashboard 입력'!AI175="", "", 'Dashboard 입력'!AI175 &amp; " (" &amp; 'Dashboard 입력'!AF175 &amp; ")")</f>
        <v/>
      </c>
      <c r="F171" s="118" t="str">
        <f>IF('Dashboard 입력'!AJ175="", "", 'Dashboard 입력'!AJ175 &amp; " (" &amp; 'Dashboard 입력'!AG175 &amp; ")")</f>
        <v/>
      </c>
      <c r="G171" s="118" t="str">
        <f>IF(위험성평가_입력[[#This Row],[위험성]]="","", 위험성평가_입력[[#This Row],[위험성]] &amp; " (" &amp; 위험성평가_입력[[#This Row],[위험도(전)]] &amp; ")")</f>
        <v/>
      </c>
      <c r="H171" s="116"/>
    </row>
    <row r="172" spans="1:8" ht="25" customHeight="1">
      <c r="A172" s="118" t="str">
        <f>IF('Dashboard 입력'!AB176="","",'Dashboard 입력'!AB176)</f>
        <v/>
      </c>
      <c r="B172" s="18" t="str">
        <f>IF('Dashboard 입력'!AC176="","",'Dashboard 입력'!AC176)</f>
        <v/>
      </c>
      <c r="C172" s="18" t="str">
        <f>IF('Dashboard 입력'!AD176="","",'Dashboard 입력'!AD176)</f>
        <v/>
      </c>
      <c r="D172" s="18" t="str">
        <f>IF('Dashboard 입력'!AE176="","",'Dashboard 입력'!AE176)</f>
        <v/>
      </c>
      <c r="E172" s="118" t="str">
        <f>IF('Dashboard 입력'!AI176="", "", 'Dashboard 입력'!AI176 &amp; " (" &amp; 'Dashboard 입력'!AF176 &amp; ")")</f>
        <v/>
      </c>
      <c r="F172" s="118" t="str">
        <f>IF('Dashboard 입력'!AJ176="", "", 'Dashboard 입력'!AJ176 &amp; " (" &amp; 'Dashboard 입력'!AG176 &amp; ")")</f>
        <v/>
      </c>
      <c r="G172" s="118" t="str">
        <f>IF(위험성평가_입력[[#This Row],[위험성]]="","", 위험성평가_입력[[#This Row],[위험성]] &amp; " (" &amp; 위험성평가_입력[[#This Row],[위험도(전)]] &amp; ")")</f>
        <v/>
      </c>
      <c r="H172" s="116"/>
    </row>
    <row r="173" spans="1:8" ht="25" customHeight="1">
      <c r="A173" s="118" t="str">
        <f>IF('Dashboard 입력'!AB177="","",'Dashboard 입력'!AB177)</f>
        <v/>
      </c>
      <c r="B173" s="18" t="str">
        <f>IF('Dashboard 입력'!AC177="","",'Dashboard 입력'!AC177)</f>
        <v/>
      </c>
      <c r="C173" s="18" t="str">
        <f>IF('Dashboard 입력'!AD177="","",'Dashboard 입력'!AD177)</f>
        <v/>
      </c>
      <c r="D173" s="18" t="str">
        <f>IF('Dashboard 입력'!AE177="","",'Dashboard 입력'!AE177)</f>
        <v/>
      </c>
      <c r="E173" s="118" t="str">
        <f>IF('Dashboard 입력'!AI177="", "", 'Dashboard 입력'!AI177 &amp; " (" &amp; 'Dashboard 입력'!AF177 &amp; ")")</f>
        <v/>
      </c>
      <c r="F173" s="118" t="str">
        <f>IF('Dashboard 입력'!AJ177="", "", 'Dashboard 입력'!AJ177 &amp; " (" &amp; 'Dashboard 입력'!AG177 &amp; ")")</f>
        <v/>
      </c>
      <c r="G173" s="118" t="str">
        <f>IF(위험성평가_입력[[#This Row],[위험성]]="","", 위험성평가_입력[[#This Row],[위험성]] &amp; " (" &amp; 위험성평가_입력[[#This Row],[위험도(전)]] &amp; ")")</f>
        <v/>
      </c>
      <c r="H173" s="116"/>
    </row>
    <row r="174" spans="1:8" ht="25" customHeight="1">
      <c r="A174" s="118" t="str">
        <f>IF('Dashboard 입력'!AB178="","",'Dashboard 입력'!AB178)</f>
        <v/>
      </c>
      <c r="B174" s="18" t="str">
        <f>IF('Dashboard 입력'!AC178="","",'Dashboard 입력'!AC178)</f>
        <v/>
      </c>
      <c r="C174" s="18" t="str">
        <f>IF('Dashboard 입력'!AD178="","",'Dashboard 입력'!AD178)</f>
        <v/>
      </c>
      <c r="D174" s="18" t="str">
        <f>IF('Dashboard 입력'!AE178="","",'Dashboard 입력'!AE178)</f>
        <v/>
      </c>
      <c r="E174" s="118" t="str">
        <f>IF('Dashboard 입력'!AI178="", "", 'Dashboard 입력'!AI178 &amp; " (" &amp; 'Dashboard 입력'!AF178 &amp; ")")</f>
        <v/>
      </c>
      <c r="F174" s="118" t="str">
        <f>IF('Dashboard 입력'!AJ178="", "", 'Dashboard 입력'!AJ178 &amp; " (" &amp; 'Dashboard 입력'!AG178 &amp; ")")</f>
        <v/>
      </c>
      <c r="G174" s="118" t="str">
        <f>IF(위험성평가_입력[[#This Row],[위험성]]="","", 위험성평가_입력[[#This Row],[위험성]] &amp; " (" &amp; 위험성평가_입력[[#This Row],[위험도(전)]] &amp; ")")</f>
        <v/>
      </c>
      <c r="H174" s="116"/>
    </row>
    <row r="175" spans="1:8" ht="25" customHeight="1">
      <c r="A175" s="118" t="str">
        <f>IF('Dashboard 입력'!AB179="","",'Dashboard 입력'!AB179)</f>
        <v/>
      </c>
      <c r="B175" s="18" t="str">
        <f>IF('Dashboard 입력'!AC179="","",'Dashboard 입력'!AC179)</f>
        <v/>
      </c>
      <c r="C175" s="18" t="str">
        <f>IF('Dashboard 입력'!AD179="","",'Dashboard 입력'!AD179)</f>
        <v/>
      </c>
      <c r="D175" s="18" t="str">
        <f>IF('Dashboard 입력'!AE179="","",'Dashboard 입력'!AE179)</f>
        <v/>
      </c>
      <c r="E175" s="118" t="str">
        <f>IF('Dashboard 입력'!AI179="", "", 'Dashboard 입력'!AI179 &amp; " (" &amp; 'Dashboard 입력'!AF179 &amp; ")")</f>
        <v/>
      </c>
      <c r="F175" s="118" t="str">
        <f>IF('Dashboard 입력'!AJ179="", "", 'Dashboard 입력'!AJ179 &amp; " (" &amp; 'Dashboard 입력'!AG179 &amp; ")")</f>
        <v/>
      </c>
      <c r="G175" s="118" t="str">
        <f>IF(위험성평가_입력[[#This Row],[위험성]]="","", 위험성평가_입력[[#This Row],[위험성]] &amp; " (" &amp; 위험성평가_입력[[#This Row],[위험도(전)]] &amp; ")")</f>
        <v/>
      </c>
      <c r="H175" s="116"/>
    </row>
    <row r="176" spans="1:8" ht="25" customHeight="1">
      <c r="A176" s="118" t="str">
        <f>IF('Dashboard 입력'!AB180="","",'Dashboard 입력'!AB180)</f>
        <v/>
      </c>
      <c r="B176" s="18" t="str">
        <f>IF('Dashboard 입력'!AC180="","",'Dashboard 입력'!AC180)</f>
        <v/>
      </c>
      <c r="C176" s="18" t="str">
        <f>IF('Dashboard 입력'!AD180="","",'Dashboard 입력'!AD180)</f>
        <v/>
      </c>
      <c r="D176" s="18" t="str">
        <f>IF('Dashboard 입력'!AE180="","",'Dashboard 입력'!AE180)</f>
        <v/>
      </c>
      <c r="E176" s="118" t="str">
        <f>IF('Dashboard 입력'!AI180="", "", 'Dashboard 입력'!AI180 &amp; " (" &amp; 'Dashboard 입력'!AF180 &amp; ")")</f>
        <v/>
      </c>
      <c r="F176" s="118" t="str">
        <f>IF('Dashboard 입력'!AJ180="", "", 'Dashboard 입력'!AJ180 &amp; " (" &amp; 'Dashboard 입력'!AG180 &amp; ")")</f>
        <v/>
      </c>
      <c r="G176" s="118" t="str">
        <f>IF(위험성평가_입력[[#This Row],[위험성]]="","", 위험성평가_입력[[#This Row],[위험성]] &amp; " (" &amp; 위험성평가_입력[[#This Row],[위험도(전)]] &amp; ")")</f>
        <v/>
      </c>
      <c r="H176" s="116"/>
    </row>
    <row r="177" spans="1:8" ht="25" customHeight="1">
      <c r="A177" s="118" t="str">
        <f>IF('Dashboard 입력'!AB181="","",'Dashboard 입력'!AB181)</f>
        <v/>
      </c>
      <c r="B177" s="18" t="str">
        <f>IF('Dashboard 입력'!AC181="","",'Dashboard 입력'!AC181)</f>
        <v/>
      </c>
      <c r="C177" s="18" t="str">
        <f>IF('Dashboard 입력'!AD181="","",'Dashboard 입력'!AD181)</f>
        <v/>
      </c>
      <c r="D177" s="18" t="str">
        <f>IF('Dashboard 입력'!AE181="","",'Dashboard 입력'!AE181)</f>
        <v/>
      </c>
      <c r="E177" s="118" t="str">
        <f>IF('Dashboard 입력'!AI181="", "", 'Dashboard 입력'!AI181 &amp; " (" &amp; 'Dashboard 입력'!AF181 &amp; ")")</f>
        <v/>
      </c>
      <c r="F177" s="118" t="str">
        <f>IF('Dashboard 입력'!AJ181="", "", 'Dashboard 입력'!AJ181 &amp; " (" &amp; 'Dashboard 입력'!AG181 &amp; ")")</f>
        <v/>
      </c>
      <c r="G177" s="118" t="str">
        <f>IF(위험성평가_입력[[#This Row],[위험성]]="","", 위험성평가_입력[[#This Row],[위험성]] &amp; " (" &amp; 위험성평가_입력[[#This Row],[위험도(전)]] &amp; ")")</f>
        <v/>
      </c>
      <c r="H177" s="116"/>
    </row>
    <row r="178" spans="1:8" ht="25" customHeight="1">
      <c r="A178" s="118" t="str">
        <f>IF('Dashboard 입력'!AB182="","",'Dashboard 입력'!AB182)</f>
        <v/>
      </c>
      <c r="B178" s="18" t="str">
        <f>IF('Dashboard 입력'!AC182="","",'Dashboard 입력'!AC182)</f>
        <v/>
      </c>
      <c r="C178" s="18" t="str">
        <f>IF('Dashboard 입력'!AD182="","",'Dashboard 입력'!AD182)</f>
        <v/>
      </c>
      <c r="D178" s="18" t="str">
        <f>IF('Dashboard 입력'!AE182="","",'Dashboard 입력'!AE182)</f>
        <v/>
      </c>
      <c r="E178" s="118" t="str">
        <f>IF('Dashboard 입력'!AI182="", "", 'Dashboard 입력'!AI182 &amp; " (" &amp; 'Dashboard 입력'!AF182 &amp; ")")</f>
        <v/>
      </c>
      <c r="F178" s="118" t="str">
        <f>IF('Dashboard 입력'!AJ182="", "", 'Dashboard 입력'!AJ182 &amp; " (" &amp; 'Dashboard 입력'!AG182 &amp; ")")</f>
        <v/>
      </c>
      <c r="G178" s="118" t="str">
        <f>IF(위험성평가_입력[[#This Row],[위험성]]="","", 위험성평가_입력[[#This Row],[위험성]] &amp; " (" &amp; 위험성평가_입력[[#This Row],[위험도(전)]] &amp; ")")</f>
        <v/>
      </c>
      <c r="H178" s="116"/>
    </row>
    <row r="179" spans="1:8" ht="25" customHeight="1">
      <c r="A179" s="118" t="str">
        <f>IF('Dashboard 입력'!AB183="","",'Dashboard 입력'!AB183)</f>
        <v/>
      </c>
      <c r="B179" s="18" t="str">
        <f>IF('Dashboard 입력'!AC183="","",'Dashboard 입력'!AC183)</f>
        <v/>
      </c>
      <c r="C179" s="18" t="str">
        <f>IF('Dashboard 입력'!AD183="","",'Dashboard 입력'!AD183)</f>
        <v/>
      </c>
      <c r="D179" s="18" t="str">
        <f>IF('Dashboard 입력'!AE183="","",'Dashboard 입력'!AE183)</f>
        <v/>
      </c>
      <c r="E179" s="118" t="str">
        <f>IF('Dashboard 입력'!AI183="", "", 'Dashboard 입력'!AI183 &amp; " (" &amp; 'Dashboard 입력'!AF183 &amp; ")")</f>
        <v/>
      </c>
      <c r="F179" s="118" t="str">
        <f>IF('Dashboard 입력'!AJ183="", "", 'Dashboard 입력'!AJ183 &amp; " (" &amp; 'Dashboard 입력'!AG183 &amp; ")")</f>
        <v/>
      </c>
      <c r="G179" s="118" t="str">
        <f>IF(위험성평가_입력[[#This Row],[위험성]]="","", 위험성평가_입력[[#This Row],[위험성]] &amp; " (" &amp; 위험성평가_입력[[#This Row],[위험도(전)]] &amp; ")")</f>
        <v/>
      </c>
      <c r="H179" s="116"/>
    </row>
    <row r="180" spans="1:8" ht="25" customHeight="1">
      <c r="A180" s="118" t="str">
        <f>IF('Dashboard 입력'!AB184="","",'Dashboard 입력'!AB184)</f>
        <v/>
      </c>
      <c r="B180" s="18" t="str">
        <f>IF('Dashboard 입력'!AC184="","",'Dashboard 입력'!AC184)</f>
        <v/>
      </c>
      <c r="C180" s="18" t="str">
        <f>IF('Dashboard 입력'!AD184="","",'Dashboard 입력'!AD184)</f>
        <v/>
      </c>
      <c r="D180" s="18" t="str">
        <f>IF('Dashboard 입력'!AE184="","",'Dashboard 입력'!AE184)</f>
        <v/>
      </c>
      <c r="E180" s="118" t="str">
        <f>IF('Dashboard 입력'!AI184="", "", 'Dashboard 입력'!AI184 &amp; " (" &amp; 'Dashboard 입력'!AF184 &amp; ")")</f>
        <v/>
      </c>
      <c r="F180" s="118" t="str">
        <f>IF('Dashboard 입력'!AJ184="", "", 'Dashboard 입력'!AJ184 &amp; " (" &amp; 'Dashboard 입력'!AG184 &amp; ")")</f>
        <v/>
      </c>
      <c r="G180" s="118" t="str">
        <f>IF(위험성평가_입력[[#This Row],[위험성]]="","", 위험성평가_입력[[#This Row],[위험성]] &amp; " (" &amp; 위험성평가_입력[[#This Row],[위험도(전)]] &amp; ")")</f>
        <v/>
      </c>
      <c r="H180" s="116"/>
    </row>
    <row r="181" spans="1:8" ht="25" customHeight="1">
      <c r="A181" s="118" t="str">
        <f>IF('Dashboard 입력'!AB185="","",'Dashboard 입력'!AB185)</f>
        <v/>
      </c>
      <c r="B181" s="18" t="str">
        <f>IF('Dashboard 입력'!AC185="","",'Dashboard 입력'!AC185)</f>
        <v/>
      </c>
      <c r="C181" s="18" t="str">
        <f>IF('Dashboard 입력'!AD185="","",'Dashboard 입력'!AD185)</f>
        <v/>
      </c>
      <c r="D181" s="18" t="str">
        <f>IF('Dashboard 입력'!AE185="","",'Dashboard 입력'!AE185)</f>
        <v/>
      </c>
      <c r="E181" s="118" t="str">
        <f>IF('Dashboard 입력'!AI185="", "", 'Dashboard 입력'!AI185 &amp; " (" &amp; 'Dashboard 입력'!AF185 &amp; ")")</f>
        <v/>
      </c>
      <c r="F181" s="118" t="str">
        <f>IF('Dashboard 입력'!AJ185="", "", 'Dashboard 입력'!AJ185 &amp; " (" &amp; 'Dashboard 입력'!AG185 &amp; ")")</f>
        <v/>
      </c>
      <c r="G181" s="118" t="str">
        <f>IF(위험성평가_입력[[#This Row],[위험성]]="","", 위험성평가_입력[[#This Row],[위험성]] &amp; " (" &amp; 위험성평가_입력[[#This Row],[위험도(전)]] &amp; ")")</f>
        <v/>
      </c>
      <c r="H181" s="116"/>
    </row>
    <row r="182" spans="1:8" ht="25" customHeight="1">
      <c r="A182" s="118" t="str">
        <f>IF('Dashboard 입력'!AB186="","",'Dashboard 입력'!AB186)</f>
        <v/>
      </c>
      <c r="B182" s="18" t="str">
        <f>IF('Dashboard 입력'!AC186="","",'Dashboard 입력'!AC186)</f>
        <v/>
      </c>
      <c r="C182" s="18" t="str">
        <f>IF('Dashboard 입력'!AD186="","",'Dashboard 입력'!AD186)</f>
        <v/>
      </c>
      <c r="D182" s="18" t="str">
        <f>IF('Dashboard 입력'!AE186="","",'Dashboard 입력'!AE186)</f>
        <v/>
      </c>
      <c r="E182" s="118" t="str">
        <f>IF('Dashboard 입력'!AI186="", "", 'Dashboard 입력'!AI186 &amp; " (" &amp; 'Dashboard 입력'!AF186 &amp; ")")</f>
        <v/>
      </c>
      <c r="F182" s="118" t="str">
        <f>IF('Dashboard 입력'!AJ186="", "", 'Dashboard 입력'!AJ186 &amp; " (" &amp; 'Dashboard 입력'!AG186 &amp; ")")</f>
        <v/>
      </c>
      <c r="G182" s="118" t="str">
        <f>IF(위험성평가_입력[[#This Row],[위험성]]="","", 위험성평가_입력[[#This Row],[위험성]] &amp; " (" &amp; 위험성평가_입력[[#This Row],[위험도(전)]] &amp; ")")</f>
        <v/>
      </c>
      <c r="H182" s="116"/>
    </row>
    <row r="183" spans="1:8" ht="25" customHeight="1">
      <c r="A183" s="118" t="str">
        <f>IF('Dashboard 입력'!AB187="","",'Dashboard 입력'!AB187)</f>
        <v/>
      </c>
      <c r="B183" s="18" t="str">
        <f>IF('Dashboard 입력'!AC187="","",'Dashboard 입력'!AC187)</f>
        <v/>
      </c>
      <c r="C183" s="18" t="str">
        <f>IF('Dashboard 입력'!AD187="","",'Dashboard 입력'!AD187)</f>
        <v/>
      </c>
      <c r="D183" s="18" t="str">
        <f>IF('Dashboard 입력'!AE187="","",'Dashboard 입력'!AE187)</f>
        <v/>
      </c>
      <c r="E183" s="118" t="str">
        <f>IF('Dashboard 입력'!AI187="", "", 'Dashboard 입력'!AI187 &amp; " (" &amp; 'Dashboard 입력'!AF187 &amp; ")")</f>
        <v/>
      </c>
      <c r="F183" s="118" t="str">
        <f>IF('Dashboard 입력'!AJ187="", "", 'Dashboard 입력'!AJ187 &amp; " (" &amp; 'Dashboard 입력'!AG187 &amp; ")")</f>
        <v/>
      </c>
      <c r="G183" s="118" t="str">
        <f>IF(위험성평가_입력[[#This Row],[위험성]]="","", 위험성평가_입력[[#This Row],[위험성]] &amp; " (" &amp; 위험성평가_입력[[#This Row],[위험도(전)]] &amp; ")")</f>
        <v/>
      </c>
      <c r="H183" s="116"/>
    </row>
    <row r="184" spans="1:8" ht="25" customHeight="1">
      <c r="A184" s="118" t="str">
        <f>IF('Dashboard 입력'!AB188="","",'Dashboard 입력'!AB188)</f>
        <v/>
      </c>
      <c r="B184" s="18" t="str">
        <f>IF('Dashboard 입력'!AC188="","",'Dashboard 입력'!AC188)</f>
        <v/>
      </c>
      <c r="C184" s="18" t="str">
        <f>IF('Dashboard 입력'!AD188="","",'Dashboard 입력'!AD188)</f>
        <v/>
      </c>
      <c r="D184" s="18" t="str">
        <f>IF('Dashboard 입력'!AE188="","",'Dashboard 입력'!AE188)</f>
        <v/>
      </c>
      <c r="E184" s="118" t="str">
        <f>IF('Dashboard 입력'!AI188="", "", 'Dashboard 입력'!AI188 &amp; " (" &amp; 'Dashboard 입력'!AF188 &amp; ")")</f>
        <v/>
      </c>
      <c r="F184" s="118" t="str">
        <f>IF('Dashboard 입력'!AJ188="", "", 'Dashboard 입력'!AJ188 &amp; " (" &amp; 'Dashboard 입력'!AG188 &amp; ")")</f>
        <v/>
      </c>
      <c r="G184" s="118" t="str">
        <f>IF(위험성평가_입력[[#This Row],[위험성]]="","", 위험성평가_입력[[#This Row],[위험성]] &amp; " (" &amp; 위험성평가_입력[[#This Row],[위험도(전)]] &amp; ")")</f>
        <v/>
      </c>
      <c r="H184" s="116"/>
    </row>
    <row r="185" spans="1:8" ht="25" customHeight="1">
      <c r="A185" s="118" t="str">
        <f>IF('Dashboard 입력'!AB189="","",'Dashboard 입력'!AB189)</f>
        <v/>
      </c>
      <c r="B185" s="18" t="str">
        <f>IF('Dashboard 입력'!AC189="","",'Dashboard 입력'!AC189)</f>
        <v/>
      </c>
      <c r="C185" s="18" t="str">
        <f>IF('Dashboard 입력'!AD189="","",'Dashboard 입력'!AD189)</f>
        <v/>
      </c>
      <c r="D185" s="18" t="str">
        <f>IF('Dashboard 입력'!AE189="","",'Dashboard 입력'!AE189)</f>
        <v/>
      </c>
      <c r="E185" s="118" t="str">
        <f>IF('Dashboard 입력'!AI189="", "", 'Dashboard 입력'!AI189 &amp; " (" &amp; 'Dashboard 입력'!AF189 &amp; ")")</f>
        <v/>
      </c>
      <c r="F185" s="118" t="str">
        <f>IF('Dashboard 입력'!AJ189="", "", 'Dashboard 입력'!AJ189 &amp; " (" &amp; 'Dashboard 입력'!AG189 &amp; ")")</f>
        <v/>
      </c>
      <c r="G185" s="118" t="str">
        <f>IF(위험성평가_입력[[#This Row],[위험성]]="","", 위험성평가_입력[[#This Row],[위험성]] &amp; " (" &amp; 위험성평가_입력[[#This Row],[위험도(전)]] &amp; ")")</f>
        <v/>
      </c>
      <c r="H185" s="116"/>
    </row>
    <row r="186" spans="1:8" ht="25" customHeight="1">
      <c r="A186" s="118" t="str">
        <f>IF('Dashboard 입력'!AB190="","",'Dashboard 입력'!AB190)</f>
        <v/>
      </c>
      <c r="B186" s="18" t="str">
        <f>IF('Dashboard 입력'!AC190="","",'Dashboard 입력'!AC190)</f>
        <v/>
      </c>
      <c r="C186" s="18" t="str">
        <f>IF('Dashboard 입력'!AD190="","",'Dashboard 입력'!AD190)</f>
        <v/>
      </c>
      <c r="D186" s="18" t="str">
        <f>IF('Dashboard 입력'!AE190="","",'Dashboard 입력'!AE190)</f>
        <v/>
      </c>
      <c r="E186" s="118" t="str">
        <f>IF('Dashboard 입력'!AI190="", "", 'Dashboard 입력'!AI190 &amp; " (" &amp; 'Dashboard 입력'!AF190 &amp; ")")</f>
        <v/>
      </c>
      <c r="F186" s="118" t="str">
        <f>IF('Dashboard 입력'!AJ190="", "", 'Dashboard 입력'!AJ190 &amp; " (" &amp; 'Dashboard 입력'!AG190 &amp; ")")</f>
        <v/>
      </c>
      <c r="G186" s="118" t="str">
        <f>IF(위험성평가_입력[[#This Row],[위험성]]="","", 위험성평가_입력[[#This Row],[위험성]] &amp; " (" &amp; 위험성평가_입력[[#This Row],[위험도(전)]] &amp; ")")</f>
        <v/>
      </c>
      <c r="H186" s="116"/>
    </row>
    <row r="187" spans="1:8" ht="25" customHeight="1">
      <c r="A187" s="118" t="str">
        <f>IF('Dashboard 입력'!AB191="","",'Dashboard 입력'!AB191)</f>
        <v/>
      </c>
      <c r="B187" s="18" t="str">
        <f>IF('Dashboard 입력'!AC191="","",'Dashboard 입력'!AC191)</f>
        <v/>
      </c>
      <c r="C187" s="18" t="str">
        <f>IF('Dashboard 입력'!AD191="","",'Dashboard 입력'!AD191)</f>
        <v/>
      </c>
      <c r="D187" s="18" t="str">
        <f>IF('Dashboard 입력'!AE191="","",'Dashboard 입력'!AE191)</f>
        <v/>
      </c>
      <c r="E187" s="118" t="str">
        <f>IF('Dashboard 입력'!AI191="", "", 'Dashboard 입력'!AI191 &amp; " (" &amp; 'Dashboard 입력'!AF191 &amp; ")")</f>
        <v/>
      </c>
      <c r="F187" s="118" t="str">
        <f>IF('Dashboard 입력'!AJ191="", "", 'Dashboard 입력'!AJ191 &amp; " (" &amp; 'Dashboard 입력'!AG191 &amp; ")")</f>
        <v/>
      </c>
      <c r="G187" s="118" t="str">
        <f>IF(위험성평가_입력[[#This Row],[위험성]]="","", 위험성평가_입력[[#This Row],[위험성]] &amp; " (" &amp; 위험성평가_입력[[#This Row],[위험도(전)]] &amp; ")")</f>
        <v/>
      </c>
      <c r="H187" s="116"/>
    </row>
    <row r="188" spans="1:8" ht="25" customHeight="1">
      <c r="A188" s="118" t="str">
        <f>IF('Dashboard 입력'!AB192="","",'Dashboard 입력'!AB192)</f>
        <v/>
      </c>
      <c r="B188" s="18" t="str">
        <f>IF('Dashboard 입력'!AC192="","",'Dashboard 입력'!AC192)</f>
        <v/>
      </c>
      <c r="C188" s="18" t="str">
        <f>IF('Dashboard 입력'!AD192="","",'Dashboard 입력'!AD192)</f>
        <v/>
      </c>
      <c r="D188" s="18" t="str">
        <f>IF('Dashboard 입력'!AE192="","",'Dashboard 입력'!AE192)</f>
        <v/>
      </c>
      <c r="E188" s="118" t="str">
        <f>IF('Dashboard 입력'!AI192="", "", 'Dashboard 입력'!AI192 &amp; " (" &amp; 'Dashboard 입력'!AF192 &amp; ")")</f>
        <v/>
      </c>
      <c r="F188" s="118" t="str">
        <f>IF('Dashboard 입력'!AJ192="", "", 'Dashboard 입력'!AJ192 &amp; " (" &amp; 'Dashboard 입력'!AG192 &amp; ")")</f>
        <v/>
      </c>
      <c r="G188" s="118" t="str">
        <f>IF(위험성평가_입력[[#This Row],[위험성]]="","", 위험성평가_입력[[#This Row],[위험성]] &amp; " (" &amp; 위험성평가_입력[[#This Row],[위험도(전)]] &amp; ")")</f>
        <v/>
      </c>
      <c r="H188" s="116"/>
    </row>
    <row r="189" spans="1:8" ht="25" customHeight="1">
      <c r="A189" s="118" t="str">
        <f>IF('Dashboard 입력'!AB193="","",'Dashboard 입력'!AB193)</f>
        <v/>
      </c>
      <c r="B189" s="18" t="str">
        <f>IF('Dashboard 입력'!AC193="","",'Dashboard 입력'!AC193)</f>
        <v/>
      </c>
      <c r="C189" s="18" t="str">
        <f>IF('Dashboard 입력'!AD193="","",'Dashboard 입력'!AD193)</f>
        <v/>
      </c>
      <c r="D189" s="18" t="str">
        <f>IF('Dashboard 입력'!AE193="","",'Dashboard 입력'!AE193)</f>
        <v/>
      </c>
      <c r="E189" s="118" t="str">
        <f>IF('Dashboard 입력'!AI193="", "", 'Dashboard 입력'!AI193 &amp; " (" &amp; 'Dashboard 입력'!AF193 &amp; ")")</f>
        <v/>
      </c>
      <c r="F189" s="118" t="str">
        <f>IF('Dashboard 입력'!AJ193="", "", 'Dashboard 입력'!AJ193 &amp; " (" &amp; 'Dashboard 입력'!AG193 &amp; ")")</f>
        <v/>
      </c>
      <c r="G189" s="118" t="str">
        <f>IF(위험성평가_입력[[#This Row],[위험성]]="","", 위험성평가_입력[[#This Row],[위험성]] &amp; " (" &amp; 위험성평가_입력[[#This Row],[위험도(전)]] &amp; ")")</f>
        <v/>
      </c>
      <c r="H189" s="116"/>
    </row>
    <row r="190" spans="1:8" ht="25" customHeight="1">
      <c r="A190" s="118" t="str">
        <f>IF('Dashboard 입력'!AB194="","",'Dashboard 입력'!AB194)</f>
        <v/>
      </c>
      <c r="B190" s="18" t="str">
        <f>IF('Dashboard 입력'!AC194="","",'Dashboard 입력'!AC194)</f>
        <v/>
      </c>
      <c r="C190" s="18" t="str">
        <f>IF('Dashboard 입력'!AD194="","",'Dashboard 입력'!AD194)</f>
        <v/>
      </c>
      <c r="D190" s="18" t="str">
        <f>IF('Dashboard 입력'!AE194="","",'Dashboard 입력'!AE194)</f>
        <v/>
      </c>
      <c r="E190" s="118" t="str">
        <f>IF('Dashboard 입력'!AI194="", "", 'Dashboard 입력'!AI194 &amp; " (" &amp; 'Dashboard 입력'!AF194 &amp; ")")</f>
        <v/>
      </c>
      <c r="F190" s="118" t="str">
        <f>IF('Dashboard 입력'!AJ194="", "", 'Dashboard 입력'!AJ194 &amp; " (" &amp; 'Dashboard 입력'!AG194 &amp; ")")</f>
        <v/>
      </c>
      <c r="G190" s="118" t="str">
        <f>IF(위험성평가_입력[[#This Row],[위험성]]="","", 위험성평가_입력[[#This Row],[위험성]] &amp; " (" &amp; 위험성평가_입력[[#This Row],[위험도(전)]] &amp; ")")</f>
        <v/>
      </c>
      <c r="H190" s="116"/>
    </row>
    <row r="191" spans="1:8" ht="25" customHeight="1">
      <c r="A191" s="118" t="str">
        <f>IF('Dashboard 입력'!AB195="","",'Dashboard 입력'!AB195)</f>
        <v/>
      </c>
      <c r="B191" s="18" t="str">
        <f>IF('Dashboard 입력'!AC195="","",'Dashboard 입력'!AC195)</f>
        <v/>
      </c>
      <c r="C191" s="18" t="str">
        <f>IF('Dashboard 입력'!AD195="","",'Dashboard 입력'!AD195)</f>
        <v/>
      </c>
      <c r="D191" s="18" t="str">
        <f>IF('Dashboard 입력'!AE195="","",'Dashboard 입력'!AE195)</f>
        <v/>
      </c>
      <c r="E191" s="118" t="str">
        <f>IF('Dashboard 입력'!AI195="", "", 'Dashboard 입력'!AI195 &amp; " (" &amp; 'Dashboard 입력'!AF195 &amp; ")")</f>
        <v/>
      </c>
      <c r="F191" s="118" t="str">
        <f>IF('Dashboard 입력'!AJ195="", "", 'Dashboard 입력'!AJ195 &amp; " (" &amp; 'Dashboard 입력'!AG195 &amp; ")")</f>
        <v/>
      </c>
      <c r="G191" s="118" t="str">
        <f>IF(위험성평가_입력[[#This Row],[위험성]]="","", 위험성평가_입력[[#This Row],[위험성]] &amp; " (" &amp; 위험성평가_입력[[#This Row],[위험도(전)]] &amp; ")")</f>
        <v/>
      </c>
      <c r="H191" s="116"/>
    </row>
    <row r="192" spans="1:8" ht="25" customHeight="1">
      <c r="A192" s="118" t="str">
        <f>IF('Dashboard 입력'!AB196="","",'Dashboard 입력'!AB196)</f>
        <v/>
      </c>
      <c r="B192" s="18" t="str">
        <f>IF('Dashboard 입력'!AC196="","",'Dashboard 입력'!AC196)</f>
        <v/>
      </c>
      <c r="C192" s="18" t="str">
        <f>IF('Dashboard 입력'!AD196="","",'Dashboard 입력'!AD196)</f>
        <v/>
      </c>
      <c r="D192" s="18" t="str">
        <f>IF('Dashboard 입력'!AE196="","",'Dashboard 입력'!AE196)</f>
        <v/>
      </c>
      <c r="E192" s="118" t="str">
        <f>IF('Dashboard 입력'!AI196="", "", 'Dashboard 입력'!AI196 &amp; " (" &amp; 'Dashboard 입력'!AF196 &amp; ")")</f>
        <v/>
      </c>
      <c r="F192" s="118" t="str">
        <f>IF('Dashboard 입력'!AJ196="", "", 'Dashboard 입력'!AJ196 &amp; " (" &amp; 'Dashboard 입력'!AG196 &amp; ")")</f>
        <v/>
      </c>
      <c r="G192" s="118" t="str">
        <f>IF(위험성평가_입력[[#This Row],[위험성]]="","", 위험성평가_입력[[#This Row],[위험성]] &amp; " (" &amp; 위험성평가_입력[[#This Row],[위험도(전)]] &amp; ")")</f>
        <v/>
      </c>
      <c r="H192" s="116"/>
    </row>
    <row r="193" spans="1:8" ht="25" customHeight="1">
      <c r="A193" s="118" t="str">
        <f>IF('Dashboard 입력'!AB197="","",'Dashboard 입력'!AB197)</f>
        <v/>
      </c>
      <c r="B193" s="18" t="str">
        <f>IF('Dashboard 입력'!AC197="","",'Dashboard 입력'!AC197)</f>
        <v/>
      </c>
      <c r="C193" s="18" t="str">
        <f>IF('Dashboard 입력'!AD197="","",'Dashboard 입력'!AD197)</f>
        <v/>
      </c>
      <c r="D193" s="18" t="str">
        <f>IF('Dashboard 입력'!AE197="","",'Dashboard 입력'!AE197)</f>
        <v/>
      </c>
      <c r="E193" s="118" t="str">
        <f>IF('Dashboard 입력'!AI197="", "", 'Dashboard 입력'!AI197 &amp; " (" &amp; 'Dashboard 입력'!AF197 &amp; ")")</f>
        <v/>
      </c>
      <c r="F193" s="118" t="str">
        <f>IF('Dashboard 입력'!AJ197="", "", 'Dashboard 입력'!AJ197 &amp; " (" &amp; 'Dashboard 입력'!AG197 &amp; ")")</f>
        <v/>
      </c>
      <c r="G193" s="118" t="str">
        <f>IF(위험성평가_입력[[#This Row],[위험성]]="","", 위험성평가_입력[[#This Row],[위험성]] &amp; " (" &amp; 위험성평가_입력[[#This Row],[위험도(전)]] &amp; ")")</f>
        <v/>
      </c>
      <c r="H193" s="116"/>
    </row>
    <row r="194" spans="1:8" ht="25" customHeight="1">
      <c r="A194" s="118" t="str">
        <f>IF('Dashboard 입력'!AB198="","",'Dashboard 입력'!AB198)</f>
        <v/>
      </c>
      <c r="B194" s="18" t="str">
        <f>IF('Dashboard 입력'!AC198="","",'Dashboard 입력'!AC198)</f>
        <v/>
      </c>
      <c r="C194" s="18" t="str">
        <f>IF('Dashboard 입력'!AD198="","",'Dashboard 입력'!AD198)</f>
        <v/>
      </c>
      <c r="D194" s="18" t="str">
        <f>IF('Dashboard 입력'!AE198="","",'Dashboard 입력'!AE198)</f>
        <v/>
      </c>
      <c r="E194" s="118" t="str">
        <f>IF('Dashboard 입력'!AI198="", "", 'Dashboard 입력'!AI198 &amp; " (" &amp; 'Dashboard 입력'!AF198 &amp; ")")</f>
        <v/>
      </c>
      <c r="F194" s="118" t="str">
        <f>IF('Dashboard 입력'!AJ198="", "", 'Dashboard 입력'!AJ198 &amp; " (" &amp; 'Dashboard 입력'!AG198 &amp; ")")</f>
        <v/>
      </c>
      <c r="G194" s="118" t="str">
        <f>IF(위험성평가_입력[[#This Row],[위험성]]="","", 위험성평가_입력[[#This Row],[위험성]] &amp; " (" &amp; 위험성평가_입력[[#This Row],[위험도(전)]] &amp; ")")</f>
        <v/>
      </c>
      <c r="H194" s="116"/>
    </row>
    <row r="195" spans="1:8" ht="25" customHeight="1">
      <c r="A195" s="118" t="str">
        <f>IF('Dashboard 입력'!AB199="","",'Dashboard 입력'!AB199)</f>
        <v/>
      </c>
      <c r="B195" s="18" t="str">
        <f>IF('Dashboard 입력'!AC199="","",'Dashboard 입력'!AC199)</f>
        <v/>
      </c>
      <c r="C195" s="18" t="str">
        <f>IF('Dashboard 입력'!AD199="","",'Dashboard 입력'!AD199)</f>
        <v/>
      </c>
      <c r="D195" s="18" t="str">
        <f>IF('Dashboard 입력'!AE199="","",'Dashboard 입력'!AE199)</f>
        <v/>
      </c>
      <c r="E195" s="118" t="str">
        <f>IF('Dashboard 입력'!AI199="", "", 'Dashboard 입력'!AI199 &amp; " (" &amp; 'Dashboard 입력'!AF199 &amp; ")")</f>
        <v/>
      </c>
      <c r="F195" s="118" t="str">
        <f>IF('Dashboard 입력'!AJ199="", "", 'Dashboard 입력'!AJ199 &amp; " (" &amp; 'Dashboard 입력'!AG199 &amp; ")")</f>
        <v/>
      </c>
      <c r="G195" s="118" t="str">
        <f>IF(위험성평가_입력[[#This Row],[위험성]]="","", 위험성평가_입력[[#This Row],[위험성]] &amp; " (" &amp; 위험성평가_입력[[#This Row],[위험도(전)]] &amp; ")")</f>
        <v/>
      </c>
      <c r="H195" s="116"/>
    </row>
    <row r="196" spans="1:8" ht="25" customHeight="1">
      <c r="A196" s="118" t="str">
        <f>IF('Dashboard 입력'!AB200="","",'Dashboard 입력'!AB200)</f>
        <v/>
      </c>
      <c r="B196" s="18" t="str">
        <f>IF('Dashboard 입력'!AC200="","",'Dashboard 입력'!AC200)</f>
        <v/>
      </c>
      <c r="C196" s="18" t="str">
        <f>IF('Dashboard 입력'!AD200="","",'Dashboard 입력'!AD200)</f>
        <v/>
      </c>
      <c r="D196" s="18" t="str">
        <f>IF('Dashboard 입력'!AE200="","",'Dashboard 입력'!AE200)</f>
        <v/>
      </c>
      <c r="E196" s="118" t="str">
        <f>IF('Dashboard 입력'!AI200="", "", 'Dashboard 입력'!AI200 &amp; " (" &amp; 'Dashboard 입력'!AF200 &amp; ")")</f>
        <v/>
      </c>
      <c r="F196" s="118" t="str">
        <f>IF('Dashboard 입력'!AJ200="", "", 'Dashboard 입력'!AJ200 &amp; " (" &amp; 'Dashboard 입력'!AG200 &amp; ")")</f>
        <v/>
      </c>
      <c r="G196" s="118" t="str">
        <f>IF(위험성평가_입력[[#This Row],[위험성]]="","", 위험성평가_입력[[#This Row],[위험성]] &amp; " (" &amp; 위험성평가_입력[[#This Row],[위험도(전)]] &amp; ")")</f>
        <v/>
      </c>
      <c r="H196" s="116"/>
    </row>
    <row r="197" spans="1:8" ht="25" customHeight="1">
      <c r="A197" s="118" t="str">
        <f>IF('Dashboard 입력'!AB201="","",'Dashboard 입력'!AB201)</f>
        <v/>
      </c>
      <c r="B197" s="18" t="str">
        <f>IF('Dashboard 입력'!AC201="","",'Dashboard 입력'!AC201)</f>
        <v/>
      </c>
      <c r="C197" s="18" t="str">
        <f>IF('Dashboard 입력'!AD201="","",'Dashboard 입력'!AD201)</f>
        <v/>
      </c>
      <c r="D197" s="18" t="str">
        <f>IF('Dashboard 입력'!AE201="","",'Dashboard 입력'!AE201)</f>
        <v/>
      </c>
      <c r="E197" s="118" t="str">
        <f>IF('Dashboard 입력'!AI201="", "", 'Dashboard 입력'!AI201 &amp; " (" &amp; 'Dashboard 입력'!AF201 &amp; ")")</f>
        <v/>
      </c>
      <c r="F197" s="118" t="str">
        <f>IF('Dashboard 입력'!AJ201="", "", 'Dashboard 입력'!AJ201 &amp; " (" &amp; 'Dashboard 입력'!AG201 &amp; ")")</f>
        <v/>
      </c>
      <c r="G197" s="118" t="str">
        <f>IF(위험성평가_입력[[#This Row],[위험성]]="","", 위험성평가_입력[[#This Row],[위험성]] &amp; " (" &amp; 위험성평가_입력[[#This Row],[위험도(전)]] &amp; ")")</f>
        <v/>
      </c>
      <c r="H197" s="116"/>
    </row>
    <row r="198" spans="1:8" ht="25" customHeight="1">
      <c r="A198" s="118" t="str">
        <f>IF('Dashboard 입력'!AB202="","",'Dashboard 입력'!AB202)</f>
        <v/>
      </c>
      <c r="B198" s="18" t="str">
        <f>IF('Dashboard 입력'!AC202="","",'Dashboard 입력'!AC202)</f>
        <v/>
      </c>
      <c r="C198" s="18" t="str">
        <f>IF('Dashboard 입력'!AD202="","",'Dashboard 입력'!AD202)</f>
        <v/>
      </c>
      <c r="D198" s="18" t="str">
        <f>IF('Dashboard 입력'!AE202="","",'Dashboard 입력'!AE202)</f>
        <v/>
      </c>
      <c r="E198" s="118" t="str">
        <f>IF('Dashboard 입력'!AI202="", "", 'Dashboard 입력'!AI202 &amp; " (" &amp; 'Dashboard 입력'!AF202 &amp; ")")</f>
        <v/>
      </c>
      <c r="F198" s="118" t="str">
        <f>IF('Dashboard 입력'!AJ202="", "", 'Dashboard 입력'!AJ202 &amp; " (" &amp; 'Dashboard 입력'!AG202 &amp; ")")</f>
        <v/>
      </c>
      <c r="G198" s="118" t="str">
        <f>IF(위험성평가_입력[[#This Row],[위험성]]="","", 위험성평가_입력[[#This Row],[위험성]] &amp; " (" &amp; 위험성평가_입력[[#This Row],[위험도(전)]] &amp; ")")</f>
        <v/>
      </c>
      <c r="H198" s="116"/>
    </row>
    <row r="199" spans="1:8" ht="25" customHeight="1">
      <c r="A199" s="118" t="str">
        <f>IF('Dashboard 입력'!AB203="","",'Dashboard 입력'!AB203)</f>
        <v/>
      </c>
      <c r="B199" s="18" t="str">
        <f>IF('Dashboard 입력'!AC203="","",'Dashboard 입력'!AC203)</f>
        <v/>
      </c>
      <c r="C199" s="18" t="str">
        <f>IF('Dashboard 입력'!AD203="","",'Dashboard 입력'!AD203)</f>
        <v/>
      </c>
      <c r="D199" s="18" t="str">
        <f>IF('Dashboard 입력'!AE203="","",'Dashboard 입력'!AE203)</f>
        <v/>
      </c>
      <c r="E199" s="118" t="str">
        <f>IF('Dashboard 입력'!AI203="", "", 'Dashboard 입력'!AI203 &amp; " (" &amp; 'Dashboard 입력'!AF203 &amp; ")")</f>
        <v/>
      </c>
      <c r="F199" s="118" t="str">
        <f>IF('Dashboard 입력'!AJ203="", "", 'Dashboard 입력'!AJ203 &amp; " (" &amp; 'Dashboard 입력'!AG203 &amp; ")")</f>
        <v/>
      </c>
      <c r="G199" s="118" t="str">
        <f>IF(위험성평가_입력[[#This Row],[위험성]]="","", 위험성평가_입력[[#This Row],[위험성]] &amp; " (" &amp; 위험성평가_입력[[#This Row],[위험도(전)]] &amp; ")")</f>
        <v/>
      </c>
      <c r="H199" s="116"/>
    </row>
    <row r="200" spans="1:8" ht="25" customHeight="1">
      <c r="A200" s="118" t="str">
        <f>IF('Dashboard 입력'!AB204="","",'Dashboard 입력'!AB204)</f>
        <v/>
      </c>
      <c r="B200" s="18" t="str">
        <f>IF('Dashboard 입력'!AC204="","",'Dashboard 입력'!AC204)</f>
        <v/>
      </c>
      <c r="C200" s="18" t="str">
        <f>IF('Dashboard 입력'!AD204="","",'Dashboard 입력'!AD204)</f>
        <v/>
      </c>
      <c r="D200" s="18" t="str">
        <f>IF('Dashboard 입력'!AE204="","",'Dashboard 입력'!AE204)</f>
        <v/>
      </c>
      <c r="E200" s="118" t="str">
        <f>IF('Dashboard 입력'!AI204="", "", 'Dashboard 입력'!AI204 &amp; " (" &amp; 'Dashboard 입력'!AF204 &amp; ")")</f>
        <v/>
      </c>
      <c r="F200" s="118" t="str">
        <f>IF('Dashboard 입력'!AJ204="", "", 'Dashboard 입력'!AJ204 &amp; " (" &amp; 'Dashboard 입력'!AG204 &amp; ")")</f>
        <v/>
      </c>
      <c r="G200" s="118" t="str">
        <f>IF(위험성평가_입력[[#This Row],[위험성]]="","", 위험성평가_입력[[#This Row],[위험성]] &amp; " (" &amp; 위험성평가_입력[[#This Row],[위험도(전)]] &amp; ")")</f>
        <v/>
      </c>
      <c r="H200" s="116"/>
    </row>
    <row r="201" spans="1:8" ht="25" customHeight="1">
      <c r="A201" s="118" t="str">
        <f>IF('Dashboard 입력'!AB205="","",'Dashboard 입력'!AB205)</f>
        <v/>
      </c>
      <c r="B201" s="18" t="str">
        <f>IF('Dashboard 입력'!AC205="","",'Dashboard 입력'!AC205)</f>
        <v/>
      </c>
      <c r="C201" s="18" t="str">
        <f>IF('Dashboard 입력'!AD205="","",'Dashboard 입력'!AD205)</f>
        <v/>
      </c>
      <c r="D201" s="18" t="str">
        <f>IF('Dashboard 입력'!AE205="","",'Dashboard 입력'!AE205)</f>
        <v/>
      </c>
      <c r="E201" s="118" t="str">
        <f>IF('Dashboard 입력'!AI205="", "", 'Dashboard 입력'!AI205 &amp; " (" &amp; 'Dashboard 입력'!AF205 &amp; ")")</f>
        <v/>
      </c>
      <c r="F201" s="118" t="str">
        <f>IF('Dashboard 입력'!AJ205="", "", 'Dashboard 입력'!AJ205 &amp; " (" &amp; 'Dashboard 입력'!AG205 &amp; ")")</f>
        <v/>
      </c>
      <c r="G201" s="118" t="str">
        <f>IF(위험성평가_입력[[#This Row],[위험성]]="","", 위험성평가_입력[[#This Row],[위험성]] &amp; " (" &amp; 위험성평가_입력[[#This Row],[위험도(전)]] &amp; ")")</f>
        <v/>
      </c>
      <c r="H201" s="116"/>
    </row>
    <row r="202" spans="1:8" ht="25" customHeight="1">
      <c r="A202" s="118" t="str">
        <f>IF('Dashboard 입력'!AB206="","",'Dashboard 입력'!AB206)</f>
        <v/>
      </c>
      <c r="B202" s="18" t="str">
        <f>IF('Dashboard 입력'!AC206="","",'Dashboard 입력'!AC206)</f>
        <v/>
      </c>
      <c r="C202" s="18" t="str">
        <f>IF('Dashboard 입력'!AD206="","",'Dashboard 입력'!AD206)</f>
        <v/>
      </c>
      <c r="D202" s="18" t="str">
        <f>IF('Dashboard 입력'!AE206="","",'Dashboard 입력'!AE206)</f>
        <v/>
      </c>
      <c r="E202" s="118" t="str">
        <f>IF('Dashboard 입력'!AI206="", "", 'Dashboard 입력'!AI206 &amp; " (" &amp; 'Dashboard 입력'!AF206 &amp; ")")</f>
        <v/>
      </c>
      <c r="F202" s="118" t="str">
        <f>IF('Dashboard 입력'!AJ206="", "", 'Dashboard 입력'!AJ206 &amp; " (" &amp; 'Dashboard 입력'!AG206 &amp; ")")</f>
        <v/>
      </c>
      <c r="G202" s="118" t="str">
        <f>IF(위험성평가_입력[[#This Row],[위험성]]="","", 위험성평가_입력[[#This Row],[위험성]] &amp; " (" &amp; 위험성평가_입력[[#This Row],[위험도(전)]] &amp; ")")</f>
        <v/>
      </c>
      <c r="H202" s="116"/>
    </row>
    <row r="203" spans="1:8" ht="25" customHeight="1">
      <c r="A203" s="118" t="str">
        <f>IF('Dashboard 입력'!AB207="","",'Dashboard 입력'!AB207)</f>
        <v/>
      </c>
      <c r="B203" s="18" t="str">
        <f>IF('Dashboard 입력'!AC207="","",'Dashboard 입력'!AC207)</f>
        <v/>
      </c>
      <c r="C203" s="18" t="str">
        <f>IF('Dashboard 입력'!AD207="","",'Dashboard 입력'!AD207)</f>
        <v/>
      </c>
      <c r="D203" s="18" t="str">
        <f>IF('Dashboard 입력'!AE207="","",'Dashboard 입력'!AE207)</f>
        <v/>
      </c>
      <c r="E203" s="118" t="str">
        <f>IF('Dashboard 입력'!AI207="", "", 'Dashboard 입력'!AI207 &amp; " (" &amp; 'Dashboard 입력'!AF207 &amp; ")")</f>
        <v/>
      </c>
      <c r="F203" s="118" t="str">
        <f>IF('Dashboard 입력'!AJ207="", "", 'Dashboard 입력'!AJ207 &amp; " (" &amp; 'Dashboard 입력'!AG207 &amp; ")")</f>
        <v/>
      </c>
      <c r="G203" s="118" t="str">
        <f>IF(위험성평가_입력[[#This Row],[위험성]]="","", 위험성평가_입력[[#This Row],[위험성]] &amp; " (" &amp; 위험성평가_입력[[#This Row],[위험도(전)]] &amp; ")")</f>
        <v/>
      </c>
      <c r="H203" s="116"/>
    </row>
    <row r="204" spans="1:8" ht="25" customHeight="1">
      <c r="A204" s="118" t="str">
        <f>IF('Dashboard 입력'!AB208="","",'Dashboard 입력'!AB208)</f>
        <v/>
      </c>
      <c r="B204" s="18" t="str">
        <f>IF('Dashboard 입력'!AC208="","",'Dashboard 입력'!AC208)</f>
        <v/>
      </c>
      <c r="C204" s="18" t="str">
        <f>IF('Dashboard 입력'!AD208="","",'Dashboard 입력'!AD208)</f>
        <v/>
      </c>
      <c r="D204" s="18" t="str">
        <f>IF('Dashboard 입력'!AE208="","",'Dashboard 입력'!AE208)</f>
        <v/>
      </c>
      <c r="E204" s="118" t="str">
        <f>IF('Dashboard 입력'!AI208="", "", 'Dashboard 입력'!AI208 &amp; " (" &amp; 'Dashboard 입력'!AF208 &amp; ")")</f>
        <v/>
      </c>
      <c r="F204" s="118" t="str">
        <f>IF('Dashboard 입력'!AJ208="", "", 'Dashboard 입력'!AJ208 &amp; " (" &amp; 'Dashboard 입력'!AG208 &amp; ")")</f>
        <v/>
      </c>
      <c r="G204" s="118" t="str">
        <f>IF(위험성평가_입력[[#This Row],[위험성]]="","", 위험성평가_입력[[#This Row],[위험성]] &amp; " (" &amp; 위험성평가_입력[[#This Row],[위험도(전)]] &amp; ")")</f>
        <v/>
      </c>
      <c r="H204" s="116"/>
    </row>
    <row r="205" spans="1:8" ht="25" customHeight="1">
      <c r="A205" s="118" t="str">
        <f>IF('Dashboard 입력'!AB209="","",'Dashboard 입력'!AB209)</f>
        <v/>
      </c>
      <c r="B205" s="18" t="str">
        <f>IF('Dashboard 입력'!AC209="","",'Dashboard 입력'!AC209)</f>
        <v/>
      </c>
      <c r="C205" s="18" t="str">
        <f>IF('Dashboard 입력'!AD209="","",'Dashboard 입력'!AD209)</f>
        <v/>
      </c>
      <c r="D205" s="18" t="str">
        <f>IF('Dashboard 입력'!AE209="","",'Dashboard 입력'!AE209)</f>
        <v/>
      </c>
      <c r="E205" s="118" t="str">
        <f>IF('Dashboard 입력'!AI209="", "", 'Dashboard 입력'!AI209 &amp; " (" &amp; 'Dashboard 입력'!AF209 &amp; ")")</f>
        <v/>
      </c>
      <c r="F205" s="118" t="str">
        <f>IF('Dashboard 입력'!AJ209="", "", 'Dashboard 입력'!AJ209 &amp; " (" &amp; 'Dashboard 입력'!AG209 &amp; ")")</f>
        <v/>
      </c>
      <c r="G205" s="118" t="str">
        <f>IF(위험성평가_입력[[#This Row],[위험성]]="","", 위험성평가_입력[[#This Row],[위험성]] &amp; " (" &amp; 위험성평가_입력[[#This Row],[위험도(전)]] &amp; ")")</f>
        <v/>
      </c>
      <c r="H205" s="116"/>
    </row>
    <row r="206" spans="1:8" ht="25" customHeight="1">
      <c r="A206" s="118" t="str">
        <f>IF('Dashboard 입력'!AB210="","",'Dashboard 입력'!AB210)</f>
        <v/>
      </c>
      <c r="B206" s="18" t="str">
        <f>IF('Dashboard 입력'!AC210="","",'Dashboard 입력'!AC210)</f>
        <v/>
      </c>
      <c r="C206" s="18" t="str">
        <f>IF('Dashboard 입력'!AD210="","",'Dashboard 입력'!AD210)</f>
        <v/>
      </c>
      <c r="D206" s="18" t="str">
        <f>IF('Dashboard 입력'!AE210="","",'Dashboard 입력'!AE210)</f>
        <v/>
      </c>
      <c r="E206" s="118" t="str">
        <f>IF('Dashboard 입력'!AI210="", "", 'Dashboard 입력'!AI210 &amp; " (" &amp; 'Dashboard 입력'!AF210 &amp; ")")</f>
        <v/>
      </c>
      <c r="F206" s="118" t="str">
        <f>IF('Dashboard 입력'!AJ210="", "", 'Dashboard 입력'!AJ210 &amp; " (" &amp; 'Dashboard 입력'!AG210 &amp; ")")</f>
        <v/>
      </c>
      <c r="G206" s="118" t="str">
        <f>IF(위험성평가_입력[[#This Row],[위험성]]="","", 위험성평가_입력[[#This Row],[위험성]] &amp; " (" &amp; 위험성평가_입력[[#This Row],[위험도(전)]] &amp; ")")</f>
        <v/>
      </c>
      <c r="H206" s="116"/>
    </row>
    <row r="207" spans="1:8" ht="25" customHeight="1">
      <c r="A207" s="118" t="str">
        <f>IF('Dashboard 입력'!AB211="","",'Dashboard 입력'!AB211)</f>
        <v/>
      </c>
      <c r="B207" s="18" t="str">
        <f>IF('Dashboard 입력'!AC211="","",'Dashboard 입력'!AC211)</f>
        <v/>
      </c>
      <c r="C207" s="18" t="str">
        <f>IF('Dashboard 입력'!AD211="","",'Dashboard 입력'!AD211)</f>
        <v/>
      </c>
      <c r="D207" s="18" t="str">
        <f>IF('Dashboard 입력'!AE211="","",'Dashboard 입력'!AE211)</f>
        <v/>
      </c>
      <c r="E207" s="118" t="str">
        <f>IF('Dashboard 입력'!AI211="", "", 'Dashboard 입력'!AI211 &amp; " (" &amp; 'Dashboard 입력'!AF211 &amp; ")")</f>
        <v/>
      </c>
      <c r="F207" s="118" t="str">
        <f>IF('Dashboard 입력'!AJ211="", "", 'Dashboard 입력'!AJ211 &amp; " (" &amp; 'Dashboard 입력'!AG211 &amp; ")")</f>
        <v/>
      </c>
      <c r="G207" s="118" t="str">
        <f>IF(위험성평가_입력[[#This Row],[위험성]]="","", 위험성평가_입력[[#This Row],[위험성]] &amp; " (" &amp; 위험성평가_입력[[#This Row],[위험도(전)]] &amp; ")")</f>
        <v/>
      </c>
      <c r="H207" s="116"/>
    </row>
    <row r="208" spans="1:8" ht="25" customHeight="1">
      <c r="A208" s="118" t="str">
        <f>IF('Dashboard 입력'!AB212="","",'Dashboard 입력'!AB212)</f>
        <v/>
      </c>
      <c r="B208" s="18" t="str">
        <f>IF('Dashboard 입력'!AC212="","",'Dashboard 입력'!AC212)</f>
        <v/>
      </c>
      <c r="C208" s="18" t="str">
        <f>IF('Dashboard 입력'!AD212="","",'Dashboard 입력'!AD212)</f>
        <v/>
      </c>
      <c r="D208" s="18" t="str">
        <f>IF('Dashboard 입력'!AE212="","",'Dashboard 입력'!AE212)</f>
        <v/>
      </c>
      <c r="E208" s="118" t="str">
        <f>IF('Dashboard 입력'!AI212="", "", 'Dashboard 입력'!AI212 &amp; " (" &amp; 'Dashboard 입력'!AF212 &amp; ")")</f>
        <v/>
      </c>
      <c r="F208" s="118" t="str">
        <f>IF('Dashboard 입력'!AJ212="", "", 'Dashboard 입력'!AJ212 &amp; " (" &amp; 'Dashboard 입력'!AG212 &amp; ")")</f>
        <v/>
      </c>
      <c r="G208" s="118" t="str">
        <f>IF(위험성평가_입력[[#This Row],[위험성]]="","", 위험성평가_입력[[#This Row],[위험성]] &amp; " (" &amp; 위험성평가_입력[[#This Row],[위험도(전)]] &amp; ")")</f>
        <v/>
      </c>
      <c r="H208" s="116"/>
    </row>
    <row r="209" spans="1:8" ht="25" customHeight="1">
      <c r="A209" s="118" t="str">
        <f>IF('Dashboard 입력'!AB213="","",'Dashboard 입력'!AB213)</f>
        <v/>
      </c>
      <c r="B209" s="18" t="str">
        <f>IF('Dashboard 입력'!AC213="","",'Dashboard 입력'!AC213)</f>
        <v/>
      </c>
      <c r="C209" s="18" t="str">
        <f>IF('Dashboard 입력'!AD213="","",'Dashboard 입력'!AD213)</f>
        <v/>
      </c>
      <c r="D209" s="18" t="str">
        <f>IF('Dashboard 입력'!AE213="","",'Dashboard 입력'!AE213)</f>
        <v/>
      </c>
      <c r="E209" s="118" t="str">
        <f>IF('Dashboard 입력'!AI213="", "", 'Dashboard 입력'!AI213 &amp; " (" &amp; 'Dashboard 입력'!AF213 &amp; ")")</f>
        <v/>
      </c>
      <c r="F209" s="118" t="str">
        <f>IF('Dashboard 입력'!AJ213="", "", 'Dashboard 입력'!AJ213 &amp; " (" &amp; 'Dashboard 입력'!AG213 &amp; ")")</f>
        <v/>
      </c>
      <c r="G209" s="118" t="str">
        <f>IF(위험성평가_입력[[#This Row],[위험성]]="","", 위험성평가_입력[[#This Row],[위험성]] &amp; " (" &amp; 위험성평가_입력[[#This Row],[위험도(전)]] &amp; ")")</f>
        <v/>
      </c>
      <c r="H209" s="116"/>
    </row>
    <row r="210" spans="1:8" ht="25" customHeight="1">
      <c r="A210" s="118" t="str">
        <f>IF('Dashboard 입력'!AB214="","",'Dashboard 입력'!AB214)</f>
        <v/>
      </c>
      <c r="B210" s="18" t="str">
        <f>IF('Dashboard 입력'!AC214="","",'Dashboard 입력'!AC214)</f>
        <v/>
      </c>
      <c r="C210" s="18" t="str">
        <f>IF('Dashboard 입력'!AD214="","",'Dashboard 입력'!AD214)</f>
        <v/>
      </c>
      <c r="D210" s="18" t="str">
        <f>IF('Dashboard 입력'!AE214="","",'Dashboard 입력'!AE214)</f>
        <v/>
      </c>
      <c r="E210" s="118" t="str">
        <f>IF('Dashboard 입력'!AI214="", "", 'Dashboard 입력'!AI214 &amp; " (" &amp; 'Dashboard 입력'!AF214 &amp; ")")</f>
        <v/>
      </c>
      <c r="F210" s="118" t="str">
        <f>IF('Dashboard 입력'!AJ214="", "", 'Dashboard 입력'!AJ214 &amp; " (" &amp; 'Dashboard 입력'!AG214 &amp; ")")</f>
        <v/>
      </c>
      <c r="G210" s="118" t="str">
        <f>IF(위험성평가_입력[[#This Row],[위험성]]="","", 위험성평가_입력[[#This Row],[위험성]] &amp; " (" &amp; 위험성평가_입력[[#This Row],[위험도(전)]] &amp; ")")</f>
        <v/>
      </c>
      <c r="H210" s="116"/>
    </row>
    <row r="211" spans="1:8" ht="25" customHeight="1">
      <c r="A211" s="118" t="str">
        <f>IF('Dashboard 입력'!AB215="","",'Dashboard 입력'!AB215)</f>
        <v/>
      </c>
      <c r="B211" s="18" t="str">
        <f>IF('Dashboard 입력'!AC215="","",'Dashboard 입력'!AC215)</f>
        <v/>
      </c>
      <c r="C211" s="18" t="str">
        <f>IF('Dashboard 입력'!AD215="","",'Dashboard 입력'!AD215)</f>
        <v/>
      </c>
      <c r="D211" s="18" t="str">
        <f>IF('Dashboard 입력'!AE215="","",'Dashboard 입력'!AE215)</f>
        <v/>
      </c>
      <c r="E211" s="118" t="str">
        <f>IF('Dashboard 입력'!AI215="", "", 'Dashboard 입력'!AI215 &amp; " (" &amp; 'Dashboard 입력'!AF215 &amp; ")")</f>
        <v/>
      </c>
      <c r="F211" s="118" t="str">
        <f>IF('Dashboard 입력'!AJ215="", "", 'Dashboard 입력'!AJ215 &amp; " (" &amp; 'Dashboard 입력'!AG215 &amp; ")")</f>
        <v/>
      </c>
      <c r="G211" s="118" t="str">
        <f>IF(위험성평가_입력[[#This Row],[위험성]]="","", 위험성평가_입력[[#This Row],[위험성]] &amp; " (" &amp; 위험성평가_입력[[#This Row],[위험도(전)]] &amp; ")")</f>
        <v/>
      </c>
      <c r="H211" s="116"/>
    </row>
    <row r="212" spans="1:8" ht="25" customHeight="1">
      <c r="A212" s="118" t="str">
        <f>IF('Dashboard 입력'!AB216="","",'Dashboard 입력'!AB216)</f>
        <v/>
      </c>
      <c r="B212" s="18" t="str">
        <f>IF('Dashboard 입력'!AC216="","",'Dashboard 입력'!AC216)</f>
        <v/>
      </c>
      <c r="C212" s="18" t="str">
        <f>IF('Dashboard 입력'!AD216="","",'Dashboard 입력'!AD216)</f>
        <v/>
      </c>
      <c r="D212" s="18" t="str">
        <f>IF('Dashboard 입력'!AE216="","",'Dashboard 입력'!AE216)</f>
        <v/>
      </c>
      <c r="E212" s="118" t="str">
        <f>IF('Dashboard 입력'!AI216="", "", 'Dashboard 입력'!AI216 &amp; " (" &amp; 'Dashboard 입력'!AF216 &amp; ")")</f>
        <v/>
      </c>
      <c r="F212" s="118" t="str">
        <f>IF('Dashboard 입력'!AJ216="", "", 'Dashboard 입력'!AJ216 &amp; " (" &amp; 'Dashboard 입력'!AG216 &amp; ")")</f>
        <v/>
      </c>
      <c r="G212" s="118" t="str">
        <f>IF(위험성평가_입력[[#This Row],[위험성]]="","", 위험성평가_입력[[#This Row],[위험성]] &amp; " (" &amp; 위험성평가_입력[[#This Row],[위험도(전)]] &amp; ")")</f>
        <v/>
      </c>
      <c r="H212" s="116"/>
    </row>
    <row r="213" spans="1:8" ht="25" customHeight="1">
      <c r="A213" s="118" t="str">
        <f>IF('Dashboard 입력'!AB217="","",'Dashboard 입력'!AB217)</f>
        <v/>
      </c>
      <c r="B213" s="18" t="str">
        <f>IF('Dashboard 입력'!AC217="","",'Dashboard 입력'!AC217)</f>
        <v/>
      </c>
      <c r="C213" s="18" t="str">
        <f>IF('Dashboard 입력'!AD217="","",'Dashboard 입력'!AD217)</f>
        <v/>
      </c>
      <c r="D213" s="18" t="str">
        <f>IF('Dashboard 입력'!AE217="","",'Dashboard 입력'!AE217)</f>
        <v/>
      </c>
      <c r="E213" s="118" t="str">
        <f>IF('Dashboard 입력'!AI217="", "", 'Dashboard 입력'!AI217 &amp; " (" &amp; 'Dashboard 입력'!AF217 &amp; ")")</f>
        <v/>
      </c>
      <c r="F213" s="118" t="str">
        <f>IF('Dashboard 입력'!AJ217="", "", 'Dashboard 입력'!AJ217 &amp; " (" &amp; 'Dashboard 입력'!AG217 &amp; ")")</f>
        <v/>
      </c>
      <c r="G213" s="118" t="str">
        <f>IF(위험성평가_입력[[#This Row],[위험성]]="","", 위험성평가_입력[[#This Row],[위험성]] &amp; " (" &amp; 위험성평가_입력[[#This Row],[위험도(전)]] &amp; ")")</f>
        <v/>
      </c>
      <c r="H213" s="116"/>
    </row>
    <row r="214" spans="1:8" ht="25" customHeight="1">
      <c r="A214" s="118" t="str">
        <f>IF('Dashboard 입력'!AB218="","",'Dashboard 입력'!AB218)</f>
        <v/>
      </c>
      <c r="B214" s="18" t="str">
        <f>IF('Dashboard 입력'!AC218="","",'Dashboard 입력'!AC218)</f>
        <v/>
      </c>
      <c r="C214" s="18" t="str">
        <f>IF('Dashboard 입력'!AD218="","",'Dashboard 입력'!AD218)</f>
        <v/>
      </c>
      <c r="D214" s="18" t="str">
        <f>IF('Dashboard 입력'!AE218="","",'Dashboard 입력'!AE218)</f>
        <v/>
      </c>
      <c r="E214" s="118" t="str">
        <f>IF('Dashboard 입력'!AI218="", "", 'Dashboard 입력'!AI218 &amp; " (" &amp; 'Dashboard 입력'!AF218 &amp; ")")</f>
        <v/>
      </c>
      <c r="F214" s="118" t="str">
        <f>IF('Dashboard 입력'!AJ218="", "", 'Dashboard 입력'!AJ218 &amp; " (" &amp; 'Dashboard 입력'!AG218 &amp; ")")</f>
        <v/>
      </c>
      <c r="G214" s="118" t="str">
        <f>IF(위험성평가_입력[[#This Row],[위험성]]="","", 위험성평가_입력[[#This Row],[위험성]] &amp; " (" &amp; 위험성평가_입력[[#This Row],[위험도(전)]] &amp; ")")</f>
        <v/>
      </c>
      <c r="H214" s="116"/>
    </row>
    <row r="215" spans="1:8" ht="25" customHeight="1">
      <c r="A215" s="118" t="str">
        <f>IF('Dashboard 입력'!AB219="","",'Dashboard 입력'!AB219)</f>
        <v/>
      </c>
      <c r="B215" s="18" t="str">
        <f>IF('Dashboard 입력'!AC219="","",'Dashboard 입력'!AC219)</f>
        <v/>
      </c>
      <c r="C215" s="18" t="str">
        <f>IF('Dashboard 입력'!AD219="","",'Dashboard 입력'!AD219)</f>
        <v/>
      </c>
      <c r="D215" s="18" t="str">
        <f>IF('Dashboard 입력'!AE219="","",'Dashboard 입력'!AE219)</f>
        <v/>
      </c>
      <c r="E215" s="118" t="str">
        <f>IF('Dashboard 입력'!AI219="", "", 'Dashboard 입력'!AI219 &amp; " (" &amp; 'Dashboard 입력'!AF219 &amp; ")")</f>
        <v/>
      </c>
      <c r="F215" s="118" t="str">
        <f>IF('Dashboard 입력'!AJ219="", "", 'Dashboard 입력'!AJ219 &amp; " (" &amp; 'Dashboard 입력'!AG219 &amp; ")")</f>
        <v/>
      </c>
      <c r="G215" s="118" t="str">
        <f>IF(위험성평가_입력[[#This Row],[위험성]]="","", 위험성평가_입력[[#This Row],[위험성]] &amp; " (" &amp; 위험성평가_입력[[#This Row],[위험도(전)]] &amp; ")")</f>
        <v/>
      </c>
      <c r="H215" s="116"/>
    </row>
    <row r="216" spans="1:8" ht="25" customHeight="1">
      <c r="A216" s="118" t="str">
        <f>IF('Dashboard 입력'!AB220="","",'Dashboard 입력'!AB220)</f>
        <v/>
      </c>
      <c r="B216" s="18" t="str">
        <f>IF('Dashboard 입력'!AC220="","",'Dashboard 입력'!AC220)</f>
        <v/>
      </c>
      <c r="C216" s="18" t="str">
        <f>IF('Dashboard 입력'!AD220="","",'Dashboard 입력'!AD220)</f>
        <v/>
      </c>
      <c r="D216" s="18" t="str">
        <f>IF('Dashboard 입력'!AE220="","",'Dashboard 입력'!AE220)</f>
        <v/>
      </c>
      <c r="E216" s="118" t="str">
        <f>IF('Dashboard 입력'!AI220="", "", 'Dashboard 입력'!AI220 &amp; " (" &amp; 'Dashboard 입력'!AF220 &amp; ")")</f>
        <v/>
      </c>
      <c r="F216" s="118" t="str">
        <f>IF('Dashboard 입력'!AJ220="", "", 'Dashboard 입력'!AJ220 &amp; " (" &amp; 'Dashboard 입력'!AG220 &amp; ")")</f>
        <v/>
      </c>
      <c r="G216" s="118" t="str">
        <f>IF(위험성평가_입력[[#This Row],[위험성]]="","", 위험성평가_입력[[#This Row],[위험성]] &amp; " (" &amp; 위험성평가_입력[[#This Row],[위험도(전)]] &amp; ")")</f>
        <v/>
      </c>
      <c r="H216" s="116"/>
    </row>
    <row r="217" spans="1:8" ht="25" customHeight="1">
      <c r="A217" s="118" t="str">
        <f>IF('Dashboard 입력'!AB221="","",'Dashboard 입력'!AB221)</f>
        <v/>
      </c>
      <c r="B217" s="18" t="str">
        <f>IF('Dashboard 입력'!AC221="","",'Dashboard 입력'!AC221)</f>
        <v/>
      </c>
      <c r="C217" s="18" t="str">
        <f>IF('Dashboard 입력'!AD221="","",'Dashboard 입력'!AD221)</f>
        <v/>
      </c>
      <c r="D217" s="18" t="str">
        <f>IF('Dashboard 입력'!AE221="","",'Dashboard 입력'!AE221)</f>
        <v/>
      </c>
      <c r="E217" s="118" t="str">
        <f>IF('Dashboard 입력'!AI221="", "", 'Dashboard 입력'!AI221 &amp; " (" &amp; 'Dashboard 입력'!AF221 &amp; ")")</f>
        <v/>
      </c>
      <c r="F217" s="118" t="str">
        <f>IF('Dashboard 입력'!AJ221="", "", 'Dashboard 입력'!AJ221 &amp; " (" &amp; 'Dashboard 입력'!AG221 &amp; ")")</f>
        <v/>
      </c>
      <c r="G217" s="118" t="str">
        <f>IF(위험성평가_입력[[#This Row],[위험성]]="","", 위험성평가_입력[[#This Row],[위험성]] &amp; " (" &amp; 위험성평가_입력[[#This Row],[위험도(전)]] &amp; ")")</f>
        <v/>
      </c>
      <c r="H217" s="116"/>
    </row>
    <row r="218" spans="1:8" ht="25" customHeight="1">
      <c r="A218" s="118" t="str">
        <f>IF('Dashboard 입력'!AB222="","",'Dashboard 입력'!AB222)</f>
        <v/>
      </c>
      <c r="B218" s="18" t="str">
        <f>IF('Dashboard 입력'!AC222="","",'Dashboard 입력'!AC222)</f>
        <v/>
      </c>
      <c r="C218" s="18" t="str">
        <f>IF('Dashboard 입력'!AD222="","",'Dashboard 입력'!AD222)</f>
        <v/>
      </c>
      <c r="D218" s="18" t="str">
        <f>IF('Dashboard 입력'!AE222="","",'Dashboard 입력'!AE222)</f>
        <v/>
      </c>
      <c r="E218" s="118" t="str">
        <f>IF('Dashboard 입력'!AI222="", "", 'Dashboard 입력'!AI222 &amp; " (" &amp; 'Dashboard 입력'!AF222 &amp; ")")</f>
        <v/>
      </c>
      <c r="F218" s="118" t="str">
        <f>IF('Dashboard 입력'!AJ222="", "", 'Dashboard 입력'!AJ222 &amp; " (" &amp; 'Dashboard 입력'!AG222 &amp; ")")</f>
        <v/>
      </c>
      <c r="G218" s="118" t="str">
        <f>IF(위험성평가_입력[[#This Row],[위험성]]="","", 위험성평가_입력[[#This Row],[위험성]] &amp; " (" &amp; 위험성평가_입력[[#This Row],[위험도(전)]] &amp; ")")</f>
        <v/>
      </c>
      <c r="H218" s="116"/>
    </row>
    <row r="219" spans="1:8" ht="25" customHeight="1">
      <c r="A219" s="118" t="str">
        <f>IF('Dashboard 입력'!AB223="","",'Dashboard 입력'!AB223)</f>
        <v/>
      </c>
      <c r="B219" s="18" t="str">
        <f>IF('Dashboard 입력'!AC223="","",'Dashboard 입력'!AC223)</f>
        <v/>
      </c>
      <c r="C219" s="18" t="str">
        <f>IF('Dashboard 입력'!AD223="","",'Dashboard 입력'!AD223)</f>
        <v/>
      </c>
      <c r="D219" s="18" t="str">
        <f>IF('Dashboard 입력'!AE223="","",'Dashboard 입력'!AE223)</f>
        <v/>
      </c>
      <c r="E219" s="118" t="str">
        <f>IF('Dashboard 입력'!AI223="", "", 'Dashboard 입력'!AI223 &amp; " (" &amp; 'Dashboard 입력'!AF223 &amp; ")")</f>
        <v/>
      </c>
      <c r="F219" s="118" t="str">
        <f>IF('Dashboard 입력'!AJ223="", "", 'Dashboard 입력'!AJ223 &amp; " (" &amp; 'Dashboard 입력'!AG223 &amp; ")")</f>
        <v/>
      </c>
      <c r="G219" s="118" t="str">
        <f>IF(위험성평가_입력[[#This Row],[위험성]]="","", 위험성평가_입력[[#This Row],[위험성]] &amp; " (" &amp; 위험성평가_입력[[#This Row],[위험도(전)]] &amp; ")")</f>
        <v/>
      </c>
      <c r="H219" s="116"/>
    </row>
    <row r="220" spans="1:8" ht="25" customHeight="1">
      <c r="A220" s="118" t="str">
        <f>IF('Dashboard 입력'!AB224="","",'Dashboard 입력'!AB224)</f>
        <v/>
      </c>
      <c r="B220" s="18" t="str">
        <f>IF('Dashboard 입력'!AC224="","",'Dashboard 입력'!AC224)</f>
        <v/>
      </c>
      <c r="C220" s="18" t="str">
        <f>IF('Dashboard 입력'!AD224="","",'Dashboard 입력'!AD224)</f>
        <v/>
      </c>
      <c r="D220" s="18" t="str">
        <f>IF('Dashboard 입력'!AE224="","",'Dashboard 입력'!AE224)</f>
        <v/>
      </c>
      <c r="E220" s="118" t="str">
        <f>IF('Dashboard 입력'!AI224="", "", 'Dashboard 입력'!AI224 &amp; " (" &amp; 'Dashboard 입력'!AF224 &amp; ")")</f>
        <v/>
      </c>
      <c r="F220" s="118" t="str">
        <f>IF('Dashboard 입력'!AJ224="", "", 'Dashboard 입력'!AJ224 &amp; " (" &amp; 'Dashboard 입력'!AG224 &amp; ")")</f>
        <v/>
      </c>
      <c r="G220" s="118" t="str">
        <f>IF(위험성평가_입력[[#This Row],[위험성]]="","", 위험성평가_입력[[#This Row],[위험성]] &amp; " (" &amp; 위험성평가_입력[[#This Row],[위험도(전)]] &amp; ")")</f>
        <v/>
      </c>
      <c r="H220" s="116"/>
    </row>
    <row r="221" spans="1:8" ht="25" customHeight="1">
      <c r="A221" s="118" t="str">
        <f>IF('Dashboard 입력'!AB225="","",'Dashboard 입력'!AB225)</f>
        <v/>
      </c>
      <c r="B221" s="18" t="str">
        <f>IF('Dashboard 입력'!AC225="","",'Dashboard 입력'!AC225)</f>
        <v/>
      </c>
      <c r="C221" s="18" t="str">
        <f>IF('Dashboard 입력'!AD225="","",'Dashboard 입력'!AD225)</f>
        <v/>
      </c>
      <c r="D221" s="18" t="str">
        <f>IF('Dashboard 입력'!AE225="","",'Dashboard 입력'!AE225)</f>
        <v/>
      </c>
      <c r="E221" s="118" t="str">
        <f>IF('Dashboard 입력'!AI225="", "", 'Dashboard 입력'!AI225 &amp; " (" &amp; 'Dashboard 입력'!AF225 &amp; ")")</f>
        <v/>
      </c>
      <c r="F221" s="118" t="str">
        <f>IF('Dashboard 입력'!AJ225="", "", 'Dashboard 입력'!AJ225 &amp; " (" &amp; 'Dashboard 입력'!AG225 &amp; ")")</f>
        <v/>
      </c>
      <c r="G221" s="118" t="str">
        <f>IF(위험성평가_입력[[#This Row],[위험성]]="","", 위험성평가_입력[[#This Row],[위험성]] &amp; " (" &amp; 위험성평가_입력[[#This Row],[위험도(전)]] &amp; ")")</f>
        <v/>
      </c>
      <c r="H221" s="116"/>
    </row>
    <row r="222" spans="1:8" ht="25" customHeight="1">
      <c r="A222" s="118" t="str">
        <f>IF('Dashboard 입력'!AB226="","",'Dashboard 입력'!AB226)</f>
        <v/>
      </c>
      <c r="B222" s="18" t="str">
        <f>IF('Dashboard 입력'!AC226="","",'Dashboard 입력'!AC226)</f>
        <v/>
      </c>
      <c r="C222" s="18" t="str">
        <f>IF('Dashboard 입력'!AD226="","",'Dashboard 입력'!AD226)</f>
        <v/>
      </c>
      <c r="D222" s="18" t="str">
        <f>IF('Dashboard 입력'!AE226="","",'Dashboard 입력'!AE226)</f>
        <v/>
      </c>
      <c r="E222" s="118" t="str">
        <f>IF('Dashboard 입력'!AI226="", "", 'Dashboard 입력'!AI226 &amp; " (" &amp; 'Dashboard 입력'!AF226 &amp; ")")</f>
        <v/>
      </c>
      <c r="F222" s="118" t="str">
        <f>IF('Dashboard 입력'!AJ226="", "", 'Dashboard 입력'!AJ226 &amp; " (" &amp; 'Dashboard 입력'!AG226 &amp; ")")</f>
        <v/>
      </c>
      <c r="G222" s="118" t="str">
        <f>IF(위험성평가_입력[[#This Row],[위험성]]="","", 위험성평가_입력[[#This Row],[위험성]] &amp; " (" &amp; 위험성평가_입력[[#This Row],[위험도(전)]] &amp; ")")</f>
        <v/>
      </c>
      <c r="H222" s="116"/>
    </row>
    <row r="223" spans="1:8" ht="25" customHeight="1">
      <c r="A223" s="118" t="str">
        <f>IF('Dashboard 입력'!AB227="","",'Dashboard 입력'!AB227)</f>
        <v/>
      </c>
      <c r="B223" s="18" t="str">
        <f>IF('Dashboard 입력'!AC227="","",'Dashboard 입력'!AC227)</f>
        <v/>
      </c>
      <c r="C223" s="18" t="str">
        <f>IF('Dashboard 입력'!AD227="","",'Dashboard 입력'!AD227)</f>
        <v/>
      </c>
      <c r="D223" s="18" t="str">
        <f>IF('Dashboard 입력'!AE227="","",'Dashboard 입력'!AE227)</f>
        <v/>
      </c>
      <c r="E223" s="118" t="str">
        <f>IF('Dashboard 입력'!AI227="", "", 'Dashboard 입력'!AI227 &amp; " (" &amp; 'Dashboard 입력'!AF227 &amp; ")")</f>
        <v/>
      </c>
      <c r="F223" s="118" t="str">
        <f>IF('Dashboard 입력'!AJ227="", "", 'Dashboard 입력'!AJ227 &amp; " (" &amp; 'Dashboard 입력'!AG227 &amp; ")")</f>
        <v/>
      </c>
      <c r="G223" s="118" t="str">
        <f>IF(위험성평가_입력[[#This Row],[위험성]]="","", 위험성평가_입력[[#This Row],[위험성]] &amp; " (" &amp; 위험성평가_입력[[#This Row],[위험도(전)]] &amp; ")")</f>
        <v/>
      </c>
      <c r="H223" s="116"/>
    </row>
    <row r="224" spans="1:8" ht="25" customHeight="1">
      <c r="A224" s="118" t="str">
        <f>IF('Dashboard 입력'!AB228="","",'Dashboard 입력'!AB228)</f>
        <v/>
      </c>
      <c r="B224" s="18" t="str">
        <f>IF('Dashboard 입력'!AC228="","",'Dashboard 입력'!AC228)</f>
        <v/>
      </c>
      <c r="C224" s="18" t="str">
        <f>IF('Dashboard 입력'!AD228="","",'Dashboard 입력'!AD228)</f>
        <v/>
      </c>
      <c r="D224" s="18" t="str">
        <f>IF('Dashboard 입력'!AE228="","",'Dashboard 입력'!AE228)</f>
        <v/>
      </c>
      <c r="E224" s="118" t="str">
        <f>IF('Dashboard 입력'!AI228="", "", 'Dashboard 입력'!AI228 &amp; " (" &amp; 'Dashboard 입력'!AF228 &amp; ")")</f>
        <v/>
      </c>
      <c r="F224" s="118" t="str">
        <f>IF('Dashboard 입력'!AJ228="", "", 'Dashboard 입력'!AJ228 &amp; " (" &amp; 'Dashboard 입력'!AG228 &amp; ")")</f>
        <v/>
      </c>
      <c r="G224" s="118" t="str">
        <f>IF(위험성평가_입력[[#This Row],[위험성]]="","", 위험성평가_입력[[#This Row],[위험성]] &amp; " (" &amp; 위험성평가_입력[[#This Row],[위험도(전)]] &amp; ")")</f>
        <v/>
      </c>
      <c r="H224" s="116"/>
    </row>
    <row r="225" spans="1:8" ht="25" customHeight="1">
      <c r="A225" s="118" t="str">
        <f>IF('Dashboard 입력'!AB229="","",'Dashboard 입력'!AB229)</f>
        <v/>
      </c>
      <c r="B225" s="18" t="str">
        <f>IF('Dashboard 입력'!AC229="","",'Dashboard 입력'!AC229)</f>
        <v/>
      </c>
      <c r="C225" s="18" t="str">
        <f>IF('Dashboard 입력'!AD229="","",'Dashboard 입력'!AD229)</f>
        <v/>
      </c>
      <c r="D225" s="18" t="str">
        <f>IF('Dashboard 입력'!AE229="","",'Dashboard 입력'!AE229)</f>
        <v/>
      </c>
      <c r="E225" s="118" t="str">
        <f>IF('Dashboard 입력'!AI229="", "", 'Dashboard 입력'!AI229 &amp; " (" &amp; 'Dashboard 입력'!AF229 &amp; ")")</f>
        <v/>
      </c>
      <c r="F225" s="118" t="str">
        <f>IF('Dashboard 입력'!AJ229="", "", 'Dashboard 입력'!AJ229 &amp; " (" &amp; 'Dashboard 입력'!AG229 &amp; ")")</f>
        <v/>
      </c>
      <c r="G225" s="118" t="str">
        <f>IF(위험성평가_입력[[#This Row],[위험성]]="","", 위험성평가_입력[[#This Row],[위험성]] &amp; " (" &amp; 위험성평가_입력[[#This Row],[위험도(전)]] &amp; ")")</f>
        <v/>
      </c>
      <c r="H225" s="116"/>
    </row>
    <row r="226" spans="1:8" ht="25" customHeight="1">
      <c r="A226" s="118" t="str">
        <f>IF('Dashboard 입력'!AB230="","",'Dashboard 입력'!AB230)</f>
        <v/>
      </c>
      <c r="B226" s="18" t="str">
        <f>IF('Dashboard 입력'!AC230="","",'Dashboard 입력'!AC230)</f>
        <v/>
      </c>
      <c r="C226" s="18" t="str">
        <f>IF('Dashboard 입력'!AD230="","",'Dashboard 입력'!AD230)</f>
        <v/>
      </c>
      <c r="D226" s="18" t="str">
        <f>IF('Dashboard 입력'!AE230="","",'Dashboard 입력'!AE230)</f>
        <v/>
      </c>
      <c r="E226" s="118" t="str">
        <f>IF('Dashboard 입력'!AI230="", "", 'Dashboard 입력'!AI230 &amp; " (" &amp; 'Dashboard 입력'!AF230 &amp; ")")</f>
        <v/>
      </c>
      <c r="F226" s="118" t="str">
        <f>IF('Dashboard 입력'!AJ230="", "", 'Dashboard 입력'!AJ230 &amp; " (" &amp; 'Dashboard 입력'!AG230 &amp; ")")</f>
        <v/>
      </c>
      <c r="G226" s="118" t="str">
        <f>IF(위험성평가_입력[[#This Row],[위험성]]="","", 위험성평가_입력[[#This Row],[위험성]] &amp; " (" &amp; 위험성평가_입력[[#This Row],[위험도(전)]] &amp; ")")</f>
        <v/>
      </c>
      <c r="H226" s="116"/>
    </row>
    <row r="227" spans="1:8" ht="25" customHeight="1">
      <c r="A227" s="118" t="str">
        <f>IF('Dashboard 입력'!AB231="","",'Dashboard 입력'!AB231)</f>
        <v/>
      </c>
      <c r="B227" s="18" t="str">
        <f>IF('Dashboard 입력'!AC231="","",'Dashboard 입력'!AC231)</f>
        <v/>
      </c>
      <c r="C227" s="18" t="str">
        <f>IF('Dashboard 입력'!AD231="","",'Dashboard 입력'!AD231)</f>
        <v/>
      </c>
      <c r="D227" s="18" t="str">
        <f>IF('Dashboard 입력'!AE231="","",'Dashboard 입력'!AE231)</f>
        <v/>
      </c>
      <c r="E227" s="118" t="str">
        <f>IF('Dashboard 입력'!AI231="", "", 'Dashboard 입력'!AI231 &amp; " (" &amp; 'Dashboard 입력'!AF231 &amp; ")")</f>
        <v/>
      </c>
      <c r="F227" s="118" t="str">
        <f>IF('Dashboard 입력'!AJ231="", "", 'Dashboard 입력'!AJ231 &amp; " (" &amp; 'Dashboard 입력'!AG231 &amp; ")")</f>
        <v/>
      </c>
      <c r="G227" s="118" t="str">
        <f>IF(위험성평가_입력[[#This Row],[위험성]]="","", 위험성평가_입력[[#This Row],[위험성]] &amp; " (" &amp; 위험성평가_입력[[#This Row],[위험도(전)]] &amp; ")")</f>
        <v/>
      </c>
      <c r="H227" s="116"/>
    </row>
    <row r="228" spans="1:8" ht="25" customHeight="1">
      <c r="A228" s="118" t="str">
        <f>IF('Dashboard 입력'!AB232="","",'Dashboard 입력'!AB232)</f>
        <v/>
      </c>
      <c r="B228" s="18" t="str">
        <f>IF('Dashboard 입력'!AC232="","",'Dashboard 입력'!AC232)</f>
        <v/>
      </c>
      <c r="C228" s="18" t="str">
        <f>IF('Dashboard 입력'!AD232="","",'Dashboard 입력'!AD232)</f>
        <v/>
      </c>
      <c r="D228" s="18" t="str">
        <f>IF('Dashboard 입력'!AE232="","",'Dashboard 입력'!AE232)</f>
        <v/>
      </c>
      <c r="E228" s="118" t="str">
        <f>IF('Dashboard 입력'!AI232="", "", 'Dashboard 입력'!AI232 &amp; " (" &amp; 'Dashboard 입력'!AF232 &amp; ")")</f>
        <v/>
      </c>
      <c r="F228" s="118" t="str">
        <f>IF('Dashboard 입력'!AJ232="", "", 'Dashboard 입력'!AJ232 &amp; " (" &amp; 'Dashboard 입력'!AG232 &amp; ")")</f>
        <v/>
      </c>
      <c r="G228" s="118" t="str">
        <f>IF(위험성평가_입력[[#This Row],[위험성]]="","", 위험성평가_입력[[#This Row],[위험성]] &amp; " (" &amp; 위험성평가_입력[[#This Row],[위험도(전)]] &amp; ")")</f>
        <v/>
      </c>
      <c r="H228" s="116"/>
    </row>
    <row r="229" spans="1:8" ht="25" customHeight="1">
      <c r="A229" s="118" t="str">
        <f>IF('Dashboard 입력'!AB233="","",'Dashboard 입력'!AB233)</f>
        <v/>
      </c>
      <c r="B229" s="18" t="str">
        <f>IF('Dashboard 입력'!AC233="","",'Dashboard 입력'!AC233)</f>
        <v/>
      </c>
      <c r="C229" s="18" t="str">
        <f>IF('Dashboard 입력'!AD233="","",'Dashboard 입력'!AD233)</f>
        <v/>
      </c>
      <c r="D229" s="18" t="str">
        <f>IF('Dashboard 입력'!AE233="","",'Dashboard 입력'!AE233)</f>
        <v/>
      </c>
      <c r="E229" s="118" t="str">
        <f>IF('Dashboard 입력'!AI233="", "", 'Dashboard 입력'!AI233 &amp; " (" &amp; 'Dashboard 입력'!AF233 &amp; ")")</f>
        <v/>
      </c>
      <c r="F229" s="118" t="str">
        <f>IF('Dashboard 입력'!AJ233="", "", 'Dashboard 입력'!AJ233 &amp; " (" &amp; 'Dashboard 입력'!AG233 &amp; ")")</f>
        <v/>
      </c>
      <c r="G229" s="118" t="str">
        <f>IF(위험성평가_입력[[#This Row],[위험성]]="","", 위험성평가_입력[[#This Row],[위험성]] &amp; " (" &amp; 위험성평가_입력[[#This Row],[위험도(전)]] &amp; ")")</f>
        <v/>
      </c>
      <c r="H229" s="116"/>
    </row>
    <row r="230" spans="1:8" ht="25" customHeight="1">
      <c r="A230" s="118" t="str">
        <f>IF('Dashboard 입력'!AB234="","",'Dashboard 입력'!AB234)</f>
        <v/>
      </c>
      <c r="B230" s="18" t="str">
        <f>IF('Dashboard 입력'!AC234="","",'Dashboard 입력'!AC234)</f>
        <v/>
      </c>
      <c r="C230" s="18" t="str">
        <f>IF('Dashboard 입력'!AD234="","",'Dashboard 입력'!AD234)</f>
        <v/>
      </c>
      <c r="D230" s="18" t="str">
        <f>IF('Dashboard 입력'!AE234="","",'Dashboard 입력'!AE234)</f>
        <v/>
      </c>
      <c r="E230" s="118" t="str">
        <f>IF('Dashboard 입력'!AI234="", "", 'Dashboard 입력'!AI234 &amp; " (" &amp; 'Dashboard 입력'!AF234 &amp; ")")</f>
        <v/>
      </c>
      <c r="F230" s="118" t="str">
        <f>IF('Dashboard 입력'!AJ234="", "", 'Dashboard 입력'!AJ234 &amp; " (" &amp; 'Dashboard 입력'!AG234 &amp; ")")</f>
        <v/>
      </c>
      <c r="G230" s="118" t="str">
        <f>IF(위험성평가_입력[[#This Row],[위험성]]="","", 위험성평가_입력[[#This Row],[위험성]] &amp; " (" &amp; 위험성평가_입력[[#This Row],[위험도(전)]] &amp; ")")</f>
        <v/>
      </c>
      <c r="H230" s="116"/>
    </row>
    <row r="231" spans="1:8" ht="25" customHeight="1">
      <c r="A231" s="118" t="str">
        <f>IF('Dashboard 입력'!AB235="","",'Dashboard 입력'!AB235)</f>
        <v/>
      </c>
      <c r="B231" s="18" t="str">
        <f>IF('Dashboard 입력'!AC235="","",'Dashboard 입력'!AC235)</f>
        <v/>
      </c>
      <c r="C231" s="18" t="str">
        <f>IF('Dashboard 입력'!AD235="","",'Dashboard 입력'!AD235)</f>
        <v/>
      </c>
      <c r="D231" s="18" t="str">
        <f>IF('Dashboard 입력'!AE235="","",'Dashboard 입력'!AE235)</f>
        <v/>
      </c>
      <c r="E231" s="118" t="str">
        <f>IF('Dashboard 입력'!AI235="", "", 'Dashboard 입력'!AI235 &amp; " (" &amp; 'Dashboard 입력'!AF235 &amp; ")")</f>
        <v/>
      </c>
      <c r="F231" s="118" t="str">
        <f>IF('Dashboard 입력'!AJ235="", "", 'Dashboard 입력'!AJ235 &amp; " (" &amp; 'Dashboard 입력'!AG235 &amp; ")")</f>
        <v/>
      </c>
      <c r="G231" s="118" t="str">
        <f>IF(위험성평가_입력[[#This Row],[위험성]]="","", 위험성평가_입력[[#This Row],[위험성]] &amp; " (" &amp; 위험성평가_입력[[#This Row],[위험도(전)]] &amp; ")")</f>
        <v/>
      </c>
      <c r="H231" s="116"/>
    </row>
    <row r="232" spans="1:8" ht="25" customHeight="1">
      <c r="A232" s="118" t="str">
        <f>IF('Dashboard 입력'!AB236="","",'Dashboard 입력'!AB236)</f>
        <v/>
      </c>
      <c r="B232" s="18" t="str">
        <f>IF('Dashboard 입력'!AC236="","",'Dashboard 입력'!AC236)</f>
        <v/>
      </c>
      <c r="C232" s="18" t="str">
        <f>IF('Dashboard 입력'!AD236="","",'Dashboard 입력'!AD236)</f>
        <v/>
      </c>
      <c r="D232" s="18" t="str">
        <f>IF('Dashboard 입력'!AE236="","",'Dashboard 입력'!AE236)</f>
        <v/>
      </c>
      <c r="E232" s="118" t="str">
        <f>IF('Dashboard 입력'!AI236="", "", 'Dashboard 입력'!AI236 &amp; " (" &amp; 'Dashboard 입력'!AF236 &amp; ")")</f>
        <v/>
      </c>
      <c r="F232" s="118" t="str">
        <f>IF('Dashboard 입력'!AJ236="", "", 'Dashboard 입력'!AJ236 &amp; " (" &amp; 'Dashboard 입력'!AG236 &amp; ")")</f>
        <v/>
      </c>
      <c r="G232" s="118" t="str">
        <f>IF(위험성평가_입력[[#This Row],[위험성]]="","", 위험성평가_입력[[#This Row],[위험성]] &amp; " (" &amp; 위험성평가_입력[[#This Row],[위험도(전)]] &amp; ")")</f>
        <v/>
      </c>
      <c r="H232" s="116"/>
    </row>
    <row r="233" spans="1:8" ht="25" customHeight="1">
      <c r="A233" s="118" t="str">
        <f>IF('Dashboard 입력'!AB237="","",'Dashboard 입력'!AB237)</f>
        <v/>
      </c>
      <c r="B233" s="18" t="str">
        <f>IF('Dashboard 입력'!AC237="","",'Dashboard 입력'!AC237)</f>
        <v/>
      </c>
      <c r="C233" s="18" t="str">
        <f>IF('Dashboard 입력'!AD237="","",'Dashboard 입력'!AD237)</f>
        <v/>
      </c>
      <c r="D233" s="18" t="str">
        <f>IF('Dashboard 입력'!AE237="","",'Dashboard 입력'!AE237)</f>
        <v/>
      </c>
      <c r="E233" s="118" t="str">
        <f>IF('Dashboard 입력'!AI237="", "", 'Dashboard 입력'!AI237 &amp; " (" &amp; 'Dashboard 입력'!AF237 &amp; ")")</f>
        <v/>
      </c>
      <c r="F233" s="118" t="str">
        <f>IF('Dashboard 입력'!AJ237="", "", 'Dashboard 입력'!AJ237 &amp; " (" &amp; 'Dashboard 입력'!AG237 &amp; ")")</f>
        <v/>
      </c>
      <c r="G233" s="118" t="str">
        <f>IF(위험성평가_입력[[#This Row],[위험성]]="","", 위험성평가_입력[[#This Row],[위험성]] &amp; " (" &amp; 위험성평가_입력[[#This Row],[위험도(전)]] &amp; ")")</f>
        <v/>
      </c>
      <c r="H233" s="116"/>
    </row>
    <row r="234" spans="1:8" ht="25" customHeight="1">
      <c r="A234" s="118" t="str">
        <f>IF('Dashboard 입력'!AB238="","",'Dashboard 입력'!AB238)</f>
        <v/>
      </c>
      <c r="B234" s="18" t="str">
        <f>IF('Dashboard 입력'!AC238="","",'Dashboard 입력'!AC238)</f>
        <v/>
      </c>
      <c r="C234" s="18" t="str">
        <f>IF('Dashboard 입력'!AD238="","",'Dashboard 입력'!AD238)</f>
        <v/>
      </c>
      <c r="D234" s="18" t="str">
        <f>IF('Dashboard 입력'!AE238="","",'Dashboard 입력'!AE238)</f>
        <v/>
      </c>
      <c r="E234" s="118" t="str">
        <f>IF('Dashboard 입력'!AI238="", "", 'Dashboard 입력'!AI238 &amp; " (" &amp; 'Dashboard 입력'!AF238 &amp; ")")</f>
        <v/>
      </c>
      <c r="F234" s="118" t="str">
        <f>IF('Dashboard 입력'!AJ238="", "", 'Dashboard 입력'!AJ238 &amp; " (" &amp; 'Dashboard 입력'!AG238 &amp; ")")</f>
        <v/>
      </c>
      <c r="G234" s="118" t="str">
        <f>IF(위험성평가_입력[[#This Row],[위험성]]="","", 위험성평가_입력[[#This Row],[위험성]] &amp; " (" &amp; 위험성평가_입력[[#This Row],[위험도(전)]] &amp; ")")</f>
        <v/>
      </c>
      <c r="H234" s="116"/>
    </row>
    <row r="235" spans="1:8" ht="25" customHeight="1">
      <c r="A235" s="118" t="str">
        <f>IF('Dashboard 입력'!AB239="","",'Dashboard 입력'!AB239)</f>
        <v/>
      </c>
      <c r="B235" s="18" t="str">
        <f>IF('Dashboard 입력'!AC239="","",'Dashboard 입력'!AC239)</f>
        <v/>
      </c>
      <c r="C235" s="18" t="str">
        <f>IF('Dashboard 입력'!AD239="","",'Dashboard 입력'!AD239)</f>
        <v/>
      </c>
      <c r="D235" s="18" t="str">
        <f>IF('Dashboard 입력'!AE239="","",'Dashboard 입력'!AE239)</f>
        <v/>
      </c>
      <c r="E235" s="118" t="str">
        <f>IF('Dashboard 입력'!AI239="", "", 'Dashboard 입력'!AI239 &amp; " (" &amp; 'Dashboard 입력'!AF239 &amp; ")")</f>
        <v/>
      </c>
      <c r="F235" s="118" t="str">
        <f>IF('Dashboard 입력'!AJ239="", "", 'Dashboard 입력'!AJ239 &amp; " (" &amp; 'Dashboard 입력'!AG239 &amp; ")")</f>
        <v/>
      </c>
      <c r="G235" s="118" t="str">
        <f>IF(위험성평가_입력[[#This Row],[위험성]]="","", 위험성평가_입력[[#This Row],[위험성]] &amp; " (" &amp; 위험성평가_입력[[#This Row],[위험도(전)]] &amp; ")")</f>
        <v/>
      </c>
      <c r="H235" s="116"/>
    </row>
    <row r="236" spans="1:8" ht="25" customHeight="1">
      <c r="A236" s="118" t="str">
        <f>IF('Dashboard 입력'!AB240="","",'Dashboard 입력'!AB240)</f>
        <v/>
      </c>
      <c r="B236" s="18" t="str">
        <f>IF('Dashboard 입력'!AC240="","",'Dashboard 입력'!AC240)</f>
        <v/>
      </c>
      <c r="C236" s="18" t="str">
        <f>IF('Dashboard 입력'!AD240="","",'Dashboard 입력'!AD240)</f>
        <v/>
      </c>
      <c r="D236" s="18" t="str">
        <f>IF('Dashboard 입력'!AE240="","",'Dashboard 입력'!AE240)</f>
        <v/>
      </c>
      <c r="E236" s="118" t="str">
        <f>IF('Dashboard 입력'!AI240="", "", 'Dashboard 입력'!AI240 &amp; " (" &amp; 'Dashboard 입력'!AF240 &amp; ")")</f>
        <v/>
      </c>
      <c r="F236" s="118" t="str">
        <f>IF('Dashboard 입력'!AJ240="", "", 'Dashboard 입력'!AJ240 &amp; " (" &amp; 'Dashboard 입력'!AG240 &amp; ")")</f>
        <v/>
      </c>
      <c r="G236" s="118" t="str">
        <f>IF(위험성평가_입력[[#This Row],[위험성]]="","", 위험성평가_입력[[#This Row],[위험성]] &amp; " (" &amp; 위험성평가_입력[[#This Row],[위험도(전)]] &amp; ")")</f>
        <v/>
      </c>
      <c r="H236" s="116"/>
    </row>
    <row r="237" spans="1:8" ht="25" customHeight="1">
      <c r="A237" s="118" t="str">
        <f>IF('Dashboard 입력'!AB241="","",'Dashboard 입력'!AB241)</f>
        <v/>
      </c>
      <c r="B237" s="18" t="str">
        <f>IF('Dashboard 입력'!AC241="","",'Dashboard 입력'!AC241)</f>
        <v/>
      </c>
      <c r="C237" s="18" t="str">
        <f>IF('Dashboard 입력'!AD241="","",'Dashboard 입력'!AD241)</f>
        <v/>
      </c>
      <c r="D237" s="18" t="str">
        <f>IF('Dashboard 입력'!AE241="","",'Dashboard 입력'!AE241)</f>
        <v/>
      </c>
      <c r="E237" s="118" t="str">
        <f>IF('Dashboard 입력'!AI241="", "", 'Dashboard 입력'!AI241 &amp; " (" &amp; 'Dashboard 입력'!AF241 &amp; ")")</f>
        <v/>
      </c>
      <c r="F237" s="118" t="str">
        <f>IF('Dashboard 입력'!AJ241="", "", 'Dashboard 입력'!AJ241 &amp; " (" &amp; 'Dashboard 입력'!AG241 &amp; ")")</f>
        <v/>
      </c>
      <c r="G237" s="118" t="str">
        <f>IF(위험성평가_입력[[#This Row],[위험성]]="","", 위험성평가_입력[[#This Row],[위험성]] &amp; " (" &amp; 위험성평가_입력[[#This Row],[위험도(전)]] &amp; ")")</f>
        <v/>
      </c>
      <c r="H237" s="116"/>
    </row>
    <row r="238" spans="1:8" ht="25" customHeight="1">
      <c r="A238" s="118" t="str">
        <f>IF('Dashboard 입력'!AB242="","",'Dashboard 입력'!AB242)</f>
        <v/>
      </c>
      <c r="B238" s="18" t="str">
        <f>IF('Dashboard 입력'!AC242="","",'Dashboard 입력'!AC242)</f>
        <v/>
      </c>
      <c r="C238" s="18" t="str">
        <f>IF('Dashboard 입력'!AD242="","",'Dashboard 입력'!AD242)</f>
        <v/>
      </c>
      <c r="D238" s="18" t="str">
        <f>IF('Dashboard 입력'!AE242="","",'Dashboard 입력'!AE242)</f>
        <v/>
      </c>
      <c r="E238" s="118" t="str">
        <f>IF('Dashboard 입력'!AI242="", "", 'Dashboard 입력'!AI242 &amp; " (" &amp; 'Dashboard 입력'!AF242 &amp; ")")</f>
        <v/>
      </c>
      <c r="F238" s="118" t="str">
        <f>IF('Dashboard 입력'!AJ242="", "", 'Dashboard 입력'!AJ242 &amp; " (" &amp; 'Dashboard 입력'!AG242 &amp; ")")</f>
        <v/>
      </c>
      <c r="G238" s="118" t="str">
        <f>IF(위험성평가_입력[[#This Row],[위험성]]="","", 위험성평가_입력[[#This Row],[위험성]] &amp; " (" &amp; 위험성평가_입력[[#This Row],[위험도(전)]] &amp; ")")</f>
        <v/>
      </c>
      <c r="H238" s="116"/>
    </row>
    <row r="239" spans="1:8" ht="25" customHeight="1">
      <c r="A239" s="118" t="str">
        <f>IF('Dashboard 입력'!AB243="","",'Dashboard 입력'!AB243)</f>
        <v/>
      </c>
      <c r="B239" s="18" t="str">
        <f>IF('Dashboard 입력'!AC243="","",'Dashboard 입력'!AC243)</f>
        <v/>
      </c>
      <c r="C239" s="18" t="str">
        <f>IF('Dashboard 입력'!AD243="","",'Dashboard 입력'!AD243)</f>
        <v/>
      </c>
      <c r="D239" s="18" t="str">
        <f>IF('Dashboard 입력'!AE243="","",'Dashboard 입력'!AE243)</f>
        <v/>
      </c>
      <c r="E239" s="118" t="str">
        <f>IF('Dashboard 입력'!AI243="", "", 'Dashboard 입력'!AI243 &amp; " (" &amp; 'Dashboard 입력'!AF243 &amp; ")")</f>
        <v/>
      </c>
      <c r="F239" s="118" t="str">
        <f>IF('Dashboard 입력'!AJ243="", "", 'Dashboard 입력'!AJ243 &amp; " (" &amp; 'Dashboard 입력'!AG243 &amp; ")")</f>
        <v/>
      </c>
      <c r="G239" s="118" t="str">
        <f>IF(위험성평가_입력[[#This Row],[위험성]]="","", 위험성평가_입력[[#This Row],[위험성]] &amp; " (" &amp; 위험성평가_입력[[#This Row],[위험도(전)]] &amp; ")")</f>
        <v/>
      </c>
      <c r="H239" s="116"/>
    </row>
    <row r="240" spans="1:8" ht="25" customHeight="1">
      <c r="A240" s="118" t="str">
        <f>IF('Dashboard 입력'!AB244="","",'Dashboard 입력'!AB244)</f>
        <v/>
      </c>
      <c r="B240" s="18" t="str">
        <f>IF('Dashboard 입력'!AC244="","",'Dashboard 입력'!AC244)</f>
        <v/>
      </c>
      <c r="C240" s="18" t="str">
        <f>IF('Dashboard 입력'!AD244="","",'Dashboard 입력'!AD244)</f>
        <v/>
      </c>
      <c r="D240" s="18" t="str">
        <f>IF('Dashboard 입력'!AE244="","",'Dashboard 입력'!AE244)</f>
        <v/>
      </c>
      <c r="E240" s="118" t="str">
        <f>IF('Dashboard 입력'!AI244="", "", 'Dashboard 입력'!AI244 &amp; " (" &amp; 'Dashboard 입력'!AF244 &amp; ")")</f>
        <v/>
      </c>
      <c r="F240" s="118" t="str">
        <f>IF('Dashboard 입력'!AJ244="", "", 'Dashboard 입력'!AJ244 &amp; " (" &amp; 'Dashboard 입력'!AG244 &amp; ")")</f>
        <v/>
      </c>
      <c r="G240" s="118" t="str">
        <f>IF(위험성평가_입력[[#This Row],[위험성]]="","", 위험성평가_입력[[#This Row],[위험성]] &amp; " (" &amp; 위험성평가_입력[[#This Row],[위험도(전)]] &amp; ")")</f>
        <v/>
      </c>
      <c r="H240" s="116"/>
    </row>
    <row r="241" spans="1:8" ht="25" customHeight="1">
      <c r="A241" s="118" t="str">
        <f>IF('Dashboard 입력'!AB245="","",'Dashboard 입력'!AB245)</f>
        <v/>
      </c>
      <c r="B241" s="18" t="str">
        <f>IF('Dashboard 입력'!AC245="","",'Dashboard 입력'!AC245)</f>
        <v/>
      </c>
      <c r="C241" s="18" t="str">
        <f>IF('Dashboard 입력'!AD245="","",'Dashboard 입력'!AD245)</f>
        <v/>
      </c>
      <c r="D241" s="18" t="str">
        <f>IF('Dashboard 입력'!AE245="","",'Dashboard 입력'!AE245)</f>
        <v/>
      </c>
      <c r="E241" s="118" t="str">
        <f>IF('Dashboard 입력'!AI245="", "", 'Dashboard 입력'!AI245 &amp; " (" &amp; 'Dashboard 입력'!AF245 &amp; ")")</f>
        <v/>
      </c>
      <c r="F241" s="118" t="str">
        <f>IF('Dashboard 입력'!AJ245="", "", 'Dashboard 입력'!AJ245 &amp; " (" &amp; 'Dashboard 입력'!AG245 &amp; ")")</f>
        <v/>
      </c>
      <c r="G241" s="118" t="str">
        <f>IF(위험성평가_입력[[#This Row],[위험성]]="","", 위험성평가_입력[[#This Row],[위험성]] &amp; " (" &amp; 위험성평가_입력[[#This Row],[위험도(전)]] &amp; ")")</f>
        <v/>
      </c>
      <c r="H241" s="116"/>
    </row>
    <row r="242" spans="1:8" ht="25" customHeight="1">
      <c r="A242" s="118" t="str">
        <f>IF('Dashboard 입력'!AB246="","",'Dashboard 입력'!AB246)</f>
        <v/>
      </c>
      <c r="B242" s="18" t="str">
        <f>IF('Dashboard 입력'!AC246="","",'Dashboard 입력'!AC246)</f>
        <v/>
      </c>
      <c r="C242" s="18" t="str">
        <f>IF('Dashboard 입력'!AD246="","",'Dashboard 입력'!AD246)</f>
        <v/>
      </c>
      <c r="D242" s="18" t="str">
        <f>IF('Dashboard 입력'!AE246="","",'Dashboard 입력'!AE246)</f>
        <v/>
      </c>
      <c r="E242" s="118" t="str">
        <f>IF('Dashboard 입력'!AI246="", "", 'Dashboard 입력'!AI246 &amp; " (" &amp; 'Dashboard 입력'!AF246 &amp; ")")</f>
        <v/>
      </c>
      <c r="F242" s="118" t="str">
        <f>IF('Dashboard 입력'!AJ246="", "", 'Dashboard 입력'!AJ246 &amp; " (" &amp; 'Dashboard 입력'!AG246 &amp; ")")</f>
        <v/>
      </c>
      <c r="G242" s="118" t="str">
        <f>IF(위험성평가_입력[[#This Row],[위험성]]="","", 위험성평가_입력[[#This Row],[위험성]] &amp; " (" &amp; 위험성평가_입력[[#This Row],[위험도(전)]] &amp; ")")</f>
        <v/>
      </c>
      <c r="H242" s="116"/>
    </row>
    <row r="243" spans="1:8" ht="25" customHeight="1">
      <c r="A243" s="118" t="str">
        <f>IF('Dashboard 입력'!AB247="","",'Dashboard 입력'!AB247)</f>
        <v/>
      </c>
      <c r="B243" s="18" t="str">
        <f>IF('Dashboard 입력'!AC247="","",'Dashboard 입력'!AC247)</f>
        <v/>
      </c>
      <c r="C243" s="18" t="str">
        <f>IF('Dashboard 입력'!AD247="","",'Dashboard 입력'!AD247)</f>
        <v/>
      </c>
      <c r="D243" s="18" t="str">
        <f>IF('Dashboard 입력'!AE247="","",'Dashboard 입력'!AE247)</f>
        <v/>
      </c>
      <c r="E243" s="118" t="str">
        <f>IF('Dashboard 입력'!AI247="", "", 'Dashboard 입력'!AI247 &amp; " (" &amp; 'Dashboard 입력'!AF247 &amp; ")")</f>
        <v/>
      </c>
      <c r="F243" s="118" t="str">
        <f>IF('Dashboard 입력'!AJ247="", "", 'Dashboard 입력'!AJ247 &amp; " (" &amp; 'Dashboard 입력'!AG247 &amp; ")")</f>
        <v/>
      </c>
      <c r="G243" s="118" t="str">
        <f>IF(위험성평가_입력[[#This Row],[위험성]]="","", 위험성평가_입력[[#This Row],[위험성]] &amp; " (" &amp; 위험성평가_입력[[#This Row],[위험도(전)]] &amp; ")")</f>
        <v/>
      </c>
      <c r="H243" s="116"/>
    </row>
    <row r="244" spans="1:8" ht="25" customHeight="1">
      <c r="A244" s="118" t="str">
        <f>IF('Dashboard 입력'!AB248="","",'Dashboard 입력'!AB248)</f>
        <v/>
      </c>
      <c r="B244" s="18" t="str">
        <f>IF('Dashboard 입력'!AC248="","",'Dashboard 입력'!AC248)</f>
        <v/>
      </c>
      <c r="C244" s="18" t="str">
        <f>IF('Dashboard 입력'!AD248="","",'Dashboard 입력'!AD248)</f>
        <v/>
      </c>
      <c r="D244" s="18" t="str">
        <f>IF('Dashboard 입력'!AE248="","",'Dashboard 입력'!AE248)</f>
        <v/>
      </c>
      <c r="E244" s="118" t="str">
        <f>IF('Dashboard 입력'!AI248="", "", 'Dashboard 입력'!AI248 &amp; " (" &amp; 'Dashboard 입력'!AF248 &amp; ")")</f>
        <v/>
      </c>
      <c r="F244" s="118" t="str">
        <f>IF('Dashboard 입력'!AJ248="", "", 'Dashboard 입력'!AJ248 &amp; " (" &amp; 'Dashboard 입력'!AG248 &amp; ")")</f>
        <v/>
      </c>
      <c r="G244" s="118" t="str">
        <f>IF(위험성평가_입력[[#This Row],[위험성]]="","", 위험성평가_입력[[#This Row],[위험성]] &amp; " (" &amp; 위험성평가_입력[[#This Row],[위험도(전)]] &amp; ")")</f>
        <v/>
      </c>
      <c r="H244" s="116"/>
    </row>
    <row r="245" spans="1:8" ht="25" customHeight="1">
      <c r="A245" s="118" t="str">
        <f>IF('Dashboard 입력'!AB249="","",'Dashboard 입력'!AB249)</f>
        <v/>
      </c>
      <c r="B245" s="18" t="str">
        <f>IF('Dashboard 입력'!AC249="","",'Dashboard 입력'!AC249)</f>
        <v/>
      </c>
      <c r="C245" s="18" t="str">
        <f>IF('Dashboard 입력'!AD249="","",'Dashboard 입력'!AD249)</f>
        <v/>
      </c>
      <c r="D245" s="18" t="str">
        <f>IF('Dashboard 입력'!AE249="","",'Dashboard 입력'!AE249)</f>
        <v/>
      </c>
      <c r="E245" s="118" t="str">
        <f>IF('Dashboard 입력'!AI249="", "", 'Dashboard 입력'!AI249 &amp; " (" &amp; 'Dashboard 입력'!AF249 &amp; ")")</f>
        <v/>
      </c>
      <c r="F245" s="118" t="str">
        <f>IF('Dashboard 입력'!AJ249="", "", 'Dashboard 입력'!AJ249 &amp; " (" &amp; 'Dashboard 입력'!AG249 &amp; ")")</f>
        <v/>
      </c>
      <c r="G245" s="118" t="str">
        <f>IF(위험성평가_입력[[#This Row],[위험성]]="","", 위험성평가_입력[[#This Row],[위험성]] &amp; " (" &amp; 위험성평가_입력[[#This Row],[위험도(전)]] &amp; ")")</f>
        <v/>
      </c>
      <c r="H245" s="116"/>
    </row>
    <row r="246" spans="1:8" ht="25" customHeight="1">
      <c r="A246" s="118" t="str">
        <f>IF('Dashboard 입력'!AB250="","",'Dashboard 입력'!AB250)</f>
        <v/>
      </c>
      <c r="B246" s="18" t="str">
        <f>IF('Dashboard 입력'!AC250="","",'Dashboard 입력'!AC250)</f>
        <v/>
      </c>
      <c r="C246" s="18" t="str">
        <f>IF('Dashboard 입력'!AD250="","",'Dashboard 입력'!AD250)</f>
        <v/>
      </c>
      <c r="D246" s="18" t="str">
        <f>IF('Dashboard 입력'!AE250="","",'Dashboard 입력'!AE250)</f>
        <v/>
      </c>
      <c r="E246" s="118" t="str">
        <f>IF('Dashboard 입력'!AI250="", "", 'Dashboard 입력'!AI250 &amp; " (" &amp; 'Dashboard 입력'!AF250 &amp; ")")</f>
        <v/>
      </c>
      <c r="F246" s="118" t="str">
        <f>IF('Dashboard 입력'!AJ250="", "", 'Dashboard 입력'!AJ250 &amp; " (" &amp; 'Dashboard 입력'!AG250 &amp; ")")</f>
        <v/>
      </c>
      <c r="G246" s="118" t="str">
        <f>IF(위험성평가_입력[[#This Row],[위험성]]="","", 위험성평가_입력[[#This Row],[위험성]] &amp; " (" &amp; 위험성평가_입력[[#This Row],[위험도(전)]] &amp; ")")</f>
        <v/>
      </c>
      <c r="H246" s="116"/>
    </row>
    <row r="247" spans="1:8" ht="25" customHeight="1">
      <c r="A247" s="118" t="str">
        <f>IF('Dashboard 입력'!AB251="","",'Dashboard 입력'!AB251)</f>
        <v/>
      </c>
      <c r="B247" s="18" t="str">
        <f>IF('Dashboard 입력'!AC251="","",'Dashboard 입력'!AC251)</f>
        <v/>
      </c>
      <c r="C247" s="18" t="str">
        <f>IF('Dashboard 입력'!AD251="","",'Dashboard 입력'!AD251)</f>
        <v/>
      </c>
      <c r="D247" s="18" t="str">
        <f>IF('Dashboard 입력'!AE251="","",'Dashboard 입력'!AE251)</f>
        <v/>
      </c>
      <c r="E247" s="118" t="str">
        <f>IF('Dashboard 입력'!AI251="", "", 'Dashboard 입력'!AI251 &amp; " (" &amp; 'Dashboard 입력'!AF251 &amp; ")")</f>
        <v/>
      </c>
      <c r="F247" s="118" t="str">
        <f>IF('Dashboard 입력'!AJ251="", "", 'Dashboard 입력'!AJ251 &amp; " (" &amp; 'Dashboard 입력'!AG251 &amp; ")")</f>
        <v/>
      </c>
      <c r="G247" s="118" t="str">
        <f>IF(위험성평가_입력[[#This Row],[위험성]]="","", 위험성평가_입력[[#This Row],[위험성]] &amp; " (" &amp; 위험성평가_입력[[#This Row],[위험도(전)]] &amp; ")")</f>
        <v/>
      </c>
      <c r="H247" s="116"/>
    </row>
    <row r="248" spans="1:8" ht="25" customHeight="1">
      <c r="A248" s="118" t="str">
        <f>IF('Dashboard 입력'!AB252="","",'Dashboard 입력'!AB252)</f>
        <v/>
      </c>
      <c r="B248" s="18" t="str">
        <f>IF('Dashboard 입력'!AC252="","",'Dashboard 입력'!AC252)</f>
        <v/>
      </c>
      <c r="C248" s="18" t="str">
        <f>IF('Dashboard 입력'!AD252="","",'Dashboard 입력'!AD252)</f>
        <v/>
      </c>
      <c r="D248" s="18" t="str">
        <f>IF('Dashboard 입력'!AE252="","",'Dashboard 입력'!AE252)</f>
        <v/>
      </c>
      <c r="E248" s="118" t="str">
        <f>IF('Dashboard 입력'!AI252="", "", 'Dashboard 입력'!AI252 &amp; " (" &amp; 'Dashboard 입력'!AF252 &amp; ")")</f>
        <v/>
      </c>
      <c r="F248" s="118" t="str">
        <f>IF('Dashboard 입력'!AJ252="", "", 'Dashboard 입력'!AJ252 &amp; " (" &amp; 'Dashboard 입력'!AG252 &amp; ")")</f>
        <v/>
      </c>
      <c r="G248" s="118" t="str">
        <f>IF(위험성평가_입력[[#This Row],[위험성]]="","", 위험성평가_입력[[#This Row],[위험성]] &amp; " (" &amp; 위험성평가_입력[[#This Row],[위험도(전)]] &amp; ")")</f>
        <v/>
      </c>
      <c r="H248" s="116"/>
    </row>
    <row r="249" spans="1:8" ht="25" customHeight="1">
      <c r="A249" s="118" t="str">
        <f>IF('Dashboard 입력'!AB253="","",'Dashboard 입력'!AB253)</f>
        <v/>
      </c>
      <c r="B249" s="18" t="str">
        <f>IF('Dashboard 입력'!AC253="","",'Dashboard 입력'!AC253)</f>
        <v/>
      </c>
      <c r="C249" s="18" t="str">
        <f>IF('Dashboard 입력'!AD253="","",'Dashboard 입력'!AD253)</f>
        <v/>
      </c>
      <c r="D249" s="18" t="str">
        <f>IF('Dashboard 입력'!AE253="","",'Dashboard 입력'!AE253)</f>
        <v/>
      </c>
      <c r="E249" s="118" t="str">
        <f>IF('Dashboard 입력'!AI253="", "", 'Dashboard 입력'!AI253 &amp; " (" &amp; 'Dashboard 입력'!AF253 &amp; ")")</f>
        <v/>
      </c>
      <c r="F249" s="118" t="str">
        <f>IF('Dashboard 입력'!AJ253="", "", 'Dashboard 입력'!AJ253 &amp; " (" &amp; 'Dashboard 입력'!AG253 &amp; ")")</f>
        <v/>
      </c>
      <c r="G249" s="118" t="str">
        <f>IF(위험성평가_입력[[#This Row],[위험성]]="","", 위험성평가_입력[[#This Row],[위험성]] &amp; " (" &amp; 위험성평가_입력[[#This Row],[위험도(전)]] &amp; ")")</f>
        <v/>
      </c>
      <c r="H249" s="116"/>
    </row>
    <row r="250" spans="1:8" ht="25" customHeight="1">
      <c r="A250" s="118" t="str">
        <f>IF('Dashboard 입력'!AB254="","",'Dashboard 입력'!AB254)</f>
        <v/>
      </c>
      <c r="B250" s="18" t="str">
        <f>IF('Dashboard 입력'!AC254="","",'Dashboard 입력'!AC254)</f>
        <v/>
      </c>
      <c r="C250" s="18" t="str">
        <f>IF('Dashboard 입력'!AD254="","",'Dashboard 입력'!AD254)</f>
        <v/>
      </c>
      <c r="D250" s="18" t="str">
        <f>IF('Dashboard 입력'!AE254="","",'Dashboard 입력'!AE254)</f>
        <v/>
      </c>
      <c r="E250" s="118" t="str">
        <f>IF('Dashboard 입력'!AI254="", "", 'Dashboard 입력'!AI254 &amp; " (" &amp; 'Dashboard 입력'!AF254 &amp; ")")</f>
        <v/>
      </c>
      <c r="F250" s="118" t="str">
        <f>IF('Dashboard 입력'!AJ254="", "", 'Dashboard 입력'!AJ254 &amp; " (" &amp; 'Dashboard 입력'!AG254 &amp; ")")</f>
        <v/>
      </c>
      <c r="G250" s="118" t="str">
        <f>IF(위험성평가_입력[[#This Row],[위험성]]="","", 위험성평가_입력[[#This Row],[위험성]] &amp; " (" &amp; 위험성평가_입력[[#This Row],[위험도(전)]] &amp; ")")</f>
        <v/>
      </c>
      <c r="H250" s="116"/>
    </row>
    <row r="251" spans="1:8" ht="25" customHeight="1">
      <c r="A251" s="118" t="str">
        <f>IF('Dashboard 입력'!AB255="","",'Dashboard 입력'!AB255)</f>
        <v/>
      </c>
      <c r="B251" s="18" t="str">
        <f>IF('Dashboard 입력'!AC255="","",'Dashboard 입력'!AC255)</f>
        <v/>
      </c>
      <c r="C251" s="18" t="str">
        <f>IF('Dashboard 입력'!AD255="","",'Dashboard 입력'!AD255)</f>
        <v/>
      </c>
      <c r="D251" s="18" t="str">
        <f>IF('Dashboard 입력'!AE255="","",'Dashboard 입력'!AE255)</f>
        <v/>
      </c>
      <c r="E251" s="118" t="str">
        <f>IF('Dashboard 입력'!AI255="", "", 'Dashboard 입력'!AI255 &amp; " (" &amp; 'Dashboard 입력'!AF255 &amp; ")")</f>
        <v/>
      </c>
      <c r="F251" s="118" t="str">
        <f>IF('Dashboard 입력'!AJ255="", "", 'Dashboard 입력'!AJ255 &amp; " (" &amp; 'Dashboard 입력'!AG255 &amp; ")")</f>
        <v/>
      </c>
      <c r="G251" s="118" t="str">
        <f>IF(위험성평가_입력[[#This Row],[위험성]]="","", 위험성평가_입력[[#This Row],[위험성]] &amp; " (" &amp; 위험성평가_입력[[#This Row],[위험도(전)]] &amp; ")")</f>
        <v/>
      </c>
      <c r="H251" s="116"/>
    </row>
    <row r="252" spans="1:8" ht="25" customHeight="1">
      <c r="A252" s="118" t="str">
        <f>IF('Dashboard 입력'!AB256="","",'Dashboard 입력'!AB256)</f>
        <v/>
      </c>
      <c r="B252" s="18" t="str">
        <f>IF('Dashboard 입력'!AC256="","",'Dashboard 입력'!AC256)</f>
        <v/>
      </c>
      <c r="C252" s="18" t="str">
        <f>IF('Dashboard 입력'!AD256="","",'Dashboard 입력'!AD256)</f>
        <v/>
      </c>
      <c r="D252" s="18" t="str">
        <f>IF('Dashboard 입력'!AE256="","",'Dashboard 입력'!AE256)</f>
        <v/>
      </c>
      <c r="E252" s="118" t="str">
        <f>IF('Dashboard 입력'!AI256="", "", 'Dashboard 입력'!AI256 &amp; " (" &amp; 'Dashboard 입력'!AF256 &amp; ")")</f>
        <v/>
      </c>
      <c r="F252" s="118" t="str">
        <f>IF('Dashboard 입력'!AJ256="", "", 'Dashboard 입력'!AJ256 &amp; " (" &amp; 'Dashboard 입력'!AG256 &amp; ")")</f>
        <v/>
      </c>
      <c r="G252" s="118" t="str">
        <f>IF(위험성평가_입력[[#This Row],[위험성]]="","", 위험성평가_입력[[#This Row],[위험성]] &amp; " (" &amp; 위험성평가_입력[[#This Row],[위험도(전)]] &amp; ")")</f>
        <v/>
      </c>
      <c r="H252" s="116"/>
    </row>
    <row r="253" spans="1:8" ht="25" customHeight="1">
      <c r="A253" s="118" t="str">
        <f>IF('Dashboard 입력'!AB257="","",'Dashboard 입력'!AB257)</f>
        <v/>
      </c>
      <c r="B253" s="18" t="str">
        <f>IF('Dashboard 입력'!AC257="","",'Dashboard 입력'!AC257)</f>
        <v/>
      </c>
      <c r="C253" s="18" t="str">
        <f>IF('Dashboard 입력'!AD257="","",'Dashboard 입력'!AD257)</f>
        <v/>
      </c>
      <c r="D253" s="18" t="str">
        <f>IF('Dashboard 입력'!AE257="","",'Dashboard 입력'!AE257)</f>
        <v/>
      </c>
      <c r="E253" s="118" t="str">
        <f>IF('Dashboard 입력'!AI257="", "", 'Dashboard 입력'!AI257 &amp; " (" &amp; 'Dashboard 입력'!AF257 &amp; ")")</f>
        <v/>
      </c>
      <c r="F253" s="118" t="str">
        <f>IF('Dashboard 입력'!AJ257="", "", 'Dashboard 입력'!AJ257 &amp; " (" &amp; 'Dashboard 입력'!AG257 &amp; ")")</f>
        <v/>
      </c>
      <c r="G253" s="118" t="str">
        <f>IF(위험성평가_입력[[#This Row],[위험성]]="","", 위험성평가_입력[[#This Row],[위험성]] &amp; " (" &amp; 위험성평가_입력[[#This Row],[위험도(전)]] &amp; ")")</f>
        <v/>
      </c>
      <c r="H253" s="116"/>
    </row>
    <row r="254" spans="1:8" ht="25" customHeight="1">
      <c r="A254" s="118" t="str">
        <f>IF('Dashboard 입력'!AB258="","",'Dashboard 입력'!AB258)</f>
        <v/>
      </c>
      <c r="B254" s="18" t="str">
        <f>IF('Dashboard 입력'!AC258="","",'Dashboard 입력'!AC258)</f>
        <v/>
      </c>
      <c r="C254" s="18" t="str">
        <f>IF('Dashboard 입력'!AD258="","",'Dashboard 입력'!AD258)</f>
        <v/>
      </c>
      <c r="D254" s="18" t="str">
        <f>IF('Dashboard 입력'!AE258="","",'Dashboard 입력'!AE258)</f>
        <v/>
      </c>
      <c r="E254" s="118" t="str">
        <f>IF('Dashboard 입력'!AI258="", "", 'Dashboard 입력'!AI258 &amp; " (" &amp; 'Dashboard 입력'!AF258 &amp; ")")</f>
        <v/>
      </c>
      <c r="F254" s="118" t="str">
        <f>IF('Dashboard 입력'!AJ258="", "", 'Dashboard 입력'!AJ258 &amp; " (" &amp; 'Dashboard 입력'!AG258 &amp; ")")</f>
        <v/>
      </c>
      <c r="G254" s="118" t="str">
        <f>IF(위험성평가_입력[[#This Row],[위험성]]="","", 위험성평가_입력[[#This Row],[위험성]] &amp; " (" &amp; 위험성평가_입력[[#This Row],[위험도(전)]] &amp; ")")</f>
        <v/>
      </c>
      <c r="H254" s="116"/>
    </row>
    <row r="255" spans="1:8" ht="25" customHeight="1">
      <c r="A255" s="118" t="str">
        <f>IF('Dashboard 입력'!AB259="","",'Dashboard 입력'!AB259)</f>
        <v/>
      </c>
      <c r="B255" s="18" t="str">
        <f>IF('Dashboard 입력'!AC259="","",'Dashboard 입력'!AC259)</f>
        <v/>
      </c>
      <c r="C255" s="18" t="str">
        <f>IF('Dashboard 입력'!AD259="","",'Dashboard 입력'!AD259)</f>
        <v/>
      </c>
      <c r="D255" s="18" t="str">
        <f>IF('Dashboard 입력'!AE259="","",'Dashboard 입력'!AE259)</f>
        <v/>
      </c>
      <c r="E255" s="118" t="str">
        <f>IF('Dashboard 입력'!AI259="", "", 'Dashboard 입력'!AI259 &amp; " (" &amp; 'Dashboard 입력'!AF259 &amp; ")")</f>
        <v/>
      </c>
      <c r="F255" s="118" t="str">
        <f>IF('Dashboard 입력'!AJ259="", "", 'Dashboard 입력'!AJ259 &amp; " (" &amp; 'Dashboard 입력'!AG259 &amp; ")")</f>
        <v/>
      </c>
      <c r="G255" s="118" t="str">
        <f>IF(위험성평가_입력[[#This Row],[위험성]]="","", 위험성평가_입력[[#This Row],[위험성]] &amp; " (" &amp; 위험성평가_입력[[#This Row],[위험도(전)]] &amp; ")")</f>
        <v/>
      </c>
      <c r="H255" s="116"/>
    </row>
    <row r="256" spans="1:8" ht="25" customHeight="1">
      <c r="A256" s="118" t="str">
        <f>IF('Dashboard 입력'!AB260="","",'Dashboard 입력'!AB260)</f>
        <v/>
      </c>
      <c r="B256" s="18" t="str">
        <f>IF('Dashboard 입력'!AC260="","",'Dashboard 입력'!AC260)</f>
        <v/>
      </c>
      <c r="C256" s="18" t="str">
        <f>IF('Dashboard 입력'!AD260="","",'Dashboard 입력'!AD260)</f>
        <v/>
      </c>
      <c r="D256" s="18" t="str">
        <f>IF('Dashboard 입력'!AE260="","",'Dashboard 입력'!AE260)</f>
        <v/>
      </c>
      <c r="E256" s="118" t="str">
        <f>IF('Dashboard 입력'!AI260="", "", 'Dashboard 입력'!AI260 &amp; " (" &amp; 'Dashboard 입력'!AF260 &amp; ")")</f>
        <v/>
      </c>
      <c r="F256" s="118" t="str">
        <f>IF('Dashboard 입력'!AJ260="", "", 'Dashboard 입력'!AJ260 &amp; " (" &amp; 'Dashboard 입력'!AG260 &amp; ")")</f>
        <v/>
      </c>
      <c r="G256" s="118" t="str">
        <f>IF(위험성평가_입력[[#This Row],[위험성]]="","", 위험성평가_입력[[#This Row],[위험성]] &amp; " (" &amp; 위험성평가_입력[[#This Row],[위험도(전)]] &amp; ")")</f>
        <v/>
      </c>
      <c r="H256" s="116"/>
    </row>
    <row r="257" spans="1:8" ht="25" customHeight="1">
      <c r="A257" s="118" t="str">
        <f>IF('Dashboard 입력'!AB261="","",'Dashboard 입력'!AB261)</f>
        <v/>
      </c>
      <c r="B257" s="18" t="str">
        <f>IF('Dashboard 입력'!AC261="","",'Dashboard 입력'!AC261)</f>
        <v/>
      </c>
      <c r="C257" s="18" t="str">
        <f>IF('Dashboard 입력'!AD261="","",'Dashboard 입력'!AD261)</f>
        <v/>
      </c>
      <c r="D257" s="18" t="str">
        <f>IF('Dashboard 입력'!AE261="","",'Dashboard 입력'!AE261)</f>
        <v/>
      </c>
      <c r="E257" s="118" t="str">
        <f>IF('Dashboard 입력'!AI261="", "", 'Dashboard 입력'!AI261 &amp; " (" &amp; 'Dashboard 입력'!AF261 &amp; ")")</f>
        <v/>
      </c>
      <c r="F257" s="118" t="str">
        <f>IF('Dashboard 입력'!AJ261="", "", 'Dashboard 입력'!AJ261 &amp; " (" &amp; 'Dashboard 입력'!AG261 &amp; ")")</f>
        <v/>
      </c>
      <c r="G257" s="118" t="str">
        <f>IF(위험성평가_입력[[#This Row],[위험성]]="","", 위험성평가_입력[[#This Row],[위험성]] &amp; " (" &amp; 위험성평가_입력[[#This Row],[위험도(전)]] &amp; ")")</f>
        <v/>
      </c>
      <c r="H257" s="116"/>
    </row>
    <row r="258" spans="1:8" ht="25" customHeight="1">
      <c r="A258" s="118" t="str">
        <f>IF('Dashboard 입력'!AB262="","",'Dashboard 입력'!AB262)</f>
        <v/>
      </c>
      <c r="B258" s="18" t="str">
        <f>IF('Dashboard 입력'!AC262="","",'Dashboard 입력'!AC262)</f>
        <v/>
      </c>
      <c r="C258" s="18" t="str">
        <f>IF('Dashboard 입력'!AD262="","",'Dashboard 입력'!AD262)</f>
        <v/>
      </c>
      <c r="D258" s="18" t="str">
        <f>IF('Dashboard 입력'!AE262="","",'Dashboard 입력'!AE262)</f>
        <v/>
      </c>
      <c r="E258" s="118" t="str">
        <f>IF('Dashboard 입력'!AI262="", "", 'Dashboard 입력'!AI262 &amp; " (" &amp; 'Dashboard 입력'!AF262 &amp; ")")</f>
        <v/>
      </c>
      <c r="F258" s="118" t="str">
        <f>IF('Dashboard 입력'!AJ262="", "", 'Dashboard 입력'!AJ262 &amp; " (" &amp; 'Dashboard 입력'!AG262 &amp; ")")</f>
        <v/>
      </c>
      <c r="G258" s="118" t="str">
        <f>IF(위험성평가_입력[[#This Row],[위험성]]="","", 위험성평가_입력[[#This Row],[위험성]] &amp; " (" &amp; 위험성평가_입력[[#This Row],[위험도(전)]] &amp; ")")</f>
        <v/>
      </c>
      <c r="H258" s="116"/>
    </row>
    <row r="259" spans="1:8" ht="25" customHeight="1">
      <c r="A259" s="118" t="str">
        <f>IF('Dashboard 입력'!AB263="","",'Dashboard 입력'!AB263)</f>
        <v/>
      </c>
      <c r="B259" s="18" t="str">
        <f>IF('Dashboard 입력'!AC263="","",'Dashboard 입력'!AC263)</f>
        <v/>
      </c>
      <c r="C259" s="18" t="str">
        <f>IF('Dashboard 입력'!AD263="","",'Dashboard 입력'!AD263)</f>
        <v/>
      </c>
      <c r="D259" s="18" t="str">
        <f>IF('Dashboard 입력'!AE263="","",'Dashboard 입력'!AE263)</f>
        <v/>
      </c>
      <c r="E259" s="118" t="str">
        <f>IF('Dashboard 입력'!AI263="", "", 'Dashboard 입력'!AI263 &amp; " (" &amp; 'Dashboard 입력'!AF263 &amp; ")")</f>
        <v/>
      </c>
      <c r="F259" s="118" t="str">
        <f>IF('Dashboard 입력'!AJ263="", "", 'Dashboard 입력'!AJ263 &amp; " (" &amp; 'Dashboard 입력'!AG263 &amp; ")")</f>
        <v/>
      </c>
      <c r="G259" s="118" t="str">
        <f>IF(위험성평가_입력[[#This Row],[위험성]]="","", 위험성평가_입력[[#This Row],[위험성]] &amp; " (" &amp; 위험성평가_입력[[#This Row],[위험도(전)]] &amp; ")")</f>
        <v/>
      </c>
      <c r="H259" s="116"/>
    </row>
    <row r="260" spans="1:8" ht="25" customHeight="1">
      <c r="A260" s="118" t="str">
        <f>IF('Dashboard 입력'!AB264="","",'Dashboard 입력'!AB264)</f>
        <v/>
      </c>
      <c r="B260" s="18" t="str">
        <f>IF('Dashboard 입력'!AC264="","",'Dashboard 입력'!AC264)</f>
        <v/>
      </c>
      <c r="C260" s="18" t="str">
        <f>IF('Dashboard 입력'!AD264="","",'Dashboard 입력'!AD264)</f>
        <v/>
      </c>
      <c r="D260" s="18" t="str">
        <f>IF('Dashboard 입력'!AE264="","",'Dashboard 입력'!AE264)</f>
        <v/>
      </c>
      <c r="E260" s="118" t="str">
        <f>IF('Dashboard 입력'!AI264="", "", 'Dashboard 입력'!AI264 &amp; " (" &amp; 'Dashboard 입력'!AF264 &amp; ")")</f>
        <v/>
      </c>
      <c r="F260" s="118" t="str">
        <f>IF('Dashboard 입력'!AJ264="", "", 'Dashboard 입력'!AJ264 &amp; " (" &amp; 'Dashboard 입력'!AG264 &amp; ")")</f>
        <v/>
      </c>
      <c r="G260" s="118" t="str">
        <f>IF(위험성평가_입력[[#This Row],[위험성]]="","", 위험성평가_입력[[#This Row],[위험성]] &amp; " (" &amp; 위험성평가_입력[[#This Row],[위험도(전)]] &amp; ")")</f>
        <v/>
      </c>
      <c r="H260" s="116"/>
    </row>
    <row r="261" spans="1:8" ht="25" customHeight="1">
      <c r="A261" s="118" t="str">
        <f>IF('Dashboard 입력'!AB265="","",'Dashboard 입력'!AB265)</f>
        <v/>
      </c>
      <c r="B261" s="18" t="str">
        <f>IF('Dashboard 입력'!AC265="","",'Dashboard 입력'!AC265)</f>
        <v/>
      </c>
      <c r="C261" s="18" t="str">
        <f>IF('Dashboard 입력'!AD265="","",'Dashboard 입력'!AD265)</f>
        <v/>
      </c>
      <c r="D261" s="18" t="str">
        <f>IF('Dashboard 입력'!AE265="","",'Dashboard 입력'!AE265)</f>
        <v/>
      </c>
      <c r="E261" s="118" t="str">
        <f>IF('Dashboard 입력'!AI265="", "", 'Dashboard 입력'!AI265 &amp; " (" &amp; 'Dashboard 입력'!AF265 &amp; ")")</f>
        <v/>
      </c>
      <c r="F261" s="118" t="str">
        <f>IF('Dashboard 입력'!AJ265="", "", 'Dashboard 입력'!AJ265 &amp; " (" &amp; 'Dashboard 입력'!AG265 &amp; ")")</f>
        <v/>
      </c>
      <c r="G261" s="118" t="str">
        <f>IF(위험성평가_입력[[#This Row],[위험성]]="","", 위험성평가_입력[[#This Row],[위험성]] &amp; " (" &amp; 위험성평가_입력[[#This Row],[위험도(전)]] &amp; ")")</f>
        <v/>
      </c>
      <c r="H261" s="116"/>
    </row>
    <row r="262" spans="1:8" ht="25" customHeight="1">
      <c r="A262" s="118" t="str">
        <f>IF('Dashboard 입력'!AB266="","",'Dashboard 입력'!AB266)</f>
        <v/>
      </c>
      <c r="B262" s="18" t="str">
        <f>IF('Dashboard 입력'!AC266="","",'Dashboard 입력'!AC266)</f>
        <v/>
      </c>
      <c r="C262" s="18" t="str">
        <f>IF('Dashboard 입력'!AD266="","",'Dashboard 입력'!AD266)</f>
        <v/>
      </c>
      <c r="D262" s="18" t="str">
        <f>IF('Dashboard 입력'!AE266="","",'Dashboard 입력'!AE266)</f>
        <v/>
      </c>
      <c r="E262" s="118" t="str">
        <f>IF('Dashboard 입력'!AI266="", "", 'Dashboard 입력'!AI266 &amp; " (" &amp; 'Dashboard 입력'!AF266 &amp; ")")</f>
        <v/>
      </c>
      <c r="F262" s="118" t="str">
        <f>IF('Dashboard 입력'!AJ266="", "", 'Dashboard 입력'!AJ266 &amp; " (" &amp; 'Dashboard 입력'!AG266 &amp; ")")</f>
        <v/>
      </c>
      <c r="G262" s="118" t="str">
        <f>IF(위험성평가_입력[[#This Row],[위험성]]="","", 위험성평가_입력[[#This Row],[위험성]] &amp; " (" &amp; 위험성평가_입력[[#This Row],[위험도(전)]] &amp; ")")</f>
        <v/>
      </c>
      <c r="H262" s="116"/>
    </row>
    <row r="263" spans="1:8" ht="25" customHeight="1">
      <c r="A263" s="118" t="str">
        <f>IF('Dashboard 입력'!AB267="","",'Dashboard 입력'!AB267)</f>
        <v/>
      </c>
      <c r="B263" s="18" t="str">
        <f>IF('Dashboard 입력'!AC267="","",'Dashboard 입력'!AC267)</f>
        <v/>
      </c>
      <c r="C263" s="18" t="str">
        <f>IF('Dashboard 입력'!AD267="","",'Dashboard 입력'!AD267)</f>
        <v/>
      </c>
      <c r="D263" s="18" t="str">
        <f>IF('Dashboard 입력'!AE267="","",'Dashboard 입력'!AE267)</f>
        <v/>
      </c>
      <c r="E263" s="118" t="str">
        <f>IF('Dashboard 입력'!AI267="", "", 'Dashboard 입력'!AI267 &amp; " (" &amp; 'Dashboard 입력'!AF267 &amp; ")")</f>
        <v/>
      </c>
      <c r="F263" s="118" t="str">
        <f>IF('Dashboard 입력'!AJ267="", "", 'Dashboard 입력'!AJ267 &amp; " (" &amp; 'Dashboard 입력'!AG267 &amp; ")")</f>
        <v/>
      </c>
      <c r="G263" s="118" t="str">
        <f>IF(위험성평가_입력[[#This Row],[위험성]]="","", 위험성평가_입력[[#This Row],[위험성]] &amp; " (" &amp; 위험성평가_입력[[#This Row],[위험도(전)]] &amp; ")")</f>
        <v/>
      </c>
      <c r="H263" s="116"/>
    </row>
    <row r="264" spans="1:8" ht="25" customHeight="1">
      <c r="A264" s="118" t="str">
        <f>IF('Dashboard 입력'!AB268="","",'Dashboard 입력'!AB268)</f>
        <v/>
      </c>
      <c r="B264" s="18" t="str">
        <f>IF('Dashboard 입력'!AC268="","",'Dashboard 입력'!AC268)</f>
        <v/>
      </c>
      <c r="C264" s="18" t="str">
        <f>IF('Dashboard 입력'!AD268="","",'Dashboard 입력'!AD268)</f>
        <v/>
      </c>
      <c r="D264" s="18" t="str">
        <f>IF('Dashboard 입력'!AE268="","",'Dashboard 입력'!AE268)</f>
        <v/>
      </c>
      <c r="E264" s="118" t="str">
        <f>IF('Dashboard 입력'!AI268="", "", 'Dashboard 입력'!AI268 &amp; " (" &amp; 'Dashboard 입력'!AF268 &amp; ")")</f>
        <v/>
      </c>
      <c r="F264" s="118" t="str">
        <f>IF('Dashboard 입력'!AJ268="", "", 'Dashboard 입력'!AJ268 &amp; " (" &amp; 'Dashboard 입력'!AG268 &amp; ")")</f>
        <v/>
      </c>
      <c r="G264" s="118" t="str">
        <f>IF(위험성평가_입력[[#This Row],[위험성]]="","", 위험성평가_입력[[#This Row],[위험성]] &amp; " (" &amp; 위험성평가_입력[[#This Row],[위험도(전)]] &amp; ")")</f>
        <v/>
      </c>
      <c r="H264" s="116"/>
    </row>
    <row r="265" spans="1:8" ht="25" customHeight="1">
      <c r="A265" s="118" t="str">
        <f>IF('Dashboard 입력'!AB269="","",'Dashboard 입력'!AB269)</f>
        <v/>
      </c>
      <c r="B265" s="18" t="str">
        <f>IF('Dashboard 입력'!AC269="","",'Dashboard 입력'!AC269)</f>
        <v/>
      </c>
      <c r="C265" s="18" t="str">
        <f>IF('Dashboard 입력'!AD269="","",'Dashboard 입력'!AD269)</f>
        <v/>
      </c>
      <c r="D265" s="18" t="str">
        <f>IF('Dashboard 입력'!AE269="","",'Dashboard 입력'!AE269)</f>
        <v/>
      </c>
      <c r="E265" s="118" t="str">
        <f>IF('Dashboard 입력'!AI269="", "", 'Dashboard 입력'!AI269 &amp; " (" &amp; 'Dashboard 입력'!AF269 &amp; ")")</f>
        <v/>
      </c>
      <c r="F265" s="118" t="str">
        <f>IF('Dashboard 입력'!AJ269="", "", 'Dashboard 입력'!AJ269 &amp; " (" &amp; 'Dashboard 입력'!AG269 &amp; ")")</f>
        <v/>
      </c>
      <c r="G265" s="118" t="str">
        <f>IF(위험성평가_입력[[#This Row],[위험성]]="","", 위험성평가_입력[[#This Row],[위험성]] &amp; " (" &amp; 위험성평가_입력[[#This Row],[위험도(전)]] &amp; ")")</f>
        <v/>
      </c>
      <c r="H265" s="116"/>
    </row>
    <row r="266" spans="1:8" ht="25" customHeight="1">
      <c r="A266" s="118" t="str">
        <f>IF('Dashboard 입력'!AB270="","",'Dashboard 입력'!AB270)</f>
        <v/>
      </c>
      <c r="B266" s="18" t="str">
        <f>IF('Dashboard 입력'!AC270="","",'Dashboard 입력'!AC270)</f>
        <v/>
      </c>
      <c r="C266" s="18" t="str">
        <f>IF('Dashboard 입력'!AD270="","",'Dashboard 입력'!AD270)</f>
        <v/>
      </c>
      <c r="D266" s="18" t="str">
        <f>IF('Dashboard 입력'!AE270="","",'Dashboard 입력'!AE270)</f>
        <v/>
      </c>
      <c r="E266" s="118" t="str">
        <f>IF('Dashboard 입력'!AI270="", "", 'Dashboard 입력'!AI270 &amp; " (" &amp; 'Dashboard 입력'!AF270 &amp; ")")</f>
        <v/>
      </c>
      <c r="F266" s="118" t="str">
        <f>IF('Dashboard 입력'!AJ270="", "", 'Dashboard 입력'!AJ270 &amp; " (" &amp; 'Dashboard 입력'!AG270 &amp; ")")</f>
        <v/>
      </c>
      <c r="G266" s="118" t="str">
        <f>IF(위험성평가_입력[[#This Row],[위험성]]="","", 위험성평가_입력[[#This Row],[위험성]] &amp; " (" &amp; 위험성평가_입력[[#This Row],[위험도(전)]] &amp; ")")</f>
        <v/>
      </c>
      <c r="H266" s="116"/>
    </row>
    <row r="267" spans="1:8" ht="25" customHeight="1">
      <c r="A267" s="118" t="str">
        <f>IF('Dashboard 입력'!AB271="","",'Dashboard 입력'!AB271)</f>
        <v/>
      </c>
      <c r="B267" s="18" t="str">
        <f>IF('Dashboard 입력'!AC271="","",'Dashboard 입력'!AC271)</f>
        <v/>
      </c>
      <c r="C267" s="18" t="str">
        <f>IF('Dashboard 입력'!AD271="","",'Dashboard 입력'!AD271)</f>
        <v/>
      </c>
      <c r="D267" s="18" t="str">
        <f>IF('Dashboard 입력'!AE271="","",'Dashboard 입력'!AE271)</f>
        <v/>
      </c>
      <c r="E267" s="118" t="str">
        <f>IF('Dashboard 입력'!AI271="", "", 'Dashboard 입력'!AI271 &amp; " (" &amp; 'Dashboard 입력'!AF271 &amp; ")")</f>
        <v/>
      </c>
      <c r="F267" s="118" t="str">
        <f>IF('Dashboard 입력'!AJ271="", "", 'Dashboard 입력'!AJ271 &amp; " (" &amp; 'Dashboard 입력'!AG271 &amp; ")")</f>
        <v/>
      </c>
      <c r="G267" s="118" t="str">
        <f>IF(위험성평가_입력[[#This Row],[위험성]]="","", 위험성평가_입력[[#This Row],[위험성]] &amp; " (" &amp; 위험성평가_입력[[#This Row],[위험도(전)]] &amp; ")")</f>
        <v/>
      </c>
      <c r="H267" s="116"/>
    </row>
    <row r="268" spans="1:8" ht="25" customHeight="1">
      <c r="A268" s="118" t="str">
        <f>IF('Dashboard 입력'!AB272="","",'Dashboard 입력'!AB272)</f>
        <v/>
      </c>
      <c r="B268" s="18" t="str">
        <f>IF('Dashboard 입력'!AC272="","",'Dashboard 입력'!AC272)</f>
        <v/>
      </c>
      <c r="C268" s="18" t="str">
        <f>IF('Dashboard 입력'!AD272="","",'Dashboard 입력'!AD272)</f>
        <v/>
      </c>
      <c r="D268" s="18" t="str">
        <f>IF('Dashboard 입력'!AE272="","",'Dashboard 입력'!AE272)</f>
        <v/>
      </c>
      <c r="E268" s="118" t="str">
        <f>IF('Dashboard 입력'!AI272="", "", 'Dashboard 입력'!AI272 &amp; " (" &amp; 'Dashboard 입력'!AF272 &amp; ")")</f>
        <v/>
      </c>
      <c r="F268" s="118" t="str">
        <f>IF('Dashboard 입력'!AJ272="", "", 'Dashboard 입력'!AJ272 &amp; " (" &amp; 'Dashboard 입력'!AG272 &amp; ")")</f>
        <v/>
      </c>
      <c r="G268" s="118" t="str">
        <f>IF(위험성평가_입력[[#This Row],[위험성]]="","", 위험성평가_입력[[#This Row],[위험성]] &amp; " (" &amp; 위험성평가_입력[[#This Row],[위험도(전)]] &amp; ")")</f>
        <v/>
      </c>
      <c r="H268" s="116"/>
    </row>
    <row r="269" spans="1:8" ht="25" customHeight="1">
      <c r="A269" s="118" t="str">
        <f>IF('Dashboard 입력'!AB273="","",'Dashboard 입력'!AB273)</f>
        <v/>
      </c>
      <c r="B269" s="18" t="str">
        <f>IF('Dashboard 입력'!AC273="","",'Dashboard 입력'!AC273)</f>
        <v/>
      </c>
      <c r="C269" s="18" t="str">
        <f>IF('Dashboard 입력'!AD273="","",'Dashboard 입력'!AD273)</f>
        <v/>
      </c>
      <c r="D269" s="18" t="str">
        <f>IF('Dashboard 입력'!AE273="","",'Dashboard 입력'!AE273)</f>
        <v/>
      </c>
      <c r="E269" s="118" t="str">
        <f>IF('Dashboard 입력'!AI273="", "", 'Dashboard 입력'!AI273 &amp; " (" &amp; 'Dashboard 입력'!AF273 &amp; ")")</f>
        <v/>
      </c>
      <c r="F269" s="118" t="str">
        <f>IF('Dashboard 입력'!AJ273="", "", 'Dashboard 입력'!AJ273 &amp; " (" &amp; 'Dashboard 입력'!AG273 &amp; ")")</f>
        <v/>
      </c>
      <c r="G269" s="118" t="str">
        <f>IF(위험성평가_입력[[#This Row],[위험성]]="","", 위험성평가_입력[[#This Row],[위험성]] &amp; " (" &amp; 위험성평가_입력[[#This Row],[위험도(전)]] &amp; ")")</f>
        <v/>
      </c>
      <c r="H269" s="116"/>
    </row>
    <row r="270" spans="1:8" ht="25" customHeight="1">
      <c r="A270" s="118" t="str">
        <f>IF('Dashboard 입력'!AB274="","",'Dashboard 입력'!AB274)</f>
        <v/>
      </c>
      <c r="B270" s="18" t="str">
        <f>IF('Dashboard 입력'!AC274="","",'Dashboard 입력'!AC274)</f>
        <v/>
      </c>
      <c r="C270" s="18" t="str">
        <f>IF('Dashboard 입력'!AD274="","",'Dashboard 입력'!AD274)</f>
        <v/>
      </c>
      <c r="D270" s="18" t="str">
        <f>IF('Dashboard 입력'!AE274="","",'Dashboard 입력'!AE274)</f>
        <v/>
      </c>
      <c r="E270" s="118" t="str">
        <f>IF('Dashboard 입력'!AI274="", "", 'Dashboard 입력'!AI274 &amp; " (" &amp; 'Dashboard 입력'!AF274 &amp; ")")</f>
        <v/>
      </c>
      <c r="F270" s="118" t="str">
        <f>IF('Dashboard 입력'!AJ274="", "", 'Dashboard 입력'!AJ274 &amp; " (" &amp; 'Dashboard 입력'!AG274 &amp; ")")</f>
        <v/>
      </c>
      <c r="G270" s="118" t="str">
        <f>IF(위험성평가_입력[[#This Row],[위험성]]="","", 위험성평가_입력[[#This Row],[위험성]] &amp; " (" &amp; 위험성평가_입력[[#This Row],[위험도(전)]] &amp; ")")</f>
        <v/>
      </c>
      <c r="H270" s="116"/>
    </row>
    <row r="271" spans="1:8" ht="25" customHeight="1">
      <c r="A271" s="118" t="str">
        <f>IF('Dashboard 입력'!AB275="","",'Dashboard 입력'!AB275)</f>
        <v/>
      </c>
      <c r="B271" s="18" t="str">
        <f>IF('Dashboard 입력'!AC275="","",'Dashboard 입력'!AC275)</f>
        <v/>
      </c>
      <c r="C271" s="18" t="str">
        <f>IF('Dashboard 입력'!AD275="","",'Dashboard 입력'!AD275)</f>
        <v/>
      </c>
      <c r="D271" s="18" t="str">
        <f>IF('Dashboard 입력'!AE275="","",'Dashboard 입력'!AE275)</f>
        <v/>
      </c>
      <c r="E271" s="118" t="str">
        <f>IF('Dashboard 입력'!AI275="", "", 'Dashboard 입력'!AI275 &amp; " (" &amp; 'Dashboard 입력'!AF275 &amp; ")")</f>
        <v/>
      </c>
      <c r="F271" s="118" t="str">
        <f>IF('Dashboard 입력'!AJ275="", "", 'Dashboard 입력'!AJ275 &amp; " (" &amp; 'Dashboard 입력'!AG275 &amp; ")")</f>
        <v/>
      </c>
      <c r="G271" s="118" t="str">
        <f>IF(위험성평가_입력[[#This Row],[위험성]]="","", 위험성평가_입력[[#This Row],[위험성]] &amp; " (" &amp; 위험성평가_입력[[#This Row],[위험도(전)]] &amp; ")")</f>
        <v/>
      </c>
      <c r="H271" s="116"/>
    </row>
    <row r="272" spans="1:8" ht="25" customHeight="1">
      <c r="A272" s="118" t="str">
        <f>IF('Dashboard 입력'!AB276="","",'Dashboard 입력'!AB276)</f>
        <v/>
      </c>
      <c r="B272" s="18" t="str">
        <f>IF('Dashboard 입력'!AC276="","",'Dashboard 입력'!AC276)</f>
        <v/>
      </c>
      <c r="C272" s="18" t="str">
        <f>IF('Dashboard 입력'!AD276="","",'Dashboard 입력'!AD276)</f>
        <v/>
      </c>
      <c r="D272" s="18" t="str">
        <f>IF('Dashboard 입력'!AE276="","",'Dashboard 입력'!AE276)</f>
        <v/>
      </c>
      <c r="E272" s="118" t="str">
        <f>IF('Dashboard 입력'!AI276="", "", 'Dashboard 입력'!AI276 &amp; " (" &amp; 'Dashboard 입력'!AF276 &amp; ")")</f>
        <v/>
      </c>
      <c r="F272" s="118" t="str">
        <f>IF('Dashboard 입력'!AJ276="", "", 'Dashboard 입력'!AJ276 &amp; " (" &amp; 'Dashboard 입력'!AG276 &amp; ")")</f>
        <v/>
      </c>
      <c r="G272" s="118" t="str">
        <f>IF(위험성평가_입력[[#This Row],[위험성]]="","", 위험성평가_입력[[#This Row],[위험성]] &amp; " (" &amp; 위험성평가_입력[[#This Row],[위험도(전)]] &amp; ")")</f>
        <v/>
      </c>
      <c r="H272" s="116"/>
    </row>
    <row r="273" spans="1:8" ht="25" customHeight="1">
      <c r="A273" s="118" t="str">
        <f>IF('Dashboard 입력'!AB277="","",'Dashboard 입력'!AB277)</f>
        <v/>
      </c>
      <c r="B273" s="18" t="str">
        <f>IF('Dashboard 입력'!AC277="","",'Dashboard 입력'!AC277)</f>
        <v/>
      </c>
      <c r="C273" s="18" t="str">
        <f>IF('Dashboard 입력'!AD277="","",'Dashboard 입력'!AD277)</f>
        <v/>
      </c>
      <c r="D273" s="18" t="str">
        <f>IF('Dashboard 입력'!AE277="","",'Dashboard 입력'!AE277)</f>
        <v/>
      </c>
      <c r="E273" s="118" t="str">
        <f>IF('Dashboard 입력'!AI277="", "", 'Dashboard 입력'!AI277 &amp; " (" &amp; 'Dashboard 입력'!AF277 &amp; ")")</f>
        <v/>
      </c>
      <c r="F273" s="118" t="str">
        <f>IF('Dashboard 입력'!AJ277="", "", 'Dashboard 입력'!AJ277 &amp; " (" &amp; 'Dashboard 입력'!AG277 &amp; ")")</f>
        <v/>
      </c>
      <c r="G273" s="118" t="str">
        <f>IF(위험성평가_입력[[#This Row],[위험성]]="","", 위험성평가_입력[[#This Row],[위험성]] &amp; " (" &amp; 위험성평가_입력[[#This Row],[위험도(전)]] &amp; ")")</f>
        <v/>
      </c>
      <c r="H273" s="116"/>
    </row>
    <row r="274" spans="1:8" ht="25" customHeight="1">
      <c r="A274" s="118" t="str">
        <f>IF('Dashboard 입력'!AB278="","",'Dashboard 입력'!AB278)</f>
        <v/>
      </c>
      <c r="B274" s="18" t="str">
        <f>IF('Dashboard 입력'!AC278="","",'Dashboard 입력'!AC278)</f>
        <v/>
      </c>
      <c r="C274" s="18" t="str">
        <f>IF('Dashboard 입력'!AD278="","",'Dashboard 입력'!AD278)</f>
        <v/>
      </c>
      <c r="D274" s="18" t="str">
        <f>IF('Dashboard 입력'!AE278="","",'Dashboard 입력'!AE278)</f>
        <v/>
      </c>
      <c r="E274" s="118" t="str">
        <f>IF('Dashboard 입력'!AI278="", "", 'Dashboard 입력'!AI278 &amp; " (" &amp; 'Dashboard 입력'!AF278 &amp; ")")</f>
        <v/>
      </c>
      <c r="F274" s="118" t="str">
        <f>IF('Dashboard 입력'!AJ278="", "", 'Dashboard 입력'!AJ278 &amp; " (" &amp; 'Dashboard 입력'!AG278 &amp; ")")</f>
        <v/>
      </c>
      <c r="G274" s="118" t="str">
        <f>IF(위험성평가_입력[[#This Row],[위험성]]="","", 위험성평가_입력[[#This Row],[위험성]] &amp; " (" &amp; 위험성평가_입력[[#This Row],[위험도(전)]] &amp; ")")</f>
        <v/>
      </c>
      <c r="H274" s="116"/>
    </row>
    <row r="275" spans="1:8" ht="25" customHeight="1">
      <c r="A275" s="118" t="str">
        <f>IF('Dashboard 입력'!AB279="","",'Dashboard 입력'!AB279)</f>
        <v/>
      </c>
      <c r="B275" s="18" t="str">
        <f>IF('Dashboard 입력'!AC279="","",'Dashboard 입력'!AC279)</f>
        <v/>
      </c>
      <c r="C275" s="18" t="str">
        <f>IF('Dashboard 입력'!AD279="","",'Dashboard 입력'!AD279)</f>
        <v/>
      </c>
      <c r="D275" s="18" t="str">
        <f>IF('Dashboard 입력'!AE279="","",'Dashboard 입력'!AE279)</f>
        <v/>
      </c>
      <c r="E275" s="118" t="str">
        <f>IF('Dashboard 입력'!AI279="", "", 'Dashboard 입력'!AI279 &amp; " (" &amp; 'Dashboard 입력'!AF279 &amp; ")")</f>
        <v/>
      </c>
      <c r="F275" s="118" t="str">
        <f>IF('Dashboard 입력'!AJ279="", "", 'Dashboard 입력'!AJ279 &amp; " (" &amp; 'Dashboard 입력'!AG279 &amp; ")")</f>
        <v/>
      </c>
      <c r="G275" s="118" t="str">
        <f>IF(위험성평가_입력[[#This Row],[위험성]]="","", 위험성평가_입력[[#This Row],[위험성]] &amp; " (" &amp; 위험성평가_입력[[#This Row],[위험도(전)]] &amp; ")")</f>
        <v/>
      </c>
      <c r="H275" s="116"/>
    </row>
    <row r="276" spans="1:8" ht="25" customHeight="1">
      <c r="A276" s="118" t="str">
        <f>IF('Dashboard 입력'!AB280="","",'Dashboard 입력'!AB280)</f>
        <v/>
      </c>
      <c r="B276" s="18" t="str">
        <f>IF('Dashboard 입력'!AC280="","",'Dashboard 입력'!AC280)</f>
        <v/>
      </c>
      <c r="C276" s="18" t="str">
        <f>IF('Dashboard 입력'!AD280="","",'Dashboard 입력'!AD280)</f>
        <v/>
      </c>
      <c r="D276" s="18" t="str">
        <f>IF('Dashboard 입력'!AE280="","",'Dashboard 입력'!AE280)</f>
        <v/>
      </c>
      <c r="E276" s="118" t="str">
        <f>IF('Dashboard 입력'!AI280="", "", 'Dashboard 입력'!AI280 &amp; " (" &amp; 'Dashboard 입력'!AF280 &amp; ")")</f>
        <v/>
      </c>
      <c r="F276" s="118" t="str">
        <f>IF('Dashboard 입력'!AJ280="", "", 'Dashboard 입력'!AJ280 &amp; " (" &amp; 'Dashboard 입력'!AG280 &amp; ")")</f>
        <v/>
      </c>
      <c r="G276" s="118" t="str">
        <f>IF(위험성평가_입력[[#This Row],[위험성]]="","", 위험성평가_입력[[#This Row],[위험성]] &amp; " (" &amp; 위험성평가_입력[[#This Row],[위험도(전)]] &amp; ")")</f>
        <v/>
      </c>
      <c r="H276" s="116"/>
    </row>
    <row r="277" spans="1:8" ht="25" customHeight="1">
      <c r="A277" s="118" t="str">
        <f>IF('Dashboard 입력'!AB281="","",'Dashboard 입력'!AB281)</f>
        <v/>
      </c>
      <c r="B277" s="18" t="str">
        <f>IF('Dashboard 입력'!AC281="","",'Dashboard 입력'!AC281)</f>
        <v/>
      </c>
      <c r="C277" s="18" t="str">
        <f>IF('Dashboard 입력'!AD281="","",'Dashboard 입력'!AD281)</f>
        <v/>
      </c>
      <c r="D277" s="18" t="str">
        <f>IF('Dashboard 입력'!AE281="","",'Dashboard 입력'!AE281)</f>
        <v/>
      </c>
      <c r="E277" s="118" t="str">
        <f>IF('Dashboard 입력'!AI281="", "", 'Dashboard 입력'!AI281 &amp; " (" &amp; 'Dashboard 입력'!AF281 &amp; ")")</f>
        <v/>
      </c>
      <c r="F277" s="118" t="str">
        <f>IF('Dashboard 입력'!AJ281="", "", 'Dashboard 입력'!AJ281 &amp; " (" &amp; 'Dashboard 입력'!AG281 &amp; ")")</f>
        <v/>
      </c>
      <c r="G277" s="118" t="str">
        <f>IF(위험성평가_입력[[#This Row],[위험성]]="","", 위험성평가_입력[[#This Row],[위험성]] &amp; " (" &amp; 위험성평가_입력[[#This Row],[위험도(전)]] &amp; ")")</f>
        <v/>
      </c>
      <c r="H277" s="116"/>
    </row>
    <row r="278" spans="1:8" ht="25" customHeight="1">
      <c r="A278" s="118" t="str">
        <f>IF('Dashboard 입력'!AB282="","",'Dashboard 입력'!AB282)</f>
        <v/>
      </c>
      <c r="B278" s="18" t="str">
        <f>IF('Dashboard 입력'!AC282="","",'Dashboard 입력'!AC282)</f>
        <v/>
      </c>
      <c r="C278" s="18" t="str">
        <f>IF('Dashboard 입력'!AD282="","",'Dashboard 입력'!AD282)</f>
        <v/>
      </c>
      <c r="D278" s="18" t="str">
        <f>IF('Dashboard 입력'!AE282="","",'Dashboard 입력'!AE282)</f>
        <v/>
      </c>
      <c r="E278" s="118" t="str">
        <f>IF('Dashboard 입력'!AI282="", "", 'Dashboard 입력'!AI282 &amp; " (" &amp; 'Dashboard 입력'!AF282 &amp; ")")</f>
        <v/>
      </c>
      <c r="F278" s="118" t="str">
        <f>IF('Dashboard 입력'!AJ282="", "", 'Dashboard 입력'!AJ282 &amp; " (" &amp; 'Dashboard 입력'!AG282 &amp; ")")</f>
        <v/>
      </c>
      <c r="G278" s="118" t="str">
        <f>IF(위험성평가_입력[[#This Row],[위험성]]="","", 위험성평가_입력[[#This Row],[위험성]] &amp; " (" &amp; 위험성평가_입력[[#This Row],[위험도(전)]] &amp; ")")</f>
        <v/>
      </c>
      <c r="H278" s="116"/>
    </row>
    <row r="279" spans="1:8" ht="25" customHeight="1">
      <c r="A279" s="118" t="str">
        <f>IF('Dashboard 입력'!AB283="","",'Dashboard 입력'!AB283)</f>
        <v/>
      </c>
      <c r="B279" s="18" t="str">
        <f>IF('Dashboard 입력'!AC283="","",'Dashboard 입력'!AC283)</f>
        <v/>
      </c>
      <c r="C279" s="18" t="str">
        <f>IF('Dashboard 입력'!AD283="","",'Dashboard 입력'!AD283)</f>
        <v/>
      </c>
      <c r="D279" s="18" t="str">
        <f>IF('Dashboard 입력'!AE283="","",'Dashboard 입력'!AE283)</f>
        <v/>
      </c>
      <c r="E279" s="118" t="str">
        <f>IF('Dashboard 입력'!AI283="", "", 'Dashboard 입력'!AI283 &amp; " (" &amp; 'Dashboard 입력'!AF283 &amp; ")")</f>
        <v/>
      </c>
      <c r="F279" s="118" t="str">
        <f>IF('Dashboard 입력'!AJ283="", "", 'Dashboard 입력'!AJ283 &amp; " (" &amp; 'Dashboard 입력'!AG283 &amp; ")")</f>
        <v/>
      </c>
      <c r="G279" s="118" t="str">
        <f>IF(위험성평가_입력[[#This Row],[위험성]]="","", 위험성평가_입력[[#This Row],[위험성]] &amp; " (" &amp; 위험성평가_입력[[#This Row],[위험도(전)]] &amp; ")")</f>
        <v/>
      </c>
      <c r="H279" s="116"/>
    </row>
    <row r="280" spans="1:8" ht="25" customHeight="1">
      <c r="A280" s="118" t="str">
        <f>IF('Dashboard 입력'!AB284="","",'Dashboard 입력'!AB284)</f>
        <v/>
      </c>
      <c r="B280" s="18" t="str">
        <f>IF('Dashboard 입력'!AC284="","",'Dashboard 입력'!AC284)</f>
        <v/>
      </c>
      <c r="C280" s="18" t="str">
        <f>IF('Dashboard 입력'!AD284="","",'Dashboard 입력'!AD284)</f>
        <v/>
      </c>
      <c r="D280" s="18" t="str">
        <f>IF('Dashboard 입력'!AE284="","",'Dashboard 입력'!AE284)</f>
        <v/>
      </c>
      <c r="E280" s="118" t="str">
        <f>IF('Dashboard 입력'!AI284="", "", 'Dashboard 입력'!AI284 &amp; " (" &amp; 'Dashboard 입력'!AF284 &amp; ")")</f>
        <v/>
      </c>
      <c r="F280" s="118" t="str">
        <f>IF('Dashboard 입력'!AJ284="", "", 'Dashboard 입력'!AJ284 &amp; " (" &amp; 'Dashboard 입력'!AG284 &amp; ")")</f>
        <v/>
      </c>
      <c r="G280" s="118" t="str">
        <f>IF(위험성평가_입력[[#This Row],[위험성]]="","", 위험성평가_입력[[#This Row],[위험성]] &amp; " (" &amp; 위험성평가_입력[[#This Row],[위험도(전)]] &amp; ")")</f>
        <v/>
      </c>
      <c r="H280" s="116"/>
    </row>
    <row r="281" spans="1:8" ht="25" customHeight="1">
      <c r="A281" s="118" t="str">
        <f>IF('Dashboard 입력'!AB285="","",'Dashboard 입력'!AB285)</f>
        <v/>
      </c>
      <c r="B281" s="18" t="str">
        <f>IF('Dashboard 입력'!AC285="","",'Dashboard 입력'!AC285)</f>
        <v/>
      </c>
      <c r="C281" s="18" t="str">
        <f>IF('Dashboard 입력'!AD285="","",'Dashboard 입력'!AD285)</f>
        <v/>
      </c>
      <c r="D281" s="18" t="str">
        <f>IF('Dashboard 입력'!AE285="","",'Dashboard 입력'!AE285)</f>
        <v/>
      </c>
      <c r="E281" s="118" t="str">
        <f>IF('Dashboard 입력'!AI285="", "", 'Dashboard 입력'!AI285 &amp; " (" &amp; 'Dashboard 입력'!AF285 &amp; ")")</f>
        <v/>
      </c>
      <c r="F281" s="118" t="str">
        <f>IF('Dashboard 입력'!AJ285="", "", 'Dashboard 입력'!AJ285 &amp; " (" &amp; 'Dashboard 입력'!AG285 &amp; ")")</f>
        <v/>
      </c>
      <c r="G281" s="118" t="str">
        <f>IF(위험성평가_입력[[#This Row],[위험성]]="","", 위험성평가_입력[[#This Row],[위험성]] &amp; " (" &amp; 위험성평가_입력[[#This Row],[위험도(전)]] &amp; ")")</f>
        <v/>
      </c>
      <c r="H281" s="116"/>
    </row>
    <row r="282" spans="1:8" ht="25" customHeight="1">
      <c r="A282" s="118" t="str">
        <f>IF('Dashboard 입력'!AB286="","",'Dashboard 입력'!AB286)</f>
        <v/>
      </c>
      <c r="B282" s="18" t="str">
        <f>IF('Dashboard 입력'!AC286="","",'Dashboard 입력'!AC286)</f>
        <v/>
      </c>
      <c r="C282" s="18" t="str">
        <f>IF('Dashboard 입력'!AD286="","",'Dashboard 입력'!AD286)</f>
        <v/>
      </c>
      <c r="D282" s="18" t="str">
        <f>IF('Dashboard 입력'!AE286="","",'Dashboard 입력'!AE286)</f>
        <v/>
      </c>
      <c r="E282" s="118" t="str">
        <f>IF('Dashboard 입력'!AI286="", "", 'Dashboard 입력'!AI286 &amp; " (" &amp; 'Dashboard 입력'!AF286 &amp; ")")</f>
        <v/>
      </c>
      <c r="F282" s="118" t="str">
        <f>IF('Dashboard 입력'!AJ286="", "", 'Dashboard 입력'!AJ286 &amp; " (" &amp; 'Dashboard 입력'!AG286 &amp; ")")</f>
        <v/>
      </c>
      <c r="G282" s="118" t="str">
        <f>IF(위험성평가_입력[[#This Row],[위험성]]="","", 위험성평가_입력[[#This Row],[위험성]] &amp; " (" &amp; 위험성평가_입력[[#This Row],[위험도(전)]] &amp; ")")</f>
        <v/>
      </c>
      <c r="H282" s="116"/>
    </row>
    <row r="283" spans="1:8" ht="25" customHeight="1">
      <c r="A283" s="118" t="str">
        <f>IF('Dashboard 입력'!AB287="","",'Dashboard 입력'!AB287)</f>
        <v/>
      </c>
      <c r="B283" s="18" t="str">
        <f>IF('Dashboard 입력'!AC287="","",'Dashboard 입력'!AC287)</f>
        <v/>
      </c>
      <c r="C283" s="18" t="str">
        <f>IF('Dashboard 입력'!AD287="","",'Dashboard 입력'!AD287)</f>
        <v/>
      </c>
      <c r="D283" s="18" t="str">
        <f>IF('Dashboard 입력'!AE287="","",'Dashboard 입력'!AE287)</f>
        <v/>
      </c>
      <c r="E283" s="118" t="str">
        <f>IF('Dashboard 입력'!AI287="", "", 'Dashboard 입력'!AI287 &amp; " (" &amp; 'Dashboard 입력'!AF287 &amp; ")")</f>
        <v/>
      </c>
      <c r="F283" s="118" t="str">
        <f>IF('Dashboard 입력'!AJ287="", "", 'Dashboard 입력'!AJ287 &amp; " (" &amp; 'Dashboard 입력'!AG287 &amp; ")")</f>
        <v/>
      </c>
      <c r="G283" s="118" t="str">
        <f>IF(위험성평가_입력[[#This Row],[위험성]]="","", 위험성평가_입력[[#This Row],[위험성]] &amp; " (" &amp; 위험성평가_입력[[#This Row],[위험도(전)]] &amp; ")")</f>
        <v/>
      </c>
      <c r="H283" s="116"/>
    </row>
    <row r="284" spans="1:8" ht="25" customHeight="1">
      <c r="A284" s="118" t="str">
        <f>IF('Dashboard 입력'!AB288="","",'Dashboard 입력'!AB288)</f>
        <v/>
      </c>
      <c r="B284" s="18" t="str">
        <f>IF('Dashboard 입력'!AC288="","",'Dashboard 입력'!AC288)</f>
        <v/>
      </c>
      <c r="C284" s="18" t="str">
        <f>IF('Dashboard 입력'!AD288="","",'Dashboard 입력'!AD288)</f>
        <v/>
      </c>
      <c r="D284" s="18" t="str">
        <f>IF('Dashboard 입력'!AE288="","",'Dashboard 입력'!AE288)</f>
        <v/>
      </c>
      <c r="E284" s="118" t="str">
        <f>IF('Dashboard 입력'!AI288="", "", 'Dashboard 입력'!AI288 &amp; " (" &amp; 'Dashboard 입력'!AF288 &amp; ")")</f>
        <v/>
      </c>
      <c r="F284" s="118" t="str">
        <f>IF('Dashboard 입력'!AJ288="", "", 'Dashboard 입력'!AJ288 &amp; " (" &amp; 'Dashboard 입력'!AG288 &amp; ")")</f>
        <v/>
      </c>
      <c r="G284" s="118" t="str">
        <f>IF(위험성평가_입력[[#This Row],[위험성]]="","", 위험성평가_입력[[#This Row],[위험성]] &amp; " (" &amp; 위험성평가_입력[[#This Row],[위험도(전)]] &amp; ")")</f>
        <v/>
      </c>
      <c r="H284" s="116"/>
    </row>
    <row r="285" spans="1:8" ht="25" customHeight="1">
      <c r="A285" s="118" t="str">
        <f>IF('Dashboard 입력'!AB289="","",'Dashboard 입력'!AB289)</f>
        <v/>
      </c>
      <c r="B285" s="18" t="str">
        <f>IF('Dashboard 입력'!AC289="","",'Dashboard 입력'!AC289)</f>
        <v/>
      </c>
      <c r="C285" s="18" t="str">
        <f>IF('Dashboard 입력'!AD289="","",'Dashboard 입력'!AD289)</f>
        <v/>
      </c>
      <c r="D285" s="18" t="str">
        <f>IF('Dashboard 입력'!AE289="","",'Dashboard 입력'!AE289)</f>
        <v/>
      </c>
      <c r="E285" s="118" t="str">
        <f>IF('Dashboard 입력'!AI289="", "", 'Dashboard 입력'!AI289 &amp; " (" &amp; 'Dashboard 입력'!AF289 &amp; ")")</f>
        <v/>
      </c>
      <c r="F285" s="118" t="str">
        <f>IF('Dashboard 입력'!AJ289="", "", 'Dashboard 입력'!AJ289 &amp; " (" &amp; 'Dashboard 입력'!AG289 &amp; ")")</f>
        <v/>
      </c>
      <c r="G285" s="118" t="str">
        <f>IF(위험성평가_입력[[#This Row],[위험성]]="","", 위험성평가_입력[[#This Row],[위험성]] &amp; " (" &amp; 위험성평가_입력[[#This Row],[위험도(전)]] &amp; ")")</f>
        <v/>
      </c>
      <c r="H285" s="116"/>
    </row>
    <row r="286" spans="1:8" ht="25" customHeight="1">
      <c r="A286" s="118" t="str">
        <f>IF('Dashboard 입력'!AB290="","",'Dashboard 입력'!AB290)</f>
        <v/>
      </c>
      <c r="B286" s="18" t="str">
        <f>IF('Dashboard 입력'!AC290="","",'Dashboard 입력'!AC290)</f>
        <v/>
      </c>
      <c r="C286" s="18" t="str">
        <f>IF('Dashboard 입력'!AD290="","",'Dashboard 입력'!AD290)</f>
        <v/>
      </c>
      <c r="D286" s="18" t="str">
        <f>IF('Dashboard 입력'!AE290="","",'Dashboard 입력'!AE290)</f>
        <v/>
      </c>
      <c r="E286" s="118" t="str">
        <f>IF('Dashboard 입력'!AI290="", "", 'Dashboard 입력'!AI290 &amp; " (" &amp; 'Dashboard 입력'!AF290 &amp; ")")</f>
        <v/>
      </c>
      <c r="F286" s="118" t="str">
        <f>IF('Dashboard 입력'!AJ290="", "", 'Dashboard 입력'!AJ290 &amp; " (" &amp; 'Dashboard 입력'!AG290 &amp; ")")</f>
        <v/>
      </c>
      <c r="G286" s="118" t="str">
        <f>IF(위험성평가_입력[[#This Row],[위험성]]="","", 위험성평가_입력[[#This Row],[위험성]] &amp; " (" &amp; 위험성평가_입력[[#This Row],[위험도(전)]] &amp; ")")</f>
        <v/>
      </c>
      <c r="H286" s="116"/>
    </row>
    <row r="287" spans="1:8" ht="25" customHeight="1">
      <c r="A287" s="118" t="str">
        <f>IF('Dashboard 입력'!AB291="","",'Dashboard 입력'!AB291)</f>
        <v/>
      </c>
      <c r="B287" s="18" t="str">
        <f>IF('Dashboard 입력'!AC291="","",'Dashboard 입력'!AC291)</f>
        <v/>
      </c>
      <c r="C287" s="18" t="str">
        <f>IF('Dashboard 입력'!AD291="","",'Dashboard 입력'!AD291)</f>
        <v/>
      </c>
      <c r="D287" s="18" t="str">
        <f>IF('Dashboard 입력'!AE291="","",'Dashboard 입력'!AE291)</f>
        <v/>
      </c>
      <c r="E287" s="118" t="str">
        <f>IF('Dashboard 입력'!AI291="", "", 'Dashboard 입력'!AI291 &amp; " (" &amp; 'Dashboard 입력'!AF291 &amp; ")")</f>
        <v/>
      </c>
      <c r="F287" s="118" t="str">
        <f>IF('Dashboard 입력'!AJ291="", "", 'Dashboard 입력'!AJ291 &amp; " (" &amp; 'Dashboard 입력'!AG291 &amp; ")")</f>
        <v/>
      </c>
      <c r="G287" s="118" t="str">
        <f>IF(위험성평가_입력[[#This Row],[위험성]]="","", 위험성평가_입력[[#This Row],[위험성]] &amp; " (" &amp; 위험성평가_입력[[#This Row],[위험도(전)]] &amp; ")")</f>
        <v/>
      </c>
      <c r="H287" s="116"/>
    </row>
    <row r="288" spans="1:8" ht="25" customHeight="1">
      <c r="A288" s="118" t="str">
        <f>IF('Dashboard 입력'!AB292="","",'Dashboard 입력'!AB292)</f>
        <v/>
      </c>
      <c r="B288" s="18" t="str">
        <f>IF('Dashboard 입력'!AC292="","",'Dashboard 입력'!AC292)</f>
        <v/>
      </c>
      <c r="C288" s="18" t="str">
        <f>IF('Dashboard 입력'!AD292="","",'Dashboard 입력'!AD292)</f>
        <v/>
      </c>
      <c r="D288" s="18" t="str">
        <f>IF('Dashboard 입력'!AE292="","",'Dashboard 입력'!AE292)</f>
        <v/>
      </c>
      <c r="E288" s="118" t="str">
        <f>IF('Dashboard 입력'!AI292="", "", 'Dashboard 입력'!AI292 &amp; " (" &amp; 'Dashboard 입력'!AF292 &amp; ")")</f>
        <v/>
      </c>
      <c r="F288" s="118" t="str">
        <f>IF('Dashboard 입력'!AJ292="", "", 'Dashboard 입력'!AJ292 &amp; " (" &amp; 'Dashboard 입력'!AG292 &amp; ")")</f>
        <v/>
      </c>
      <c r="G288" s="118" t="str">
        <f>IF(위험성평가_입력[[#This Row],[위험성]]="","", 위험성평가_입력[[#This Row],[위험성]] &amp; " (" &amp; 위험성평가_입력[[#This Row],[위험도(전)]] &amp; ")")</f>
        <v/>
      </c>
      <c r="H288" s="116"/>
    </row>
    <row r="289" spans="1:8" ht="25" customHeight="1">
      <c r="A289" s="118" t="str">
        <f>IF('Dashboard 입력'!AB293="","",'Dashboard 입력'!AB293)</f>
        <v/>
      </c>
      <c r="B289" s="18" t="str">
        <f>IF('Dashboard 입력'!AC293="","",'Dashboard 입력'!AC293)</f>
        <v/>
      </c>
      <c r="C289" s="18" t="str">
        <f>IF('Dashboard 입력'!AD293="","",'Dashboard 입력'!AD293)</f>
        <v/>
      </c>
      <c r="D289" s="18" t="str">
        <f>IF('Dashboard 입력'!AE293="","",'Dashboard 입력'!AE293)</f>
        <v/>
      </c>
      <c r="E289" s="118" t="str">
        <f>IF('Dashboard 입력'!AI293="", "", 'Dashboard 입력'!AI293 &amp; " (" &amp; 'Dashboard 입력'!AF293 &amp; ")")</f>
        <v/>
      </c>
      <c r="F289" s="118" t="str">
        <f>IF('Dashboard 입력'!AJ293="", "", 'Dashboard 입력'!AJ293 &amp; " (" &amp; 'Dashboard 입력'!AG293 &amp; ")")</f>
        <v/>
      </c>
      <c r="G289" s="118" t="str">
        <f>IF(위험성평가_입력[[#This Row],[위험성]]="","", 위험성평가_입력[[#This Row],[위험성]] &amp; " (" &amp; 위험성평가_입력[[#This Row],[위험도(전)]] &amp; ")")</f>
        <v/>
      </c>
      <c r="H289" s="116"/>
    </row>
    <row r="290" spans="1:8" ht="25" customHeight="1">
      <c r="A290" s="118" t="str">
        <f>IF('Dashboard 입력'!AB294="","",'Dashboard 입력'!AB294)</f>
        <v/>
      </c>
      <c r="B290" s="18" t="str">
        <f>IF('Dashboard 입력'!AC294="","",'Dashboard 입력'!AC294)</f>
        <v/>
      </c>
      <c r="C290" s="18" t="str">
        <f>IF('Dashboard 입력'!AD294="","",'Dashboard 입력'!AD294)</f>
        <v/>
      </c>
      <c r="D290" s="18" t="str">
        <f>IF('Dashboard 입력'!AE294="","",'Dashboard 입력'!AE294)</f>
        <v/>
      </c>
      <c r="E290" s="118" t="str">
        <f>IF('Dashboard 입력'!AI294="", "", 'Dashboard 입력'!AI294 &amp; " (" &amp; 'Dashboard 입력'!AF294 &amp; ")")</f>
        <v/>
      </c>
      <c r="F290" s="118" t="str">
        <f>IF('Dashboard 입력'!AJ294="", "", 'Dashboard 입력'!AJ294 &amp; " (" &amp; 'Dashboard 입력'!AG294 &amp; ")")</f>
        <v/>
      </c>
      <c r="G290" s="118" t="str">
        <f>IF(위험성평가_입력[[#This Row],[위험성]]="","", 위험성평가_입력[[#This Row],[위험성]] &amp; " (" &amp; 위험성평가_입력[[#This Row],[위험도(전)]] &amp; ")")</f>
        <v/>
      </c>
      <c r="H290" s="116"/>
    </row>
    <row r="291" spans="1:8" ht="25" customHeight="1">
      <c r="A291" s="118" t="str">
        <f>IF('Dashboard 입력'!AB295="","",'Dashboard 입력'!AB295)</f>
        <v/>
      </c>
      <c r="B291" s="18" t="str">
        <f>IF('Dashboard 입력'!AC295="","",'Dashboard 입력'!AC295)</f>
        <v/>
      </c>
      <c r="C291" s="18" t="str">
        <f>IF('Dashboard 입력'!AD295="","",'Dashboard 입력'!AD295)</f>
        <v/>
      </c>
      <c r="D291" s="18" t="str">
        <f>IF('Dashboard 입력'!AE295="","",'Dashboard 입력'!AE295)</f>
        <v/>
      </c>
      <c r="E291" s="118" t="str">
        <f>IF('Dashboard 입력'!AI295="", "", 'Dashboard 입력'!AI295 &amp; " (" &amp; 'Dashboard 입력'!AF295 &amp; ")")</f>
        <v/>
      </c>
      <c r="F291" s="118" t="str">
        <f>IF('Dashboard 입력'!AJ295="", "", 'Dashboard 입력'!AJ295 &amp; " (" &amp; 'Dashboard 입력'!AG295 &amp; ")")</f>
        <v/>
      </c>
      <c r="G291" s="118" t="str">
        <f>IF(위험성평가_입력[[#This Row],[위험성]]="","", 위험성평가_입력[[#This Row],[위험성]] &amp; " (" &amp; 위험성평가_입력[[#This Row],[위험도(전)]] &amp; ")")</f>
        <v/>
      </c>
      <c r="H291" s="116"/>
    </row>
    <row r="292" spans="1:8" ht="25" customHeight="1">
      <c r="A292" s="118" t="str">
        <f>IF('Dashboard 입력'!AB296="","",'Dashboard 입력'!AB296)</f>
        <v/>
      </c>
      <c r="B292" s="18" t="str">
        <f>IF('Dashboard 입력'!AC296="","",'Dashboard 입력'!AC296)</f>
        <v/>
      </c>
      <c r="C292" s="18" t="str">
        <f>IF('Dashboard 입력'!AD296="","",'Dashboard 입력'!AD296)</f>
        <v/>
      </c>
      <c r="D292" s="18" t="str">
        <f>IF('Dashboard 입력'!AE296="","",'Dashboard 입력'!AE296)</f>
        <v/>
      </c>
      <c r="E292" s="118" t="str">
        <f>IF('Dashboard 입력'!AI296="", "", 'Dashboard 입력'!AI296 &amp; " (" &amp; 'Dashboard 입력'!AF296 &amp; ")")</f>
        <v/>
      </c>
      <c r="F292" s="118" t="str">
        <f>IF('Dashboard 입력'!AJ296="", "", 'Dashboard 입력'!AJ296 &amp; " (" &amp; 'Dashboard 입력'!AG296 &amp; ")")</f>
        <v/>
      </c>
      <c r="G292" s="118" t="str">
        <f>IF(위험성평가_입력[[#This Row],[위험성]]="","", 위험성평가_입력[[#This Row],[위험성]] &amp; " (" &amp; 위험성평가_입력[[#This Row],[위험도(전)]] &amp; ")")</f>
        <v/>
      </c>
      <c r="H292" s="116"/>
    </row>
    <row r="293" spans="1:8" ht="25" customHeight="1">
      <c r="A293" s="118" t="str">
        <f>IF('Dashboard 입력'!AB297="","",'Dashboard 입력'!AB297)</f>
        <v/>
      </c>
      <c r="B293" s="18" t="str">
        <f>IF('Dashboard 입력'!AC297="","",'Dashboard 입력'!AC297)</f>
        <v/>
      </c>
      <c r="C293" s="18" t="str">
        <f>IF('Dashboard 입력'!AD297="","",'Dashboard 입력'!AD297)</f>
        <v/>
      </c>
      <c r="D293" s="18" t="str">
        <f>IF('Dashboard 입력'!AE297="","",'Dashboard 입력'!AE297)</f>
        <v/>
      </c>
      <c r="E293" s="118" t="str">
        <f>IF('Dashboard 입력'!AI297="", "", 'Dashboard 입력'!AI297 &amp; " (" &amp; 'Dashboard 입력'!AF297 &amp; ")")</f>
        <v/>
      </c>
      <c r="F293" s="118" t="str">
        <f>IF('Dashboard 입력'!AJ297="", "", 'Dashboard 입력'!AJ297 &amp; " (" &amp; 'Dashboard 입력'!AG297 &amp; ")")</f>
        <v/>
      </c>
      <c r="G293" s="118" t="str">
        <f>IF(위험성평가_입력[[#This Row],[위험성]]="","", 위험성평가_입력[[#This Row],[위험성]] &amp; " (" &amp; 위험성평가_입력[[#This Row],[위험도(전)]] &amp; ")")</f>
        <v/>
      </c>
      <c r="H293" s="116"/>
    </row>
    <row r="294" spans="1:8" ht="25" customHeight="1">
      <c r="A294" s="118" t="str">
        <f>IF('Dashboard 입력'!AB298="","",'Dashboard 입력'!AB298)</f>
        <v/>
      </c>
      <c r="B294" s="18" t="str">
        <f>IF('Dashboard 입력'!AC298="","",'Dashboard 입력'!AC298)</f>
        <v/>
      </c>
      <c r="C294" s="18" t="str">
        <f>IF('Dashboard 입력'!AD298="","",'Dashboard 입력'!AD298)</f>
        <v/>
      </c>
      <c r="D294" s="18" t="str">
        <f>IF('Dashboard 입력'!AE298="","",'Dashboard 입력'!AE298)</f>
        <v/>
      </c>
      <c r="E294" s="118" t="str">
        <f>IF('Dashboard 입력'!AI298="", "", 'Dashboard 입력'!AI298 &amp; " (" &amp; 'Dashboard 입력'!AF298 &amp; ")")</f>
        <v/>
      </c>
      <c r="F294" s="118" t="str">
        <f>IF('Dashboard 입력'!AJ298="", "", 'Dashboard 입력'!AJ298 &amp; " (" &amp; 'Dashboard 입력'!AG298 &amp; ")")</f>
        <v/>
      </c>
      <c r="G294" s="118" t="str">
        <f>IF(위험성평가_입력[[#This Row],[위험성]]="","", 위험성평가_입력[[#This Row],[위험성]] &amp; " (" &amp; 위험성평가_입력[[#This Row],[위험도(전)]] &amp; ")")</f>
        <v/>
      </c>
      <c r="H294" s="116"/>
    </row>
    <row r="295" spans="1:8" ht="25" customHeight="1">
      <c r="A295" s="118" t="str">
        <f>IF('Dashboard 입력'!AB299="","",'Dashboard 입력'!AB299)</f>
        <v/>
      </c>
      <c r="B295" s="18" t="str">
        <f>IF('Dashboard 입력'!AC299="","",'Dashboard 입력'!AC299)</f>
        <v/>
      </c>
      <c r="C295" s="18" t="str">
        <f>IF('Dashboard 입력'!AD299="","",'Dashboard 입력'!AD299)</f>
        <v/>
      </c>
      <c r="D295" s="18" t="str">
        <f>IF('Dashboard 입력'!AE299="","",'Dashboard 입력'!AE299)</f>
        <v/>
      </c>
      <c r="E295" s="118" t="str">
        <f>IF('Dashboard 입력'!AI299="", "", 'Dashboard 입력'!AI299 &amp; " (" &amp; 'Dashboard 입력'!AF299 &amp; ")")</f>
        <v/>
      </c>
      <c r="F295" s="118" t="str">
        <f>IF('Dashboard 입력'!AJ299="", "", 'Dashboard 입력'!AJ299 &amp; " (" &amp; 'Dashboard 입력'!AG299 &amp; ")")</f>
        <v/>
      </c>
      <c r="G295" s="118" t="str">
        <f>IF(위험성평가_입력[[#This Row],[위험성]]="","", 위험성평가_입력[[#This Row],[위험성]] &amp; " (" &amp; 위험성평가_입력[[#This Row],[위험도(전)]] &amp; ")")</f>
        <v/>
      </c>
      <c r="H295" s="116"/>
    </row>
    <row r="296" spans="1:8" ht="25" customHeight="1">
      <c r="A296" s="118" t="str">
        <f>IF('Dashboard 입력'!AB300="","",'Dashboard 입력'!AB300)</f>
        <v/>
      </c>
      <c r="B296" s="18" t="str">
        <f>IF('Dashboard 입력'!AC300="","",'Dashboard 입력'!AC300)</f>
        <v/>
      </c>
      <c r="C296" s="18" t="str">
        <f>IF('Dashboard 입력'!AD300="","",'Dashboard 입력'!AD300)</f>
        <v/>
      </c>
      <c r="D296" s="18" t="str">
        <f>IF('Dashboard 입력'!AE300="","",'Dashboard 입력'!AE300)</f>
        <v/>
      </c>
      <c r="E296" s="118" t="str">
        <f>IF('Dashboard 입력'!AI300="", "", 'Dashboard 입력'!AI300 &amp; " (" &amp; 'Dashboard 입력'!AF300 &amp; ")")</f>
        <v/>
      </c>
      <c r="F296" s="118" t="str">
        <f>IF('Dashboard 입력'!AJ300="", "", 'Dashboard 입력'!AJ300 &amp; " (" &amp; 'Dashboard 입력'!AG300 &amp; ")")</f>
        <v/>
      </c>
      <c r="G296" s="118" t="str">
        <f>IF(위험성평가_입력[[#This Row],[위험성]]="","", 위험성평가_입력[[#This Row],[위험성]] &amp; " (" &amp; 위험성평가_입력[[#This Row],[위험도(전)]] &amp; ")")</f>
        <v/>
      </c>
      <c r="H296" s="116"/>
    </row>
    <row r="297" spans="1:8" ht="25" customHeight="1">
      <c r="A297" s="118" t="str">
        <f>IF('Dashboard 입력'!AB301="","",'Dashboard 입력'!AB301)</f>
        <v/>
      </c>
      <c r="B297" s="18" t="str">
        <f>IF('Dashboard 입력'!AC301="","",'Dashboard 입력'!AC301)</f>
        <v/>
      </c>
      <c r="C297" s="18" t="str">
        <f>IF('Dashboard 입력'!AD301="","",'Dashboard 입력'!AD301)</f>
        <v/>
      </c>
      <c r="D297" s="18" t="str">
        <f>IF('Dashboard 입력'!AE301="","",'Dashboard 입력'!AE301)</f>
        <v/>
      </c>
      <c r="E297" s="118" t="str">
        <f>IF('Dashboard 입력'!AI301="", "", 'Dashboard 입력'!AI301 &amp; " (" &amp; 'Dashboard 입력'!AF301 &amp; ")")</f>
        <v/>
      </c>
      <c r="F297" s="118" t="str">
        <f>IF('Dashboard 입력'!AJ301="", "", 'Dashboard 입력'!AJ301 &amp; " (" &amp; 'Dashboard 입력'!AG301 &amp; ")")</f>
        <v/>
      </c>
      <c r="G297" s="118" t="str">
        <f>IF(위험성평가_입력[[#This Row],[위험성]]="","", 위험성평가_입력[[#This Row],[위험성]] &amp; " (" &amp; 위험성평가_입력[[#This Row],[위험도(전)]] &amp; ")")</f>
        <v/>
      </c>
      <c r="H297" s="116"/>
    </row>
    <row r="298" spans="1:8" ht="25" customHeight="1">
      <c r="A298" s="118" t="str">
        <f>IF('Dashboard 입력'!AB302="","",'Dashboard 입력'!AB302)</f>
        <v/>
      </c>
      <c r="B298" s="18" t="str">
        <f>IF('Dashboard 입력'!AC302="","",'Dashboard 입력'!AC302)</f>
        <v/>
      </c>
      <c r="C298" s="18" t="str">
        <f>IF('Dashboard 입력'!AD302="","",'Dashboard 입력'!AD302)</f>
        <v/>
      </c>
      <c r="D298" s="18" t="str">
        <f>IF('Dashboard 입력'!AE302="","",'Dashboard 입력'!AE302)</f>
        <v/>
      </c>
      <c r="E298" s="118" t="str">
        <f>IF('Dashboard 입력'!AI302="", "", 'Dashboard 입력'!AI302 &amp; " (" &amp; 'Dashboard 입력'!AF302 &amp; ")")</f>
        <v/>
      </c>
      <c r="F298" s="118" t="str">
        <f>IF('Dashboard 입력'!AJ302="", "", 'Dashboard 입력'!AJ302 &amp; " (" &amp; 'Dashboard 입력'!AG302 &amp; ")")</f>
        <v/>
      </c>
      <c r="G298" s="118" t="str">
        <f>IF(위험성평가_입력[[#This Row],[위험성]]="","", 위험성평가_입력[[#This Row],[위험성]] &amp; " (" &amp; 위험성평가_입력[[#This Row],[위험도(전)]] &amp; ")")</f>
        <v/>
      </c>
      <c r="H298" s="116"/>
    </row>
    <row r="299" spans="1:8" ht="25" customHeight="1">
      <c r="A299" s="118" t="str">
        <f>IF('Dashboard 입력'!AB303="","",'Dashboard 입력'!AB303)</f>
        <v/>
      </c>
      <c r="B299" s="18" t="str">
        <f>IF('Dashboard 입력'!AC303="","",'Dashboard 입력'!AC303)</f>
        <v/>
      </c>
      <c r="C299" s="18" t="str">
        <f>IF('Dashboard 입력'!AD303="","",'Dashboard 입력'!AD303)</f>
        <v/>
      </c>
      <c r="D299" s="18" t="str">
        <f>IF('Dashboard 입력'!AE303="","",'Dashboard 입력'!AE303)</f>
        <v/>
      </c>
      <c r="E299" s="118" t="str">
        <f>IF('Dashboard 입력'!AI303="", "", 'Dashboard 입력'!AI303 &amp; " (" &amp; 'Dashboard 입력'!AF303 &amp; ")")</f>
        <v/>
      </c>
      <c r="F299" s="118" t="str">
        <f>IF('Dashboard 입력'!AJ303="", "", 'Dashboard 입력'!AJ303 &amp; " (" &amp; 'Dashboard 입력'!AG303 &amp; ")")</f>
        <v/>
      </c>
      <c r="G299" s="118" t="str">
        <f>IF(위험성평가_입력[[#This Row],[위험성]]="","", 위험성평가_입력[[#This Row],[위험성]] &amp; " (" &amp; 위험성평가_입력[[#This Row],[위험도(전)]] &amp; ")")</f>
        <v/>
      </c>
      <c r="H299" s="116"/>
    </row>
    <row r="300" spans="1:8" ht="25" customHeight="1">
      <c r="A300" s="118" t="str">
        <f>IF('Dashboard 입력'!AB304="","",'Dashboard 입력'!AB304)</f>
        <v/>
      </c>
      <c r="B300" s="18" t="str">
        <f>IF('Dashboard 입력'!AC304="","",'Dashboard 입력'!AC304)</f>
        <v/>
      </c>
      <c r="C300" s="18" t="str">
        <f>IF('Dashboard 입력'!AD304="","",'Dashboard 입력'!AD304)</f>
        <v/>
      </c>
      <c r="D300" s="18" t="str">
        <f>IF('Dashboard 입력'!AE304="","",'Dashboard 입력'!AE304)</f>
        <v/>
      </c>
      <c r="E300" s="118" t="str">
        <f>IF('Dashboard 입력'!AI304="", "", 'Dashboard 입력'!AI304 &amp; " (" &amp; 'Dashboard 입력'!AF304 &amp; ")")</f>
        <v/>
      </c>
      <c r="F300" s="118" t="str">
        <f>IF('Dashboard 입력'!AJ304="", "", 'Dashboard 입력'!AJ304 &amp; " (" &amp; 'Dashboard 입력'!AG304 &amp; ")")</f>
        <v/>
      </c>
      <c r="G300" s="118" t="str">
        <f>IF(위험성평가_입력[[#This Row],[위험성]]="","", 위험성평가_입력[[#This Row],[위험성]] &amp; " (" &amp; 위험성평가_입력[[#This Row],[위험도(전)]] &amp; ")")</f>
        <v/>
      </c>
      <c r="H300" s="116"/>
    </row>
    <row r="301" spans="1:8" ht="25" customHeight="1">
      <c r="A301" s="118" t="str">
        <f>IF('Dashboard 입력'!AB305="","",'Dashboard 입력'!AB305)</f>
        <v/>
      </c>
      <c r="B301" s="18" t="str">
        <f>IF('Dashboard 입력'!AC305="","",'Dashboard 입력'!AC305)</f>
        <v/>
      </c>
      <c r="C301" s="18" t="str">
        <f>IF('Dashboard 입력'!AD305="","",'Dashboard 입력'!AD305)</f>
        <v/>
      </c>
      <c r="D301" s="18" t="str">
        <f>IF('Dashboard 입력'!AE305="","",'Dashboard 입력'!AE305)</f>
        <v/>
      </c>
      <c r="E301" s="118" t="str">
        <f>IF('Dashboard 입력'!AI305="", "", 'Dashboard 입력'!AI305 &amp; " (" &amp; 'Dashboard 입력'!AF305 &amp; ")")</f>
        <v/>
      </c>
      <c r="F301" s="118" t="str">
        <f>IF('Dashboard 입력'!AJ305="", "", 'Dashboard 입력'!AJ305 &amp; " (" &amp; 'Dashboard 입력'!AG305 &amp; ")")</f>
        <v/>
      </c>
      <c r="G301" s="118" t="str">
        <f>IF(위험성평가_입력[[#This Row],[위험성]]="","", 위험성평가_입력[[#This Row],[위험성]] &amp; " (" &amp; 위험성평가_입력[[#This Row],[위험도(전)]] &amp; ")")</f>
        <v/>
      </c>
      <c r="H301" s="116"/>
    </row>
    <row r="302" spans="1:8" ht="25" customHeight="1">
      <c r="A302" s="118" t="str">
        <f>IF('Dashboard 입력'!AB306="","",'Dashboard 입력'!AB306)</f>
        <v/>
      </c>
      <c r="B302" s="18" t="str">
        <f>IF('Dashboard 입력'!AC306="","",'Dashboard 입력'!AC306)</f>
        <v/>
      </c>
      <c r="C302" s="18" t="str">
        <f>IF('Dashboard 입력'!AD306="","",'Dashboard 입력'!AD306)</f>
        <v/>
      </c>
      <c r="D302" s="18" t="str">
        <f>IF('Dashboard 입력'!AE306="","",'Dashboard 입력'!AE306)</f>
        <v/>
      </c>
      <c r="E302" s="118" t="str">
        <f>IF('Dashboard 입력'!AI306="", "", 'Dashboard 입력'!AI306 &amp; " (" &amp; 'Dashboard 입력'!AF306 &amp; ")")</f>
        <v/>
      </c>
      <c r="F302" s="118" t="str">
        <f>IF('Dashboard 입력'!AJ306="", "", 'Dashboard 입력'!AJ306 &amp; " (" &amp; 'Dashboard 입력'!AG306 &amp; ")")</f>
        <v/>
      </c>
      <c r="G302" s="118" t="str">
        <f>IF(위험성평가_입력[[#This Row],[위험성]]="","", 위험성평가_입력[[#This Row],[위험성]] &amp; " (" &amp; 위험성평가_입력[[#This Row],[위험도(전)]] &amp; ")")</f>
        <v/>
      </c>
      <c r="H302" s="116"/>
    </row>
    <row r="303" spans="1:8" ht="25" customHeight="1">
      <c r="A303" s="118" t="str">
        <f>IF('Dashboard 입력'!AB307="","",'Dashboard 입력'!AB307)</f>
        <v/>
      </c>
      <c r="B303" s="18" t="str">
        <f>IF('Dashboard 입력'!AC307="","",'Dashboard 입력'!AC307)</f>
        <v/>
      </c>
      <c r="C303" s="18" t="str">
        <f>IF('Dashboard 입력'!AD307="","",'Dashboard 입력'!AD307)</f>
        <v/>
      </c>
      <c r="D303" s="18" t="str">
        <f>IF('Dashboard 입력'!AE307="","",'Dashboard 입력'!AE307)</f>
        <v/>
      </c>
      <c r="E303" s="118" t="str">
        <f>IF('Dashboard 입력'!AI307="", "", 'Dashboard 입력'!AI307 &amp; " (" &amp; 'Dashboard 입력'!AF307 &amp; ")")</f>
        <v/>
      </c>
      <c r="F303" s="118" t="str">
        <f>IF('Dashboard 입력'!AJ307="", "", 'Dashboard 입력'!AJ307 &amp; " (" &amp; 'Dashboard 입력'!AG307 &amp; ")")</f>
        <v/>
      </c>
      <c r="G303" s="118" t="str">
        <f>IF(위험성평가_입력[[#This Row],[위험성]]="","", 위험성평가_입력[[#This Row],[위험성]] &amp; " (" &amp; 위험성평가_입력[[#This Row],[위험도(전)]] &amp; ")")</f>
        <v/>
      </c>
      <c r="H303" s="116"/>
    </row>
  </sheetData>
  <mergeCells count="1">
    <mergeCell ref="A1:H1"/>
  </mergeCells>
  <phoneticPr fontId="22" type="noConversion"/>
  <printOptions horizontalCentered="1"/>
  <pageMargins left="0.7" right="0.7" top="0.75" bottom="0.75" header="0.3" footer="0.3"/>
  <pageSetup paperSize="9" scale="10" orientation="landscape" horizontalDpi="0" verticalDpi="0"/>
  <rowBreaks count="1" manualBreakCount="1">
    <brk id="20" max="7" man="1"/>
  </rowBreak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N14"/>
  <sheetViews>
    <sheetView topLeftCell="G1" workbookViewId="0">
      <selection activeCell="H32" sqref="H32"/>
    </sheetView>
  </sheetViews>
  <sheetFormatPr baseColWidth="10" defaultColWidth="9" defaultRowHeight="13"/>
  <cols>
    <col min="1" max="1" width="7.3984375" customWidth="1"/>
    <col min="2" max="2" width="18.19921875" customWidth="1"/>
    <col min="3" max="4" width="11.19921875" customWidth="1"/>
    <col min="5" max="5" width="2.59765625" customWidth="1"/>
    <col min="6" max="6" width="6.796875" customWidth="1"/>
    <col min="7" max="7" width="18.59765625" customWidth="1"/>
    <col min="8" max="9" width="11.3984375" customWidth="1"/>
    <col min="10" max="10" width="2.59765625" customWidth="1"/>
    <col min="11" max="11" width="6.796875" customWidth="1"/>
    <col min="12" max="12" width="18.59765625" customWidth="1"/>
    <col min="13" max="13" width="11.3984375" customWidth="1"/>
    <col min="14" max="14" width="11.59765625" customWidth="1"/>
  </cols>
  <sheetData>
    <row r="1" spans="1:14" ht="47" customHeight="1">
      <c r="A1" s="319" t="s">
        <v>27</v>
      </c>
      <c r="B1" s="320"/>
      <c r="C1" s="320"/>
      <c r="D1" s="320"/>
      <c r="E1" s="320"/>
      <c r="F1" s="320"/>
      <c r="G1" s="320"/>
      <c r="H1" s="320"/>
      <c r="I1" s="320"/>
      <c r="J1" s="320"/>
      <c r="K1" s="320"/>
      <c r="L1" s="320"/>
      <c r="M1" s="320"/>
      <c r="N1" s="321"/>
    </row>
    <row r="2" spans="1:14" ht="111.75" customHeight="1">
      <c r="A2" s="322" t="s">
        <v>28</v>
      </c>
      <c r="B2" s="323"/>
      <c r="C2" s="323"/>
      <c r="D2" s="323"/>
      <c r="E2" s="323"/>
      <c r="F2" s="323"/>
      <c r="G2" s="323"/>
      <c r="H2" s="323"/>
      <c r="I2" s="323"/>
      <c r="J2" s="323"/>
      <c r="K2" s="323"/>
      <c r="L2" s="324"/>
      <c r="M2" s="325" t="s">
        <v>29</v>
      </c>
      <c r="N2" s="326"/>
    </row>
    <row r="3" spans="1:14" ht="7" customHeight="1">
      <c r="A3" s="327"/>
      <c r="B3" s="328"/>
      <c r="C3" s="328"/>
      <c r="D3" s="328"/>
      <c r="E3" s="328"/>
      <c r="F3" s="328"/>
      <c r="G3" s="328"/>
      <c r="H3" s="328"/>
      <c r="I3" s="328"/>
      <c r="J3" s="328"/>
      <c r="K3" s="328"/>
      <c r="L3" s="328"/>
      <c r="M3" s="328"/>
      <c r="N3" s="329"/>
    </row>
    <row r="4" spans="1:14" ht="24" customHeight="1">
      <c r="A4" s="4" t="s">
        <v>30</v>
      </c>
      <c r="B4" s="5" t="s">
        <v>31</v>
      </c>
      <c r="C4" s="6" t="s">
        <v>32</v>
      </c>
      <c r="D4" s="6" t="s">
        <v>33</v>
      </c>
      <c r="E4" s="330"/>
      <c r="F4" s="4" t="s">
        <v>30</v>
      </c>
      <c r="G4" s="5" t="s">
        <v>31</v>
      </c>
      <c r="H4" s="6" t="s">
        <v>32</v>
      </c>
      <c r="I4" s="6" t="s">
        <v>33</v>
      </c>
      <c r="J4" s="330"/>
      <c r="K4" s="4" t="s">
        <v>30</v>
      </c>
      <c r="L4" s="5" t="s">
        <v>31</v>
      </c>
      <c r="M4" s="6" t="s">
        <v>32</v>
      </c>
      <c r="N4" s="6" t="s">
        <v>33</v>
      </c>
    </row>
    <row r="5" spans="1:14" ht="21" customHeight="1">
      <c r="A5" s="7">
        <v>1</v>
      </c>
      <c r="B5" s="3" t="str">
        <f>IF('Dashboard 입력'!I21="","",'Dashboard 입력'!I21)</f>
        <v>삼지전자</v>
      </c>
      <c r="C5" s="3" t="str">
        <f>IF('Dashboard 입력'!J21="","",'Dashboard 입력'!J21)</f>
        <v>김가나1</v>
      </c>
      <c r="D5" s="3"/>
      <c r="E5" s="331"/>
      <c r="F5" s="7">
        <v>11</v>
      </c>
      <c r="G5" s="3" t="str">
        <f>IF('Dashboard 입력'!I31="","",'Dashboard 입력'!I31)</f>
        <v>삼지전자</v>
      </c>
      <c r="H5" s="3" t="str">
        <f>IF('Dashboard 입력'!J31="","",'Dashboard 입력'!J31)</f>
        <v>김가나11</v>
      </c>
      <c r="I5" s="3"/>
      <c r="J5" s="331"/>
      <c r="K5" s="7">
        <v>21</v>
      </c>
      <c r="L5" s="3" t="str">
        <f>IF('Dashboard 입력'!I41="","",'Dashboard 입력'!I41)</f>
        <v>삼지전자</v>
      </c>
      <c r="M5" s="3" t="str">
        <f>IF('Dashboard 입력'!J41="","",'Dashboard 입력'!J41)</f>
        <v>김가나21</v>
      </c>
      <c r="N5" s="3"/>
    </row>
    <row r="6" spans="1:14" ht="21" customHeight="1">
      <c r="A6" s="7">
        <v>2</v>
      </c>
      <c r="B6" s="3" t="str">
        <f>IF('Dashboard 입력'!I22="","",'Dashboard 입력'!I22)</f>
        <v>삼지전자</v>
      </c>
      <c r="C6" s="3" t="str">
        <f>IF('Dashboard 입력'!J22="","",'Dashboard 입력'!J22)</f>
        <v>김가나2</v>
      </c>
      <c r="D6" s="3"/>
      <c r="E6" s="331"/>
      <c r="F6" s="7">
        <v>12</v>
      </c>
      <c r="G6" s="3" t="str">
        <f>IF('Dashboard 입력'!I32="","",'Dashboard 입력'!I32)</f>
        <v>삼지전자</v>
      </c>
      <c r="H6" s="3" t="str">
        <f>IF('Dashboard 입력'!J32="","",'Dashboard 입력'!J32)</f>
        <v>김가나12</v>
      </c>
      <c r="I6" s="3"/>
      <c r="J6" s="331"/>
      <c r="K6" s="7">
        <v>22</v>
      </c>
      <c r="L6" s="3" t="str">
        <f>IF('Dashboard 입력'!I42="","",'Dashboard 입력'!I42)</f>
        <v>삼지전자</v>
      </c>
      <c r="M6" s="3" t="str">
        <f>IF('Dashboard 입력'!J42="","",'Dashboard 입력'!J42)</f>
        <v>김가나22</v>
      </c>
      <c r="N6" s="3"/>
    </row>
    <row r="7" spans="1:14" ht="22" customHeight="1">
      <c r="A7" s="7">
        <v>3</v>
      </c>
      <c r="B7" s="3" t="str">
        <f>IF('Dashboard 입력'!I23="","",'Dashboard 입력'!I23)</f>
        <v>삼지전자</v>
      </c>
      <c r="C7" s="3" t="str">
        <f>IF('Dashboard 입력'!J23="","",'Dashboard 입력'!J23)</f>
        <v>김가나3</v>
      </c>
      <c r="D7" s="3"/>
      <c r="E7" s="331"/>
      <c r="F7" s="7">
        <v>13</v>
      </c>
      <c r="G7" s="3" t="str">
        <f>IF('Dashboard 입력'!I33="","",'Dashboard 입력'!I33)</f>
        <v>삼지전자</v>
      </c>
      <c r="H7" s="3" t="str">
        <f>IF('Dashboard 입력'!J33="","",'Dashboard 입력'!J33)</f>
        <v>김가나13</v>
      </c>
      <c r="I7" s="3"/>
      <c r="J7" s="331"/>
      <c r="K7" s="7">
        <v>23</v>
      </c>
      <c r="L7" s="3" t="str">
        <f>IF('Dashboard 입력'!I43="","",'Dashboard 입력'!I43)</f>
        <v>삼지전자</v>
      </c>
      <c r="M7" s="3" t="str">
        <f>IF('Dashboard 입력'!J43="","",'Dashboard 입력'!J43)</f>
        <v>김가나23</v>
      </c>
      <c r="N7" s="3"/>
    </row>
    <row r="8" spans="1:14" ht="21" customHeight="1">
      <c r="A8" s="7">
        <v>4</v>
      </c>
      <c r="B8" s="3" t="str">
        <f>IF('Dashboard 입력'!I24="","",'Dashboard 입력'!I24)</f>
        <v>삼지전자</v>
      </c>
      <c r="C8" s="3" t="str">
        <f>IF('Dashboard 입력'!J24="","",'Dashboard 입력'!J24)</f>
        <v>김가나4</v>
      </c>
      <c r="D8" s="3"/>
      <c r="E8" s="331"/>
      <c r="F8" s="7">
        <v>14</v>
      </c>
      <c r="G8" s="3" t="str">
        <f>IF('Dashboard 입력'!I34="","",'Dashboard 입력'!I34)</f>
        <v>삼지전자</v>
      </c>
      <c r="H8" s="3" t="str">
        <f>IF('Dashboard 입력'!J34="","",'Dashboard 입력'!J34)</f>
        <v>김가나14</v>
      </c>
      <c r="I8" s="3"/>
      <c r="J8" s="331"/>
      <c r="K8" s="7">
        <v>24</v>
      </c>
      <c r="L8" s="3" t="str">
        <f>IF('Dashboard 입력'!I44="","",'Dashboard 입력'!I44)</f>
        <v/>
      </c>
      <c r="M8" s="3" t="str">
        <f>IF('Dashboard 입력'!J44="","",'Dashboard 입력'!J44)</f>
        <v/>
      </c>
      <c r="N8" s="3"/>
    </row>
    <row r="9" spans="1:14" ht="22" customHeight="1">
      <c r="A9" s="7">
        <v>5</v>
      </c>
      <c r="B9" s="3" t="str">
        <f>IF('Dashboard 입력'!I25="","",'Dashboard 입력'!I25)</f>
        <v>삼지전자</v>
      </c>
      <c r="C9" s="3" t="str">
        <f>IF('Dashboard 입력'!J25="","",'Dashboard 입력'!J25)</f>
        <v>김가나5</v>
      </c>
      <c r="D9" s="3"/>
      <c r="E9" s="331"/>
      <c r="F9" s="7">
        <v>15</v>
      </c>
      <c r="G9" s="3" t="str">
        <f>IF('Dashboard 입력'!I35="","",'Dashboard 입력'!I35)</f>
        <v>삼지전자</v>
      </c>
      <c r="H9" s="3" t="str">
        <f>IF('Dashboard 입력'!J35="","",'Dashboard 입력'!J35)</f>
        <v>김가나15</v>
      </c>
      <c r="I9" s="3"/>
      <c r="J9" s="331"/>
      <c r="K9" s="7">
        <v>25</v>
      </c>
      <c r="L9" s="3" t="str">
        <f>IF('Dashboard 입력'!I45="","",'Dashboard 입력'!I45)</f>
        <v/>
      </c>
      <c r="M9" s="3" t="str">
        <f>IF('Dashboard 입력'!J45="","",'Dashboard 입력'!J45)</f>
        <v/>
      </c>
      <c r="N9" s="3"/>
    </row>
    <row r="10" spans="1:14" ht="21" customHeight="1">
      <c r="A10" s="7">
        <v>6</v>
      </c>
      <c r="B10" s="3" t="str">
        <f>IF('Dashboard 입력'!I26="","",'Dashboard 입력'!I26)</f>
        <v>삼지전자</v>
      </c>
      <c r="C10" s="3" t="str">
        <f>IF('Dashboard 입력'!J26="","",'Dashboard 입력'!J26)</f>
        <v>김가나6</v>
      </c>
      <c r="D10" s="3"/>
      <c r="E10" s="331"/>
      <c r="F10" s="7">
        <v>16</v>
      </c>
      <c r="G10" s="3" t="str">
        <f>IF('Dashboard 입력'!I36="","",'Dashboard 입력'!I36)</f>
        <v>삼지전자</v>
      </c>
      <c r="H10" s="3" t="str">
        <f>IF('Dashboard 입력'!J36="","",'Dashboard 입력'!J36)</f>
        <v>김가나16</v>
      </c>
      <c r="I10" s="3"/>
      <c r="J10" s="331"/>
      <c r="K10" s="7">
        <v>26</v>
      </c>
      <c r="L10" s="3" t="str">
        <f>IF('Dashboard 입력'!I46="","",'Dashboard 입력'!I46)</f>
        <v/>
      </c>
      <c r="M10" s="3" t="str">
        <f>IF('Dashboard 입력'!J46="","",'Dashboard 입력'!J46)</f>
        <v/>
      </c>
      <c r="N10" s="3"/>
    </row>
    <row r="11" spans="1:14" ht="22" customHeight="1">
      <c r="A11" s="7">
        <v>7</v>
      </c>
      <c r="B11" s="3" t="str">
        <f>IF('Dashboard 입력'!I27="","",'Dashboard 입력'!I27)</f>
        <v>삼지전자</v>
      </c>
      <c r="C11" s="3" t="str">
        <f>IF('Dashboard 입력'!J27="","",'Dashboard 입력'!J27)</f>
        <v>김가나7</v>
      </c>
      <c r="D11" s="3"/>
      <c r="E11" s="331"/>
      <c r="F11" s="7">
        <v>17</v>
      </c>
      <c r="G11" s="3" t="str">
        <f>IF('Dashboard 입력'!I37="","",'Dashboard 입력'!I37)</f>
        <v>삼지전자</v>
      </c>
      <c r="H11" s="3" t="str">
        <f>IF('Dashboard 입력'!J37="","",'Dashboard 입력'!J37)</f>
        <v>김가나17</v>
      </c>
      <c r="I11" s="3"/>
      <c r="J11" s="331"/>
      <c r="K11" s="7">
        <v>27</v>
      </c>
      <c r="L11" s="3" t="str">
        <f>IF('Dashboard 입력'!I47="","",'Dashboard 입력'!I47)</f>
        <v/>
      </c>
      <c r="M11" s="3" t="str">
        <f>IF('Dashboard 입력'!J47="","",'Dashboard 입력'!J47)</f>
        <v/>
      </c>
      <c r="N11" s="3"/>
    </row>
    <row r="12" spans="1:14" ht="21" customHeight="1">
      <c r="A12" s="7">
        <v>8</v>
      </c>
      <c r="B12" s="3" t="str">
        <f>IF('Dashboard 입력'!I28="","",'Dashboard 입력'!I28)</f>
        <v>삼지전자</v>
      </c>
      <c r="C12" s="3" t="str">
        <f>IF('Dashboard 입력'!J28="","",'Dashboard 입력'!J28)</f>
        <v>김가나8</v>
      </c>
      <c r="D12" s="3"/>
      <c r="E12" s="331"/>
      <c r="F12" s="7">
        <v>18</v>
      </c>
      <c r="G12" s="3" t="str">
        <f>IF('Dashboard 입력'!I38="","",'Dashboard 입력'!I38)</f>
        <v>삼지전자</v>
      </c>
      <c r="H12" s="3" t="str">
        <f>IF('Dashboard 입력'!J38="","",'Dashboard 입력'!J38)</f>
        <v>김가나18</v>
      </c>
      <c r="I12" s="3"/>
      <c r="J12" s="331"/>
      <c r="K12" s="7">
        <v>28</v>
      </c>
      <c r="L12" s="3" t="str">
        <f>IF('Dashboard 입력'!I48="","",'Dashboard 입력'!I48)</f>
        <v/>
      </c>
      <c r="M12" s="3" t="str">
        <f>IF('Dashboard 입력'!J48="","",'Dashboard 입력'!J48)</f>
        <v/>
      </c>
      <c r="N12" s="3"/>
    </row>
    <row r="13" spans="1:14" ht="22" customHeight="1">
      <c r="A13" s="7">
        <v>9</v>
      </c>
      <c r="B13" s="3" t="str">
        <f>IF('Dashboard 입력'!I29="","",'Dashboard 입력'!I29)</f>
        <v>삼지전자</v>
      </c>
      <c r="C13" s="3" t="str">
        <f>IF('Dashboard 입력'!J29="","",'Dashboard 입력'!J29)</f>
        <v>김가나9</v>
      </c>
      <c r="D13" s="3"/>
      <c r="E13" s="331"/>
      <c r="F13" s="7">
        <v>19</v>
      </c>
      <c r="G13" s="3" t="str">
        <f>IF('Dashboard 입력'!I39="","",'Dashboard 입력'!I39)</f>
        <v>삼지전자</v>
      </c>
      <c r="H13" s="3" t="str">
        <f>IF('Dashboard 입력'!J39="","",'Dashboard 입력'!J39)</f>
        <v>김가나19</v>
      </c>
      <c r="I13" s="3"/>
      <c r="J13" s="331"/>
      <c r="K13" s="7">
        <v>29</v>
      </c>
      <c r="L13" s="3" t="str">
        <f>IF('Dashboard 입력'!I49="","",'Dashboard 입력'!I49)</f>
        <v/>
      </c>
      <c r="M13" s="3" t="str">
        <f>IF('Dashboard 입력'!J49="","",'Dashboard 입력'!J49)</f>
        <v/>
      </c>
      <c r="N13" s="3"/>
    </row>
    <row r="14" spans="1:14" ht="21" customHeight="1">
      <c r="A14" s="7">
        <v>10</v>
      </c>
      <c r="B14" s="3" t="str">
        <f>IF('Dashboard 입력'!I30="","",'Dashboard 입력'!I30)</f>
        <v>삼지전자</v>
      </c>
      <c r="C14" s="3" t="str">
        <f>IF('Dashboard 입력'!J30="","",'Dashboard 입력'!J30)</f>
        <v>김가나10</v>
      </c>
      <c r="D14" s="3"/>
      <c r="E14" s="332"/>
      <c r="F14" s="7">
        <v>20</v>
      </c>
      <c r="G14" s="3" t="str">
        <f>IF('Dashboard 입력'!I40="","",'Dashboard 입력'!I40)</f>
        <v>삼지전자</v>
      </c>
      <c r="H14" s="3" t="str">
        <f>IF('Dashboard 입력'!J40="","",'Dashboard 입력'!J40)</f>
        <v>김가나20</v>
      </c>
      <c r="I14" s="3"/>
      <c r="J14" s="332"/>
      <c r="K14" s="7">
        <v>30</v>
      </c>
      <c r="L14" s="3" t="str">
        <f>IF('Dashboard 입력'!I50="","",'Dashboard 입력'!I50)</f>
        <v/>
      </c>
      <c r="M14" s="3" t="str">
        <f>IF('Dashboard 입력'!J50="","",'Dashboard 입력'!J50)</f>
        <v/>
      </c>
      <c r="N14" s="3"/>
    </row>
  </sheetData>
  <mergeCells count="6">
    <mergeCell ref="A1:N1"/>
    <mergeCell ref="A2:L2"/>
    <mergeCell ref="M2:N2"/>
    <mergeCell ref="A3:N3"/>
    <mergeCell ref="E4:E14"/>
    <mergeCell ref="J4:J14"/>
  </mergeCells>
  <phoneticPr fontId="22" type="noConversion"/>
  <hyperlinks>
    <hyperlink ref="A2" r:id="rId1" display="http://koenergy.kr/safety365" xr:uid="{00000000-0004-0000-0300-000000000000}"/>
  </hyperlinks>
  <pageMargins left="0.7" right="0.7" top="0.75" bottom="0.75" header="0.3" footer="0.3"/>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30DE-596B-4E4E-8747-BE37EAB3AA06}">
  <sheetPr>
    <tabColor theme="6" tint="0.79998168889431442"/>
  </sheetPr>
  <dimension ref="A1:N1000"/>
  <sheetViews>
    <sheetView workbookViewId="0">
      <pane ySplit="1" topLeftCell="A2" activePane="bottomLeft" state="frozen"/>
      <selection activeCell="I19" sqref="I18:I19"/>
      <selection pane="bottomLeft" activeCell="I19" sqref="I18:I19"/>
    </sheetView>
  </sheetViews>
  <sheetFormatPr baseColWidth="10" defaultRowHeight="13"/>
  <cols>
    <col min="1" max="1" width="16.796875" bestFit="1" customWidth="1"/>
    <col min="2" max="2" width="28" bestFit="1" customWidth="1"/>
    <col min="3" max="3" width="50.19921875" bestFit="1" customWidth="1"/>
    <col min="4" max="4" width="25" bestFit="1" customWidth="1"/>
    <col min="5" max="6" width="24.796875" bestFit="1" customWidth="1"/>
    <col min="7" max="7" width="53.59765625" bestFit="1" customWidth="1"/>
    <col min="8" max="8" width="36.19921875" bestFit="1" customWidth="1"/>
    <col min="9" max="9" width="37.3984375" bestFit="1" customWidth="1"/>
    <col min="10" max="10" width="22.59765625" bestFit="1" customWidth="1"/>
    <col min="11" max="11" width="19.796875" bestFit="1" customWidth="1"/>
    <col min="12" max="12" width="11.59765625" bestFit="1" customWidth="1"/>
    <col min="13" max="13" width="8.3984375" bestFit="1" customWidth="1"/>
    <col min="14" max="14" width="68.19921875" bestFit="1" customWidth="1"/>
  </cols>
  <sheetData>
    <row r="1" spans="1:14" ht="28" customHeight="1">
      <c r="A1" s="22" t="s">
        <v>49</v>
      </c>
      <c r="B1" s="22" t="s">
        <v>39</v>
      </c>
      <c r="C1" s="22" t="s">
        <v>41</v>
      </c>
      <c r="D1" s="22" t="s">
        <v>43</v>
      </c>
      <c r="E1" s="22" t="s">
        <v>45</v>
      </c>
      <c r="F1" s="22" t="s">
        <v>47</v>
      </c>
      <c r="G1" s="22" t="s">
        <v>48</v>
      </c>
      <c r="H1" s="22" t="s">
        <v>132</v>
      </c>
      <c r="I1" s="22" t="s">
        <v>133</v>
      </c>
      <c r="J1" s="22" t="s">
        <v>134</v>
      </c>
      <c r="K1" s="22" t="s">
        <v>40</v>
      </c>
      <c r="L1" s="22" t="s">
        <v>42</v>
      </c>
      <c r="M1" s="22" t="s">
        <v>44</v>
      </c>
      <c r="N1" s="22" t="s">
        <v>135</v>
      </c>
    </row>
    <row r="2" spans="1:14" ht="22" customHeight="1">
      <c r="A2" s="23" t="s">
        <v>77</v>
      </c>
      <c r="B2" s="18" t="s">
        <v>65</v>
      </c>
      <c r="C2" s="18" t="s">
        <v>66</v>
      </c>
      <c r="D2" s="18" t="s">
        <v>67</v>
      </c>
      <c r="E2" s="18" t="s">
        <v>68</v>
      </c>
      <c r="F2" s="18" t="s">
        <v>69</v>
      </c>
      <c r="G2" s="18" t="s">
        <v>70</v>
      </c>
      <c r="H2" s="18" t="s">
        <v>71</v>
      </c>
      <c r="I2" s="18" t="s">
        <v>72</v>
      </c>
      <c r="J2" s="18" t="s">
        <v>73</v>
      </c>
      <c r="K2" s="18" t="s">
        <v>74</v>
      </c>
      <c r="L2" s="18" t="s">
        <v>75</v>
      </c>
      <c r="M2" s="18" t="s">
        <v>76</v>
      </c>
      <c r="N2" s="18" t="s">
        <v>138</v>
      </c>
    </row>
    <row r="3" spans="1:14">
      <c r="A3" s="8"/>
    </row>
    <row r="4" spans="1:14">
      <c r="A4" s="8"/>
    </row>
    <row r="5" spans="1:14">
      <c r="A5" s="8"/>
    </row>
    <row r="6" spans="1:14">
      <c r="A6" s="8"/>
    </row>
    <row r="7" spans="1:14">
      <c r="A7" s="8"/>
    </row>
    <row r="8" spans="1:14">
      <c r="A8" s="8"/>
    </row>
    <row r="9" spans="1:14">
      <c r="A9" s="8"/>
    </row>
    <row r="10" spans="1:14">
      <c r="A10" s="8"/>
    </row>
    <row r="11" spans="1:14">
      <c r="A11" s="8"/>
    </row>
    <row r="12" spans="1:14">
      <c r="A12" s="8"/>
    </row>
    <row r="13" spans="1:14">
      <c r="A13" s="8"/>
    </row>
    <row r="14" spans="1:14">
      <c r="A14" s="8"/>
    </row>
    <row r="15" spans="1:14">
      <c r="A15" s="8"/>
    </row>
    <row r="16" spans="1:14">
      <c r="A16" s="8"/>
    </row>
    <row r="17" spans="1:1">
      <c r="A17" s="8"/>
    </row>
    <row r="18" spans="1:1">
      <c r="A18" s="8"/>
    </row>
    <row r="19" spans="1:1">
      <c r="A19" s="8"/>
    </row>
    <row r="20" spans="1:1">
      <c r="A20" s="8"/>
    </row>
    <row r="21" spans="1:1">
      <c r="A21" s="8"/>
    </row>
    <row r="22" spans="1:1">
      <c r="A22" s="8"/>
    </row>
    <row r="23" spans="1:1">
      <c r="A23" s="8"/>
    </row>
    <row r="24" spans="1:1">
      <c r="A24" s="8"/>
    </row>
    <row r="25" spans="1:1">
      <c r="A25" s="8"/>
    </row>
    <row r="26" spans="1:1">
      <c r="A26" s="8"/>
    </row>
    <row r="27" spans="1:1">
      <c r="A27" s="8"/>
    </row>
    <row r="28" spans="1:1">
      <c r="A28" s="8"/>
    </row>
    <row r="29" spans="1:1">
      <c r="A29" s="8"/>
    </row>
    <row r="30" spans="1:1">
      <c r="A30" s="8"/>
    </row>
    <row r="31" spans="1:1">
      <c r="A31" s="8"/>
    </row>
    <row r="32" spans="1:1">
      <c r="A32" s="8"/>
    </row>
    <row r="33" spans="1:1">
      <c r="A33" s="8"/>
    </row>
    <row r="34" spans="1:1">
      <c r="A34" s="8"/>
    </row>
    <row r="35" spans="1:1">
      <c r="A35" s="8"/>
    </row>
    <row r="36" spans="1:1">
      <c r="A36" s="8"/>
    </row>
    <row r="37" spans="1:1">
      <c r="A37" s="8"/>
    </row>
    <row r="38" spans="1:1">
      <c r="A38" s="8"/>
    </row>
    <row r="39" spans="1:1">
      <c r="A39" s="8"/>
    </row>
    <row r="40" spans="1:1">
      <c r="A40" s="8"/>
    </row>
    <row r="41" spans="1:1">
      <c r="A41" s="8"/>
    </row>
    <row r="42" spans="1:1">
      <c r="A42" s="8"/>
    </row>
    <row r="43" spans="1:1">
      <c r="A43" s="8"/>
    </row>
    <row r="44" spans="1:1">
      <c r="A44" s="8"/>
    </row>
    <row r="45" spans="1:1">
      <c r="A45" s="8"/>
    </row>
    <row r="46" spans="1:1">
      <c r="A46" s="8"/>
    </row>
    <row r="47" spans="1:1">
      <c r="A47" s="8"/>
    </row>
    <row r="48" spans="1:1">
      <c r="A48" s="8"/>
    </row>
    <row r="49" spans="1:1">
      <c r="A49" s="8"/>
    </row>
    <row r="50" spans="1:1">
      <c r="A50" s="8"/>
    </row>
    <row r="51" spans="1:1">
      <c r="A51" s="8"/>
    </row>
    <row r="52" spans="1:1">
      <c r="A52" s="8"/>
    </row>
    <row r="53" spans="1:1">
      <c r="A53" s="8"/>
    </row>
    <row r="54" spans="1:1">
      <c r="A54" s="8"/>
    </row>
    <row r="55" spans="1:1">
      <c r="A55" s="8"/>
    </row>
    <row r="56" spans="1:1">
      <c r="A56" s="8"/>
    </row>
    <row r="57" spans="1:1">
      <c r="A57" s="8"/>
    </row>
    <row r="58" spans="1:1">
      <c r="A58" s="8"/>
    </row>
    <row r="59" spans="1:1">
      <c r="A59" s="8"/>
    </row>
    <row r="60" spans="1:1">
      <c r="A60" s="8"/>
    </row>
    <row r="61" spans="1:1">
      <c r="A61" s="8"/>
    </row>
    <row r="62" spans="1:1">
      <c r="A62" s="8"/>
    </row>
    <row r="63" spans="1:1">
      <c r="A63" s="8"/>
    </row>
    <row r="64" spans="1:1">
      <c r="A64" s="8"/>
    </row>
    <row r="65" spans="1:1">
      <c r="A65" s="8"/>
    </row>
    <row r="66" spans="1:1">
      <c r="A66" s="8"/>
    </row>
    <row r="67" spans="1:1">
      <c r="A67" s="8"/>
    </row>
    <row r="68" spans="1:1">
      <c r="A68" s="8"/>
    </row>
    <row r="69" spans="1:1">
      <c r="A69" s="8"/>
    </row>
    <row r="70" spans="1:1">
      <c r="A70" s="8"/>
    </row>
    <row r="71" spans="1:1">
      <c r="A71" s="8"/>
    </row>
    <row r="72" spans="1:1">
      <c r="A72" s="8"/>
    </row>
    <row r="73" spans="1:1">
      <c r="A73" s="8"/>
    </row>
    <row r="74" spans="1:1">
      <c r="A74" s="8"/>
    </row>
    <row r="75" spans="1:1">
      <c r="A75" s="8"/>
    </row>
    <row r="76" spans="1:1">
      <c r="A76" s="8"/>
    </row>
    <row r="77" spans="1:1">
      <c r="A77" s="8"/>
    </row>
    <row r="78" spans="1:1">
      <c r="A78" s="8"/>
    </row>
    <row r="79" spans="1:1">
      <c r="A79" s="8"/>
    </row>
    <row r="80" spans="1:1">
      <c r="A80" s="8"/>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row r="93" spans="1:1">
      <c r="A93" s="8"/>
    </row>
    <row r="94" spans="1:1">
      <c r="A94" s="8"/>
    </row>
    <row r="95" spans="1:1">
      <c r="A95" s="8"/>
    </row>
    <row r="96" spans="1:1">
      <c r="A96" s="8"/>
    </row>
    <row r="97" spans="1:1">
      <c r="A97" s="8"/>
    </row>
    <row r="98" spans="1:1">
      <c r="A98" s="8"/>
    </row>
    <row r="99" spans="1:1">
      <c r="A99" s="8"/>
    </row>
    <row r="100" spans="1:1">
      <c r="A100" s="8"/>
    </row>
    <row r="101" spans="1:1">
      <c r="A101" s="8"/>
    </row>
    <row r="102" spans="1:1">
      <c r="A102" s="8"/>
    </row>
    <row r="103" spans="1:1">
      <c r="A103" s="8"/>
    </row>
    <row r="104" spans="1:1">
      <c r="A104" s="8"/>
    </row>
    <row r="105" spans="1:1">
      <c r="A105" s="8"/>
    </row>
    <row r="106" spans="1:1">
      <c r="A106" s="8"/>
    </row>
    <row r="107" spans="1:1">
      <c r="A107" s="8"/>
    </row>
    <row r="108" spans="1:1">
      <c r="A108" s="8"/>
    </row>
    <row r="109" spans="1:1">
      <c r="A109" s="8"/>
    </row>
    <row r="110" spans="1:1">
      <c r="A110" s="8"/>
    </row>
    <row r="111" spans="1:1">
      <c r="A111" s="8"/>
    </row>
    <row r="112" spans="1:1">
      <c r="A112" s="8"/>
    </row>
    <row r="113" spans="1:1">
      <c r="A113" s="8"/>
    </row>
    <row r="114" spans="1:1">
      <c r="A114" s="8"/>
    </row>
    <row r="115" spans="1:1">
      <c r="A115" s="8"/>
    </row>
    <row r="116" spans="1:1">
      <c r="A116" s="8"/>
    </row>
    <row r="117" spans="1:1">
      <c r="A117" s="8"/>
    </row>
    <row r="118" spans="1:1">
      <c r="A118" s="8"/>
    </row>
    <row r="119" spans="1:1">
      <c r="A119" s="8"/>
    </row>
    <row r="120" spans="1:1">
      <c r="A120" s="8"/>
    </row>
    <row r="121" spans="1:1">
      <c r="A121" s="8"/>
    </row>
    <row r="122" spans="1:1">
      <c r="A122" s="8"/>
    </row>
    <row r="123" spans="1:1">
      <c r="A123" s="8"/>
    </row>
    <row r="124" spans="1:1">
      <c r="A124" s="8"/>
    </row>
    <row r="125" spans="1:1">
      <c r="A125" s="8"/>
    </row>
    <row r="126" spans="1:1">
      <c r="A126" s="8"/>
    </row>
    <row r="127" spans="1:1">
      <c r="A127" s="8"/>
    </row>
    <row r="128" spans="1:1">
      <c r="A128" s="8"/>
    </row>
    <row r="129" spans="1:1">
      <c r="A129" s="8"/>
    </row>
    <row r="130" spans="1:1">
      <c r="A130" s="8"/>
    </row>
    <row r="131" spans="1:1">
      <c r="A131" s="8"/>
    </row>
    <row r="132" spans="1:1">
      <c r="A132" s="8"/>
    </row>
    <row r="133" spans="1:1">
      <c r="A133" s="8"/>
    </row>
    <row r="134" spans="1:1">
      <c r="A134" s="8"/>
    </row>
    <row r="135" spans="1:1">
      <c r="A135" s="8"/>
    </row>
    <row r="136" spans="1:1">
      <c r="A136" s="8"/>
    </row>
    <row r="137" spans="1:1">
      <c r="A137" s="8"/>
    </row>
    <row r="138" spans="1:1">
      <c r="A138" s="8"/>
    </row>
    <row r="139" spans="1:1">
      <c r="A139" s="8"/>
    </row>
    <row r="140" spans="1:1">
      <c r="A140" s="8"/>
    </row>
    <row r="141" spans="1:1">
      <c r="A141" s="8"/>
    </row>
    <row r="142" spans="1:1">
      <c r="A142" s="8"/>
    </row>
    <row r="143" spans="1:1">
      <c r="A143" s="8"/>
    </row>
    <row r="144" spans="1:1">
      <c r="A144" s="8"/>
    </row>
    <row r="145" spans="1:1">
      <c r="A145" s="8"/>
    </row>
    <row r="146" spans="1:1">
      <c r="A146" s="8"/>
    </row>
    <row r="147" spans="1:1">
      <c r="A147" s="8"/>
    </row>
    <row r="148" spans="1:1">
      <c r="A148" s="8"/>
    </row>
    <row r="149" spans="1:1">
      <c r="A149" s="8"/>
    </row>
    <row r="150" spans="1:1">
      <c r="A150" s="8"/>
    </row>
    <row r="151" spans="1:1">
      <c r="A151" s="8"/>
    </row>
    <row r="152" spans="1:1">
      <c r="A152" s="8"/>
    </row>
    <row r="153" spans="1:1">
      <c r="A153" s="8"/>
    </row>
    <row r="154" spans="1:1">
      <c r="A154" s="8"/>
    </row>
    <row r="155" spans="1:1">
      <c r="A155" s="8"/>
    </row>
    <row r="156" spans="1:1">
      <c r="A156" s="8"/>
    </row>
    <row r="157" spans="1:1">
      <c r="A157" s="8"/>
    </row>
    <row r="158" spans="1:1">
      <c r="A158" s="8"/>
    </row>
    <row r="159" spans="1:1">
      <c r="A159" s="8"/>
    </row>
    <row r="160" spans="1:1">
      <c r="A160" s="8"/>
    </row>
    <row r="161" spans="1:1">
      <c r="A161" s="8"/>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honeticPr fontId="22"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B981-7851-6B49-A13A-6A30E34079DA}">
  <sheetPr>
    <tabColor theme="6" tint="0.79998168889431442"/>
  </sheetPr>
  <dimension ref="A1:H1000"/>
  <sheetViews>
    <sheetView workbookViewId="0">
      <pane ySplit="1" topLeftCell="A9" activePane="bottomLeft" state="frozen"/>
      <selection activeCell="I19" sqref="I18:I19"/>
      <selection pane="bottomLeft" activeCell="I19" sqref="I18:I19"/>
    </sheetView>
  </sheetViews>
  <sheetFormatPr baseColWidth="10" defaultRowHeight="13"/>
  <cols>
    <col min="1" max="1" width="24" customWidth="1"/>
    <col min="2" max="2" width="10.3984375" customWidth="1"/>
    <col min="3" max="3" width="22" customWidth="1"/>
    <col min="4" max="5" width="37" customWidth="1"/>
    <col min="6" max="8" width="10.3984375" customWidth="1"/>
  </cols>
  <sheetData>
    <row r="1" spans="1:8" ht="28" customHeight="1">
      <c r="A1" s="19" t="s">
        <v>49</v>
      </c>
      <c r="B1" s="19" t="s">
        <v>136</v>
      </c>
      <c r="C1" s="19" t="s">
        <v>50</v>
      </c>
      <c r="D1" s="19" t="s">
        <v>137</v>
      </c>
      <c r="E1" s="19" t="s">
        <v>35</v>
      </c>
      <c r="F1" s="19" t="s">
        <v>51</v>
      </c>
      <c r="G1" s="19" t="s">
        <v>52</v>
      </c>
      <c r="H1" s="19" t="s">
        <v>53</v>
      </c>
    </row>
    <row r="2" spans="1:8" ht="18" customHeight="1">
      <c r="A2" s="20" t="s">
        <v>77</v>
      </c>
      <c r="B2" s="21" t="s">
        <v>54</v>
      </c>
      <c r="C2" s="18" t="s">
        <v>78</v>
      </c>
      <c r="D2" s="18" t="s">
        <v>79</v>
      </c>
      <c r="E2" s="18" t="s">
        <v>80</v>
      </c>
      <c r="F2" s="18">
        <v>2</v>
      </c>
      <c r="G2" s="18">
        <v>5</v>
      </c>
      <c r="H2" s="18">
        <f t="shared" ref="H2:H21" si="0">F2*G2</f>
        <v>10</v>
      </c>
    </row>
    <row r="3" spans="1:8" ht="18" customHeight="1">
      <c r="A3" s="20" t="s">
        <v>77</v>
      </c>
      <c r="B3" s="21" t="s">
        <v>55</v>
      </c>
      <c r="C3" s="18" t="s">
        <v>78</v>
      </c>
      <c r="D3" s="18" t="s">
        <v>81</v>
      </c>
      <c r="E3" s="18" t="s">
        <v>82</v>
      </c>
      <c r="F3" s="18">
        <v>2</v>
      </c>
      <c r="G3" s="18">
        <v>4</v>
      </c>
      <c r="H3" s="18">
        <f t="shared" si="0"/>
        <v>8</v>
      </c>
    </row>
    <row r="4" spans="1:8" ht="18" customHeight="1">
      <c r="A4" s="20" t="s">
        <v>77</v>
      </c>
      <c r="B4" s="21" t="s">
        <v>56</v>
      </c>
      <c r="C4" s="18" t="s">
        <v>78</v>
      </c>
      <c r="D4" s="18" t="s">
        <v>83</v>
      </c>
      <c r="E4" s="18" t="s">
        <v>84</v>
      </c>
      <c r="F4" s="18">
        <v>3</v>
      </c>
      <c r="G4" s="18">
        <v>5</v>
      </c>
      <c r="H4" s="18">
        <f t="shared" si="0"/>
        <v>15</v>
      </c>
    </row>
    <row r="5" spans="1:8" ht="18" customHeight="1">
      <c r="A5" s="20" t="s">
        <v>77</v>
      </c>
      <c r="B5" s="21" t="s">
        <v>57</v>
      </c>
      <c r="C5" s="18" t="s">
        <v>85</v>
      </c>
      <c r="D5" s="18" t="s">
        <v>139</v>
      </c>
      <c r="E5" s="18" t="s">
        <v>86</v>
      </c>
      <c r="F5" s="18">
        <v>3</v>
      </c>
      <c r="G5" s="18">
        <v>2</v>
      </c>
      <c r="H5" s="18">
        <f t="shared" si="0"/>
        <v>6</v>
      </c>
    </row>
    <row r="6" spans="1:8" ht="18" customHeight="1">
      <c r="A6" s="20" t="s">
        <v>77</v>
      </c>
      <c r="B6" s="21" t="s">
        <v>58</v>
      </c>
      <c r="C6" s="18" t="s">
        <v>85</v>
      </c>
      <c r="D6" s="18" t="s">
        <v>140</v>
      </c>
      <c r="E6" s="18" t="s">
        <v>87</v>
      </c>
      <c r="F6" s="18">
        <v>2</v>
      </c>
      <c r="G6" s="18">
        <v>3</v>
      </c>
      <c r="H6" s="18">
        <f t="shared" si="0"/>
        <v>6</v>
      </c>
    </row>
    <row r="7" spans="1:8" ht="18" customHeight="1">
      <c r="A7" s="20" t="s">
        <v>77</v>
      </c>
      <c r="B7" s="21" t="s">
        <v>59</v>
      </c>
      <c r="C7" s="18" t="s">
        <v>85</v>
      </c>
      <c r="D7" s="18" t="s">
        <v>88</v>
      </c>
      <c r="E7" s="18" t="s">
        <v>89</v>
      </c>
      <c r="F7" s="18">
        <v>2</v>
      </c>
      <c r="G7" s="18">
        <v>3</v>
      </c>
      <c r="H7" s="18">
        <f t="shared" si="0"/>
        <v>6</v>
      </c>
    </row>
    <row r="8" spans="1:8" ht="18" customHeight="1">
      <c r="A8" s="20" t="s">
        <v>77</v>
      </c>
      <c r="B8" s="21" t="s">
        <v>60</v>
      </c>
      <c r="C8" s="18" t="s">
        <v>90</v>
      </c>
      <c r="D8" s="18" t="s">
        <v>91</v>
      </c>
      <c r="E8" s="18" t="s">
        <v>92</v>
      </c>
      <c r="F8" s="18">
        <v>3</v>
      </c>
      <c r="G8" s="18">
        <v>4</v>
      </c>
      <c r="H8" s="18">
        <f t="shared" si="0"/>
        <v>12</v>
      </c>
    </row>
    <row r="9" spans="1:8" ht="18" customHeight="1">
      <c r="A9" s="20" t="s">
        <v>77</v>
      </c>
      <c r="B9" s="21" t="s">
        <v>61</v>
      </c>
      <c r="C9" s="18" t="s">
        <v>90</v>
      </c>
      <c r="D9" s="18" t="s">
        <v>93</v>
      </c>
      <c r="E9" s="18" t="s">
        <v>94</v>
      </c>
      <c r="F9" s="18">
        <v>2</v>
      </c>
      <c r="G9" s="18">
        <v>2</v>
      </c>
      <c r="H9" s="18">
        <f t="shared" si="0"/>
        <v>4</v>
      </c>
    </row>
    <row r="10" spans="1:8" ht="18" customHeight="1">
      <c r="A10" s="20" t="s">
        <v>77</v>
      </c>
      <c r="B10" s="21" t="s">
        <v>95</v>
      </c>
      <c r="C10" s="18" t="s">
        <v>90</v>
      </c>
      <c r="D10" s="18" t="s">
        <v>96</v>
      </c>
      <c r="E10" s="18" t="s">
        <v>97</v>
      </c>
      <c r="F10" s="18">
        <v>3</v>
      </c>
      <c r="G10" s="18">
        <v>2</v>
      </c>
      <c r="H10" s="18">
        <f t="shared" si="0"/>
        <v>6</v>
      </c>
    </row>
    <row r="11" spans="1:8" ht="18" customHeight="1">
      <c r="A11" s="20" t="s">
        <v>77</v>
      </c>
      <c r="B11" s="21" t="s">
        <v>62</v>
      </c>
      <c r="C11" s="18" t="s">
        <v>98</v>
      </c>
      <c r="D11" s="18" t="s">
        <v>99</v>
      </c>
      <c r="E11" s="18" t="s">
        <v>100</v>
      </c>
      <c r="F11" s="18">
        <v>3</v>
      </c>
      <c r="G11" s="18">
        <v>5</v>
      </c>
      <c r="H11" s="18">
        <f t="shared" si="0"/>
        <v>15</v>
      </c>
    </row>
    <row r="12" spans="1:8" ht="18" customHeight="1">
      <c r="A12" s="20" t="s">
        <v>77</v>
      </c>
      <c r="B12" s="21" t="s">
        <v>63</v>
      </c>
      <c r="C12" s="18" t="s">
        <v>98</v>
      </c>
      <c r="D12" s="18" t="s">
        <v>101</v>
      </c>
      <c r="E12" s="18" t="s">
        <v>102</v>
      </c>
      <c r="F12" s="18">
        <v>2</v>
      </c>
      <c r="G12" s="18">
        <v>5</v>
      </c>
      <c r="H12" s="18">
        <f t="shared" si="0"/>
        <v>10</v>
      </c>
    </row>
    <row r="13" spans="1:8" ht="18" customHeight="1">
      <c r="A13" s="20" t="s">
        <v>77</v>
      </c>
      <c r="B13" s="21" t="s">
        <v>64</v>
      </c>
      <c r="C13" s="18" t="s">
        <v>98</v>
      </c>
      <c r="D13" s="18" t="s">
        <v>103</v>
      </c>
      <c r="E13" s="18" t="s">
        <v>104</v>
      </c>
      <c r="F13" s="18">
        <v>2</v>
      </c>
      <c r="G13" s="18">
        <v>3</v>
      </c>
      <c r="H13" s="18">
        <f t="shared" si="0"/>
        <v>6</v>
      </c>
    </row>
    <row r="14" spans="1:8" ht="18" customHeight="1">
      <c r="A14" s="20" t="s">
        <v>77</v>
      </c>
      <c r="B14" s="21" t="s">
        <v>105</v>
      </c>
      <c r="C14" s="18" t="s">
        <v>106</v>
      </c>
      <c r="D14" s="18" t="s">
        <v>107</v>
      </c>
      <c r="E14" s="18" t="s">
        <v>108</v>
      </c>
      <c r="F14" s="18">
        <v>3</v>
      </c>
      <c r="G14" s="18">
        <v>3</v>
      </c>
      <c r="H14" s="18">
        <f t="shared" si="0"/>
        <v>9</v>
      </c>
    </row>
    <row r="15" spans="1:8" ht="18" customHeight="1">
      <c r="A15" s="20" t="s">
        <v>77</v>
      </c>
      <c r="B15" s="21" t="s">
        <v>109</v>
      </c>
      <c r="C15" s="18" t="s">
        <v>106</v>
      </c>
      <c r="D15" s="18" t="s">
        <v>110</v>
      </c>
      <c r="E15" s="18" t="s">
        <v>111</v>
      </c>
      <c r="F15" s="18">
        <v>2</v>
      </c>
      <c r="G15" s="18">
        <v>4</v>
      </c>
      <c r="H15" s="18">
        <f t="shared" si="0"/>
        <v>8</v>
      </c>
    </row>
    <row r="16" spans="1:8" ht="18" customHeight="1">
      <c r="A16" s="20" t="s">
        <v>77</v>
      </c>
      <c r="B16" s="21" t="s">
        <v>112</v>
      </c>
      <c r="C16" s="18" t="s">
        <v>106</v>
      </c>
      <c r="D16" s="18" t="s">
        <v>113</v>
      </c>
      <c r="E16" s="18" t="s">
        <v>114</v>
      </c>
      <c r="F16" s="18">
        <v>4</v>
      </c>
      <c r="G16" s="18">
        <v>1</v>
      </c>
      <c r="H16" s="18">
        <f t="shared" si="0"/>
        <v>4</v>
      </c>
    </row>
    <row r="17" spans="1:8" ht="18" customHeight="1">
      <c r="A17" s="20" t="s">
        <v>77</v>
      </c>
      <c r="B17" s="21" t="s">
        <v>115</v>
      </c>
      <c r="C17" s="18" t="s">
        <v>116</v>
      </c>
      <c r="D17" s="18" t="s">
        <v>117</v>
      </c>
      <c r="E17" s="18" t="s">
        <v>118</v>
      </c>
      <c r="F17" s="18">
        <v>2</v>
      </c>
      <c r="G17" s="18">
        <v>5</v>
      </c>
      <c r="H17" s="18">
        <f t="shared" si="0"/>
        <v>10</v>
      </c>
    </row>
    <row r="18" spans="1:8" ht="18" customHeight="1">
      <c r="A18" s="20" t="s">
        <v>77</v>
      </c>
      <c r="B18" s="21" t="s">
        <v>119</v>
      </c>
      <c r="C18" s="18" t="s">
        <v>116</v>
      </c>
      <c r="D18" s="18" t="s">
        <v>120</v>
      </c>
      <c r="E18" s="18" t="s">
        <v>121</v>
      </c>
      <c r="F18" s="18">
        <v>2</v>
      </c>
      <c r="G18" s="18">
        <v>5</v>
      </c>
      <c r="H18" s="18">
        <f t="shared" si="0"/>
        <v>10</v>
      </c>
    </row>
    <row r="19" spans="1:8" ht="18" customHeight="1">
      <c r="A19" s="20" t="s">
        <v>77</v>
      </c>
      <c r="B19" s="21" t="s">
        <v>122</v>
      </c>
      <c r="C19" s="18" t="s">
        <v>116</v>
      </c>
      <c r="D19" s="18" t="s">
        <v>123</v>
      </c>
      <c r="E19" s="18" t="s">
        <v>124</v>
      </c>
      <c r="F19" s="18">
        <v>3</v>
      </c>
      <c r="G19" s="18">
        <v>4</v>
      </c>
      <c r="H19" s="18">
        <f t="shared" si="0"/>
        <v>12</v>
      </c>
    </row>
    <row r="20" spans="1:8" ht="18" customHeight="1">
      <c r="A20" s="20" t="s">
        <v>77</v>
      </c>
      <c r="B20" s="21" t="s">
        <v>125</v>
      </c>
      <c r="C20" s="18" t="s">
        <v>126</v>
      </c>
      <c r="D20" s="18" t="s">
        <v>127</v>
      </c>
      <c r="E20" s="18" t="s">
        <v>128</v>
      </c>
      <c r="F20" s="18">
        <v>3</v>
      </c>
      <c r="G20" s="18">
        <v>5</v>
      </c>
      <c r="H20" s="18">
        <f t="shared" si="0"/>
        <v>15</v>
      </c>
    </row>
    <row r="21" spans="1:8" ht="18" customHeight="1">
      <c r="A21" s="20" t="s">
        <v>77</v>
      </c>
      <c r="B21" s="21" t="s">
        <v>129</v>
      </c>
      <c r="C21" s="18" t="s">
        <v>126</v>
      </c>
      <c r="D21" s="18" t="s">
        <v>130</v>
      </c>
      <c r="E21" s="18" t="s">
        <v>131</v>
      </c>
      <c r="F21" s="18">
        <v>2</v>
      </c>
      <c r="G21" s="18">
        <v>5</v>
      </c>
      <c r="H21" s="18">
        <f t="shared" si="0"/>
        <v>10</v>
      </c>
    </row>
    <row r="22" spans="1:8">
      <c r="A22" s="9"/>
      <c r="B22" s="11"/>
    </row>
    <row r="23" spans="1:8">
      <c r="A23" s="9"/>
      <c r="B23" s="11"/>
    </row>
    <row r="24" spans="1:8">
      <c r="A24" s="9"/>
      <c r="B24" s="11"/>
    </row>
    <row r="25" spans="1:8">
      <c r="A25" s="9"/>
      <c r="B25" s="11"/>
    </row>
    <row r="26" spans="1:8">
      <c r="A26" s="9"/>
      <c r="B26" s="11"/>
    </row>
    <row r="27" spans="1:8">
      <c r="A27" s="9"/>
      <c r="B27" s="11"/>
    </row>
    <row r="28" spans="1:8">
      <c r="A28" s="9"/>
      <c r="B28" s="11"/>
    </row>
    <row r="29" spans="1:8">
      <c r="A29" s="9"/>
      <c r="B29" s="11"/>
    </row>
    <row r="30" spans="1:8">
      <c r="A30" s="9"/>
      <c r="B30" s="11"/>
    </row>
    <row r="31" spans="1:8">
      <c r="A31" s="9"/>
      <c r="B31" s="11"/>
    </row>
    <row r="32" spans="1:8">
      <c r="A32" s="9"/>
      <c r="B32" s="11"/>
    </row>
    <row r="33" spans="1:2">
      <c r="A33" s="9"/>
      <c r="B33" s="11"/>
    </row>
    <row r="34" spans="1:2">
      <c r="A34" s="9"/>
      <c r="B34" s="11"/>
    </row>
    <row r="35" spans="1:2">
      <c r="A35" s="9"/>
      <c r="B35" s="11"/>
    </row>
    <row r="36" spans="1:2">
      <c r="A36" s="9"/>
      <c r="B36" s="11"/>
    </row>
    <row r="37" spans="1:2">
      <c r="A37" s="9"/>
      <c r="B37" s="11"/>
    </row>
    <row r="38" spans="1:2">
      <c r="A38" s="9"/>
      <c r="B38" s="11"/>
    </row>
    <row r="39" spans="1:2">
      <c r="A39" s="9"/>
      <c r="B39" s="11"/>
    </row>
    <row r="40" spans="1:2">
      <c r="A40" s="9"/>
      <c r="B40" s="11"/>
    </row>
    <row r="41" spans="1:2">
      <c r="A41" s="9"/>
      <c r="B41" s="11"/>
    </row>
    <row r="42" spans="1:2">
      <c r="A42" s="9"/>
      <c r="B42" s="11"/>
    </row>
    <row r="43" spans="1:2">
      <c r="A43" s="9"/>
      <c r="B43" s="11"/>
    </row>
    <row r="44" spans="1:2">
      <c r="A44" s="9"/>
      <c r="B44" s="11"/>
    </row>
    <row r="45" spans="1:2">
      <c r="A45" s="9"/>
      <c r="B45" s="11"/>
    </row>
    <row r="46" spans="1:2">
      <c r="A46" s="9"/>
      <c r="B46" s="11"/>
    </row>
    <row r="47" spans="1:2">
      <c r="A47" s="9"/>
      <c r="B47" s="11"/>
    </row>
    <row r="48" spans="1:2">
      <c r="A48" s="9"/>
      <c r="B48" s="11"/>
    </row>
    <row r="49" spans="1:2">
      <c r="A49" s="9"/>
      <c r="B49" s="11"/>
    </row>
    <row r="50" spans="1:2">
      <c r="A50" s="9"/>
      <c r="B50" s="11"/>
    </row>
    <row r="51" spans="1:2">
      <c r="A51" s="9"/>
      <c r="B51" s="11"/>
    </row>
    <row r="52" spans="1:2">
      <c r="A52" s="9"/>
      <c r="B52" s="11"/>
    </row>
    <row r="53" spans="1:2">
      <c r="A53" s="9"/>
      <c r="B53" s="11"/>
    </row>
    <row r="54" spans="1:2">
      <c r="A54" s="9"/>
      <c r="B54" s="11"/>
    </row>
    <row r="55" spans="1:2">
      <c r="A55" s="9"/>
      <c r="B55" s="11"/>
    </row>
    <row r="56" spans="1:2">
      <c r="A56" s="9"/>
      <c r="B56" s="11"/>
    </row>
    <row r="57" spans="1:2">
      <c r="A57" s="9"/>
      <c r="B57" s="11"/>
    </row>
    <row r="58" spans="1:2">
      <c r="A58" s="9"/>
      <c r="B58" s="11"/>
    </row>
    <row r="59" spans="1:2">
      <c r="A59" s="9"/>
      <c r="B59" s="11"/>
    </row>
    <row r="60" spans="1:2">
      <c r="A60" s="9"/>
      <c r="B60" s="11"/>
    </row>
    <row r="61" spans="1:2">
      <c r="A61" s="9"/>
      <c r="B61" s="11"/>
    </row>
    <row r="62" spans="1:2">
      <c r="A62" s="9"/>
      <c r="B62" s="11"/>
    </row>
    <row r="63" spans="1:2">
      <c r="A63" s="9"/>
      <c r="B63" s="11"/>
    </row>
    <row r="64" spans="1:2">
      <c r="A64" s="9"/>
      <c r="B64" s="11"/>
    </row>
    <row r="65" spans="1:2">
      <c r="A65" s="9"/>
      <c r="B65" s="11"/>
    </row>
    <row r="66" spans="1:2">
      <c r="A66" s="9"/>
      <c r="B66" s="11"/>
    </row>
    <row r="67" spans="1:2">
      <c r="A67" s="9"/>
      <c r="B67" s="11"/>
    </row>
    <row r="68" spans="1:2">
      <c r="A68" s="9"/>
      <c r="B68" s="11"/>
    </row>
    <row r="69" spans="1:2">
      <c r="A69" s="9"/>
      <c r="B69" s="11"/>
    </row>
    <row r="70" spans="1:2">
      <c r="A70" s="9"/>
      <c r="B70" s="11"/>
    </row>
    <row r="71" spans="1:2">
      <c r="A71" s="9"/>
      <c r="B71" s="11"/>
    </row>
    <row r="72" spans="1:2">
      <c r="A72" s="9"/>
      <c r="B72" s="11"/>
    </row>
    <row r="73" spans="1:2">
      <c r="A73" s="9"/>
      <c r="B73" s="11"/>
    </row>
    <row r="74" spans="1:2">
      <c r="A74" s="9"/>
      <c r="B74" s="11"/>
    </row>
    <row r="75" spans="1:2">
      <c r="A75" s="9"/>
      <c r="B75" s="11"/>
    </row>
    <row r="76" spans="1:2">
      <c r="A76" s="9"/>
      <c r="B76" s="11"/>
    </row>
    <row r="77" spans="1:2">
      <c r="A77" s="9"/>
      <c r="B77" s="11"/>
    </row>
    <row r="78" spans="1:2">
      <c r="A78" s="9"/>
      <c r="B78" s="11"/>
    </row>
    <row r="79" spans="1:2">
      <c r="A79" s="9"/>
      <c r="B79" s="11"/>
    </row>
    <row r="80" spans="1:2">
      <c r="A80" s="9"/>
      <c r="B80" s="11"/>
    </row>
    <row r="81" spans="1:2">
      <c r="A81" s="9"/>
      <c r="B81" s="11"/>
    </row>
    <row r="82" spans="1:2">
      <c r="A82" s="9"/>
      <c r="B82" s="11"/>
    </row>
    <row r="83" spans="1:2">
      <c r="A83" s="9"/>
      <c r="B83" s="11"/>
    </row>
    <row r="84" spans="1:2">
      <c r="A84" s="9"/>
      <c r="B84" s="11"/>
    </row>
    <row r="85" spans="1:2">
      <c r="A85" s="9"/>
      <c r="B85" s="11"/>
    </row>
    <row r="86" spans="1:2">
      <c r="A86" s="9"/>
      <c r="B86" s="11"/>
    </row>
    <row r="87" spans="1:2">
      <c r="A87" s="9"/>
      <c r="B87" s="11"/>
    </row>
    <row r="88" spans="1:2">
      <c r="A88" s="9"/>
      <c r="B88" s="11"/>
    </row>
    <row r="89" spans="1:2">
      <c r="A89" s="9"/>
      <c r="B89" s="11"/>
    </row>
    <row r="90" spans="1:2">
      <c r="A90" s="9"/>
      <c r="B90" s="11"/>
    </row>
    <row r="91" spans="1:2">
      <c r="A91" s="9"/>
      <c r="B91" s="11"/>
    </row>
    <row r="92" spans="1:2">
      <c r="A92" s="9"/>
      <c r="B92" s="11"/>
    </row>
    <row r="93" spans="1:2">
      <c r="A93" s="9"/>
      <c r="B93" s="11"/>
    </row>
    <row r="94" spans="1:2">
      <c r="A94" s="9"/>
      <c r="B94" s="11"/>
    </row>
    <row r="95" spans="1:2">
      <c r="A95" s="9"/>
      <c r="B95" s="11"/>
    </row>
    <row r="96" spans="1:2">
      <c r="A96" s="9"/>
      <c r="B96" s="11"/>
    </row>
    <row r="97" spans="1:2">
      <c r="A97" s="9"/>
      <c r="B97" s="11"/>
    </row>
    <row r="98" spans="1:2">
      <c r="A98" s="9"/>
      <c r="B98" s="11"/>
    </row>
    <row r="99" spans="1:2">
      <c r="A99" s="9"/>
      <c r="B99" s="11"/>
    </row>
    <row r="100" spans="1:2">
      <c r="A100" s="9"/>
      <c r="B100" s="11"/>
    </row>
    <row r="101" spans="1:2">
      <c r="A101" s="9"/>
      <c r="B101" s="11"/>
    </row>
    <row r="102" spans="1:2">
      <c r="A102" s="9"/>
      <c r="B102" s="11"/>
    </row>
    <row r="103" spans="1:2">
      <c r="A103" s="9"/>
      <c r="B103" s="11"/>
    </row>
    <row r="104" spans="1:2">
      <c r="A104" s="9"/>
      <c r="B104" s="11"/>
    </row>
    <row r="105" spans="1:2">
      <c r="A105" s="9"/>
      <c r="B105" s="11"/>
    </row>
    <row r="106" spans="1:2">
      <c r="A106" s="9"/>
      <c r="B106" s="11"/>
    </row>
    <row r="107" spans="1:2">
      <c r="A107" s="9"/>
      <c r="B107" s="11"/>
    </row>
    <row r="108" spans="1:2">
      <c r="A108" s="9"/>
      <c r="B108" s="11"/>
    </row>
    <row r="109" spans="1:2">
      <c r="A109" s="9"/>
      <c r="B109" s="11"/>
    </row>
    <row r="110" spans="1:2">
      <c r="A110" s="9"/>
      <c r="B110" s="11"/>
    </row>
    <row r="111" spans="1:2">
      <c r="A111" s="9"/>
      <c r="B111" s="11"/>
    </row>
    <row r="112" spans="1:2">
      <c r="A112" s="9"/>
      <c r="B112" s="11"/>
    </row>
    <row r="113" spans="1:2">
      <c r="A113" s="9"/>
      <c r="B113" s="11"/>
    </row>
    <row r="114" spans="1:2">
      <c r="A114" s="9"/>
      <c r="B114" s="11"/>
    </row>
    <row r="115" spans="1:2">
      <c r="A115" s="9"/>
      <c r="B115" s="11"/>
    </row>
    <row r="116" spans="1:2">
      <c r="A116" s="9"/>
      <c r="B116" s="11"/>
    </row>
    <row r="117" spans="1:2">
      <c r="A117" s="9"/>
      <c r="B117" s="11"/>
    </row>
    <row r="118" spans="1:2">
      <c r="A118" s="9"/>
      <c r="B118" s="11"/>
    </row>
    <row r="119" spans="1:2">
      <c r="A119" s="9"/>
      <c r="B119" s="11"/>
    </row>
    <row r="120" spans="1:2">
      <c r="A120" s="9"/>
      <c r="B120" s="11"/>
    </row>
    <row r="121" spans="1:2">
      <c r="A121" s="9"/>
      <c r="B121" s="11"/>
    </row>
    <row r="122" spans="1:2">
      <c r="A122" s="9"/>
      <c r="B122" s="11"/>
    </row>
    <row r="123" spans="1:2">
      <c r="A123" s="9"/>
      <c r="B123" s="11"/>
    </row>
    <row r="124" spans="1:2">
      <c r="A124" s="9"/>
      <c r="B124" s="11"/>
    </row>
    <row r="125" spans="1:2">
      <c r="A125" s="9"/>
      <c r="B125" s="11"/>
    </row>
    <row r="126" spans="1:2">
      <c r="A126" s="9"/>
      <c r="B126" s="11"/>
    </row>
    <row r="127" spans="1:2">
      <c r="A127" s="9"/>
      <c r="B127" s="11"/>
    </row>
    <row r="128" spans="1:2">
      <c r="A128" s="9"/>
      <c r="B128" s="11"/>
    </row>
    <row r="129" spans="1:2">
      <c r="A129" s="9"/>
      <c r="B129" s="11"/>
    </row>
    <row r="130" spans="1:2">
      <c r="A130" s="9"/>
      <c r="B130" s="11"/>
    </row>
    <row r="131" spans="1:2">
      <c r="A131" s="9"/>
      <c r="B131" s="11"/>
    </row>
    <row r="132" spans="1:2">
      <c r="A132" s="9"/>
      <c r="B132" s="11"/>
    </row>
    <row r="133" spans="1:2">
      <c r="A133" s="9"/>
      <c r="B133" s="11"/>
    </row>
    <row r="134" spans="1:2">
      <c r="A134" s="9"/>
      <c r="B134" s="11"/>
    </row>
    <row r="135" spans="1:2">
      <c r="A135" s="9"/>
      <c r="B135" s="11"/>
    </row>
    <row r="136" spans="1:2">
      <c r="A136" s="9"/>
      <c r="B136" s="11"/>
    </row>
    <row r="137" spans="1:2">
      <c r="A137" s="9"/>
      <c r="B137" s="11"/>
    </row>
    <row r="138" spans="1:2">
      <c r="A138" s="9"/>
      <c r="B138" s="11"/>
    </row>
    <row r="139" spans="1:2">
      <c r="A139" s="9"/>
      <c r="B139" s="11"/>
    </row>
    <row r="140" spans="1:2">
      <c r="A140" s="9"/>
      <c r="B140" s="11"/>
    </row>
    <row r="141" spans="1:2">
      <c r="A141" s="9"/>
      <c r="B141" s="11"/>
    </row>
    <row r="142" spans="1:2">
      <c r="A142" s="9"/>
      <c r="B142" s="11"/>
    </row>
    <row r="143" spans="1:2">
      <c r="A143" s="9"/>
      <c r="B143" s="11"/>
    </row>
    <row r="144" spans="1:2">
      <c r="A144" s="9"/>
      <c r="B144" s="11"/>
    </row>
    <row r="145" spans="1:2">
      <c r="A145" s="9"/>
      <c r="B145" s="11"/>
    </row>
    <row r="146" spans="1:2">
      <c r="A146" s="9"/>
      <c r="B146" s="11"/>
    </row>
    <row r="147" spans="1:2">
      <c r="A147" s="9"/>
      <c r="B147" s="11"/>
    </row>
    <row r="148" spans="1:2">
      <c r="A148" s="9"/>
      <c r="B148" s="11"/>
    </row>
    <row r="149" spans="1:2">
      <c r="A149" s="9"/>
      <c r="B149" s="11"/>
    </row>
    <row r="150" spans="1:2">
      <c r="A150" s="9"/>
      <c r="B150" s="11"/>
    </row>
    <row r="151" spans="1:2">
      <c r="A151" s="9"/>
      <c r="B151" s="11"/>
    </row>
    <row r="152" spans="1:2">
      <c r="A152" s="9"/>
      <c r="B152" s="11"/>
    </row>
    <row r="153" spans="1:2">
      <c r="A153" s="9"/>
      <c r="B153" s="11"/>
    </row>
    <row r="154" spans="1:2">
      <c r="A154" s="9"/>
      <c r="B154" s="11"/>
    </row>
    <row r="155" spans="1:2">
      <c r="A155" s="9"/>
      <c r="B155" s="11"/>
    </row>
    <row r="156" spans="1:2">
      <c r="A156" s="9"/>
      <c r="B156" s="11"/>
    </row>
    <row r="157" spans="1:2">
      <c r="A157" s="9"/>
      <c r="B157" s="11"/>
    </row>
    <row r="158" spans="1:2">
      <c r="A158" s="9"/>
      <c r="B158" s="11"/>
    </row>
    <row r="159" spans="1:2">
      <c r="A159" s="9"/>
      <c r="B159" s="11"/>
    </row>
    <row r="160" spans="1:2">
      <c r="A160" s="9"/>
      <c r="B160" s="11"/>
    </row>
    <row r="161" spans="1:2">
      <c r="A161" s="9"/>
      <c r="B161" s="11"/>
    </row>
    <row r="162" spans="1:2">
      <c r="A162" s="9"/>
      <c r="B162" s="11"/>
    </row>
    <row r="163" spans="1:2">
      <c r="A163" s="9"/>
      <c r="B163" s="11"/>
    </row>
    <row r="164" spans="1:2">
      <c r="A164" s="9"/>
      <c r="B164" s="11"/>
    </row>
    <row r="165" spans="1:2">
      <c r="A165" s="9"/>
      <c r="B165" s="11"/>
    </row>
    <row r="166" spans="1:2">
      <c r="A166" s="9"/>
      <c r="B166" s="11"/>
    </row>
    <row r="167" spans="1:2">
      <c r="A167" s="9"/>
      <c r="B167" s="11"/>
    </row>
    <row r="168" spans="1:2">
      <c r="A168" s="9"/>
      <c r="B168" s="11"/>
    </row>
    <row r="169" spans="1:2">
      <c r="A169" s="9"/>
      <c r="B169" s="11"/>
    </row>
    <row r="170" spans="1:2">
      <c r="A170" s="9"/>
      <c r="B170" s="11"/>
    </row>
    <row r="171" spans="1:2">
      <c r="A171" s="9"/>
      <c r="B171" s="11"/>
    </row>
    <row r="172" spans="1:2">
      <c r="A172" s="9"/>
      <c r="B172" s="11"/>
    </row>
    <row r="173" spans="1:2">
      <c r="A173" s="9"/>
      <c r="B173" s="11"/>
    </row>
    <row r="174" spans="1:2">
      <c r="A174" s="9"/>
      <c r="B174" s="11"/>
    </row>
    <row r="175" spans="1:2">
      <c r="A175" s="9"/>
      <c r="B175" s="11"/>
    </row>
    <row r="176" spans="1:2">
      <c r="A176" s="9"/>
      <c r="B176" s="11"/>
    </row>
    <row r="177" spans="1:2">
      <c r="A177" s="9"/>
      <c r="B177" s="11"/>
    </row>
    <row r="178" spans="1:2">
      <c r="A178" s="9"/>
      <c r="B178" s="11"/>
    </row>
    <row r="179" spans="1:2">
      <c r="A179" s="9"/>
      <c r="B179" s="11"/>
    </row>
    <row r="180" spans="1:2">
      <c r="A180" s="9"/>
      <c r="B180" s="11"/>
    </row>
    <row r="181" spans="1:2">
      <c r="A181" s="9"/>
      <c r="B181" s="11"/>
    </row>
    <row r="182" spans="1:2">
      <c r="A182" s="9"/>
      <c r="B182" s="11"/>
    </row>
    <row r="183" spans="1:2">
      <c r="A183" s="9"/>
      <c r="B183" s="11"/>
    </row>
    <row r="184" spans="1:2">
      <c r="A184" s="9"/>
      <c r="B184" s="11"/>
    </row>
    <row r="185" spans="1:2">
      <c r="A185" s="9"/>
      <c r="B185" s="11"/>
    </row>
    <row r="186" spans="1:2">
      <c r="A186" s="9"/>
      <c r="B186" s="11"/>
    </row>
    <row r="187" spans="1:2">
      <c r="A187" s="9"/>
      <c r="B187" s="11"/>
    </row>
    <row r="188" spans="1:2">
      <c r="A188" s="9"/>
      <c r="B188" s="11"/>
    </row>
    <row r="189" spans="1:2">
      <c r="A189" s="9"/>
      <c r="B189" s="11"/>
    </row>
    <row r="190" spans="1:2">
      <c r="A190" s="9"/>
      <c r="B190" s="11"/>
    </row>
    <row r="191" spans="1:2">
      <c r="A191" s="9"/>
      <c r="B191" s="11"/>
    </row>
    <row r="192" spans="1:2">
      <c r="A192" s="9"/>
      <c r="B192" s="11"/>
    </row>
    <row r="193" spans="1:2">
      <c r="A193" s="9"/>
      <c r="B193" s="11"/>
    </row>
    <row r="194" spans="1:2">
      <c r="A194" s="9"/>
      <c r="B194" s="11"/>
    </row>
    <row r="195" spans="1:2">
      <c r="A195" s="9"/>
      <c r="B195" s="11"/>
    </row>
    <row r="196" spans="1:2">
      <c r="A196" s="9"/>
      <c r="B196" s="11"/>
    </row>
    <row r="197" spans="1:2">
      <c r="A197" s="9"/>
      <c r="B197" s="11"/>
    </row>
    <row r="198" spans="1:2">
      <c r="A198" s="9"/>
      <c r="B198" s="11"/>
    </row>
    <row r="199" spans="1:2">
      <c r="A199" s="9"/>
      <c r="B199" s="11"/>
    </row>
    <row r="200" spans="1:2">
      <c r="A200" s="9"/>
      <c r="B200" s="11"/>
    </row>
    <row r="201" spans="1:2">
      <c r="A201" s="9"/>
      <c r="B201" s="11"/>
    </row>
    <row r="202" spans="1:2">
      <c r="A202" s="9"/>
      <c r="B202" s="11"/>
    </row>
    <row r="203" spans="1:2">
      <c r="A203" s="9"/>
      <c r="B203" s="11"/>
    </row>
    <row r="204" spans="1:2">
      <c r="A204" s="9"/>
      <c r="B204" s="11"/>
    </row>
    <row r="205" spans="1:2">
      <c r="A205" s="9"/>
      <c r="B205" s="11"/>
    </row>
    <row r="206" spans="1:2">
      <c r="A206" s="9"/>
      <c r="B206" s="11"/>
    </row>
    <row r="207" spans="1:2">
      <c r="A207" s="9"/>
      <c r="B207" s="11"/>
    </row>
    <row r="208" spans="1:2">
      <c r="A208" s="9"/>
      <c r="B208" s="11"/>
    </row>
    <row r="209" spans="1:2">
      <c r="A209" s="9"/>
      <c r="B209" s="11"/>
    </row>
    <row r="210" spans="1:2">
      <c r="A210" s="9"/>
      <c r="B210" s="11"/>
    </row>
    <row r="211" spans="1:2">
      <c r="A211" s="9"/>
      <c r="B211" s="11"/>
    </row>
    <row r="212" spans="1:2">
      <c r="A212" s="9"/>
      <c r="B212" s="11"/>
    </row>
    <row r="213" spans="1:2">
      <c r="A213" s="9"/>
      <c r="B213" s="11"/>
    </row>
    <row r="214" spans="1:2">
      <c r="A214" s="9"/>
      <c r="B214" s="11"/>
    </row>
    <row r="215" spans="1:2">
      <c r="A215" s="9"/>
      <c r="B215" s="11"/>
    </row>
    <row r="216" spans="1:2">
      <c r="A216" s="9"/>
      <c r="B216" s="11"/>
    </row>
    <row r="217" spans="1:2">
      <c r="A217" s="9"/>
      <c r="B217" s="11"/>
    </row>
    <row r="218" spans="1:2">
      <c r="A218" s="9"/>
      <c r="B218" s="11"/>
    </row>
    <row r="219" spans="1:2">
      <c r="A219" s="9"/>
      <c r="B219" s="11"/>
    </row>
    <row r="220" spans="1:2">
      <c r="A220" s="9"/>
      <c r="B220" s="11"/>
    </row>
    <row r="221" spans="1:2">
      <c r="A221" s="9"/>
      <c r="B221" s="11"/>
    </row>
    <row r="222" spans="1:2">
      <c r="A222" s="9"/>
      <c r="B222" s="11"/>
    </row>
    <row r="223" spans="1:2">
      <c r="A223" s="9"/>
      <c r="B223" s="11"/>
    </row>
    <row r="224" spans="1:2">
      <c r="A224" s="9"/>
      <c r="B224" s="11"/>
    </row>
    <row r="225" spans="1:2">
      <c r="A225" s="9"/>
      <c r="B225" s="11"/>
    </row>
    <row r="226" spans="1:2">
      <c r="A226" s="9"/>
      <c r="B226" s="11"/>
    </row>
    <row r="227" spans="1:2">
      <c r="A227" s="9"/>
      <c r="B227" s="11"/>
    </row>
    <row r="228" spans="1:2">
      <c r="A228" s="9"/>
      <c r="B228" s="11"/>
    </row>
    <row r="229" spans="1:2">
      <c r="A229" s="9"/>
      <c r="B229" s="11"/>
    </row>
    <row r="230" spans="1:2">
      <c r="A230" s="9"/>
      <c r="B230" s="11"/>
    </row>
    <row r="231" spans="1:2">
      <c r="A231" s="9"/>
      <c r="B231" s="11"/>
    </row>
    <row r="232" spans="1:2">
      <c r="A232" s="9"/>
      <c r="B232" s="11"/>
    </row>
    <row r="233" spans="1:2">
      <c r="A233" s="9"/>
      <c r="B233" s="11"/>
    </row>
    <row r="234" spans="1:2">
      <c r="A234" s="9"/>
      <c r="B234" s="11"/>
    </row>
    <row r="235" spans="1:2">
      <c r="A235" s="9"/>
      <c r="B235" s="11"/>
    </row>
    <row r="236" spans="1:2">
      <c r="A236" s="9"/>
      <c r="B236" s="11"/>
    </row>
    <row r="237" spans="1:2">
      <c r="A237" s="9"/>
      <c r="B237" s="11"/>
    </row>
    <row r="238" spans="1:2">
      <c r="A238" s="9"/>
      <c r="B238" s="11"/>
    </row>
    <row r="239" spans="1:2">
      <c r="A239" s="9"/>
      <c r="B239" s="11"/>
    </row>
    <row r="240" spans="1:2">
      <c r="A240" s="9"/>
      <c r="B240" s="11"/>
    </row>
    <row r="241" spans="1:2">
      <c r="A241" s="9"/>
      <c r="B241" s="11"/>
    </row>
    <row r="242" spans="1:2">
      <c r="A242" s="9"/>
      <c r="B242" s="11"/>
    </row>
    <row r="243" spans="1:2">
      <c r="A243" s="9"/>
      <c r="B243" s="11"/>
    </row>
    <row r="244" spans="1:2">
      <c r="A244" s="9"/>
      <c r="B244" s="11"/>
    </row>
    <row r="245" spans="1:2">
      <c r="A245" s="9"/>
      <c r="B245" s="11"/>
    </row>
    <row r="246" spans="1:2">
      <c r="A246" s="9"/>
      <c r="B246" s="11"/>
    </row>
    <row r="247" spans="1:2">
      <c r="A247" s="9"/>
      <c r="B247" s="11"/>
    </row>
    <row r="248" spans="1:2">
      <c r="A248" s="9"/>
      <c r="B248" s="11"/>
    </row>
    <row r="249" spans="1:2">
      <c r="A249" s="9"/>
      <c r="B249" s="11"/>
    </row>
    <row r="250" spans="1:2">
      <c r="A250" s="9"/>
      <c r="B250" s="11"/>
    </row>
    <row r="251" spans="1:2">
      <c r="A251" s="9"/>
      <c r="B251" s="11"/>
    </row>
    <row r="252" spans="1:2">
      <c r="A252" s="9"/>
      <c r="B252" s="11"/>
    </row>
    <row r="253" spans="1:2">
      <c r="A253" s="9"/>
      <c r="B253" s="11"/>
    </row>
    <row r="254" spans="1:2">
      <c r="A254" s="9"/>
      <c r="B254" s="11"/>
    </row>
    <row r="255" spans="1:2">
      <c r="A255" s="9"/>
      <c r="B255" s="11"/>
    </row>
    <row r="256" spans="1:2">
      <c r="A256" s="9"/>
      <c r="B256" s="11"/>
    </row>
    <row r="257" spans="1:2">
      <c r="A257" s="9"/>
      <c r="B257" s="11"/>
    </row>
    <row r="258" spans="1:2">
      <c r="A258" s="9"/>
      <c r="B258" s="11"/>
    </row>
    <row r="259" spans="1:2">
      <c r="A259" s="9"/>
      <c r="B259" s="11"/>
    </row>
    <row r="260" spans="1:2">
      <c r="A260" s="9"/>
      <c r="B260" s="11"/>
    </row>
    <row r="261" spans="1:2">
      <c r="A261" s="9"/>
      <c r="B261" s="11"/>
    </row>
    <row r="262" spans="1:2">
      <c r="A262" s="9"/>
      <c r="B262" s="11"/>
    </row>
    <row r="263" spans="1:2">
      <c r="A263" s="9"/>
      <c r="B263" s="11"/>
    </row>
    <row r="264" spans="1:2">
      <c r="A264" s="9"/>
      <c r="B264" s="11"/>
    </row>
    <row r="265" spans="1:2">
      <c r="A265" s="9"/>
      <c r="B265" s="11"/>
    </row>
    <row r="266" spans="1:2">
      <c r="A266" s="9"/>
      <c r="B266" s="11"/>
    </row>
    <row r="267" spans="1:2">
      <c r="A267" s="9"/>
      <c r="B267" s="11"/>
    </row>
    <row r="268" spans="1:2">
      <c r="A268" s="9"/>
      <c r="B268" s="11"/>
    </row>
    <row r="269" spans="1:2">
      <c r="A269" s="9"/>
      <c r="B269" s="11"/>
    </row>
    <row r="270" spans="1:2">
      <c r="A270" s="9"/>
      <c r="B270" s="11"/>
    </row>
    <row r="271" spans="1:2">
      <c r="A271" s="9"/>
      <c r="B271" s="11"/>
    </row>
    <row r="272" spans="1:2">
      <c r="A272" s="9"/>
      <c r="B272" s="11"/>
    </row>
    <row r="273" spans="1:2">
      <c r="A273" s="9"/>
      <c r="B273" s="11"/>
    </row>
    <row r="274" spans="1:2">
      <c r="A274" s="9"/>
      <c r="B274" s="11"/>
    </row>
    <row r="275" spans="1:2">
      <c r="A275" s="9"/>
      <c r="B275" s="11"/>
    </row>
    <row r="276" spans="1:2">
      <c r="A276" s="9"/>
      <c r="B276" s="11"/>
    </row>
    <row r="277" spans="1:2">
      <c r="A277" s="9"/>
      <c r="B277" s="11"/>
    </row>
    <row r="278" spans="1:2">
      <c r="A278" s="9"/>
      <c r="B278" s="11"/>
    </row>
    <row r="279" spans="1:2">
      <c r="A279" s="9"/>
      <c r="B279" s="11"/>
    </row>
    <row r="280" spans="1:2">
      <c r="A280" s="9"/>
      <c r="B280" s="11"/>
    </row>
    <row r="281" spans="1:2">
      <c r="A281" s="9"/>
      <c r="B281" s="11"/>
    </row>
    <row r="282" spans="1:2">
      <c r="A282" s="9"/>
      <c r="B282" s="11"/>
    </row>
    <row r="283" spans="1:2">
      <c r="A283" s="9"/>
      <c r="B283" s="11"/>
    </row>
    <row r="284" spans="1:2">
      <c r="A284" s="9"/>
      <c r="B284" s="11"/>
    </row>
    <row r="285" spans="1:2">
      <c r="A285" s="9"/>
      <c r="B285" s="11"/>
    </row>
    <row r="286" spans="1:2">
      <c r="A286" s="9"/>
      <c r="B286" s="11"/>
    </row>
    <row r="287" spans="1:2">
      <c r="A287" s="9"/>
      <c r="B287" s="11"/>
    </row>
    <row r="288" spans="1:2">
      <c r="A288" s="9"/>
      <c r="B288" s="11"/>
    </row>
    <row r="289" spans="1:2">
      <c r="A289" s="9"/>
      <c r="B289" s="11"/>
    </row>
    <row r="290" spans="1:2">
      <c r="A290" s="9"/>
      <c r="B290" s="11"/>
    </row>
    <row r="291" spans="1:2">
      <c r="A291" s="9"/>
      <c r="B291" s="11"/>
    </row>
    <row r="292" spans="1:2">
      <c r="A292" s="9"/>
      <c r="B292" s="11"/>
    </row>
    <row r="293" spans="1:2">
      <c r="A293" s="9"/>
      <c r="B293" s="11"/>
    </row>
    <row r="294" spans="1:2">
      <c r="A294" s="9"/>
      <c r="B294" s="11"/>
    </row>
    <row r="295" spans="1:2">
      <c r="A295" s="9"/>
      <c r="B295" s="11"/>
    </row>
    <row r="296" spans="1:2">
      <c r="A296" s="9"/>
      <c r="B296" s="11"/>
    </row>
    <row r="297" spans="1:2">
      <c r="A297" s="9"/>
      <c r="B297" s="11"/>
    </row>
    <row r="298" spans="1:2">
      <c r="A298" s="9"/>
      <c r="B298" s="11"/>
    </row>
    <row r="299" spans="1:2">
      <c r="A299" s="9"/>
      <c r="B299" s="11"/>
    </row>
    <row r="300" spans="1:2">
      <c r="A300" s="9"/>
      <c r="B300" s="11"/>
    </row>
    <row r="301" spans="1:2">
      <c r="A301" s="9"/>
      <c r="B301" s="11"/>
    </row>
    <row r="302" spans="1:2">
      <c r="A302" s="9"/>
      <c r="B302" s="11"/>
    </row>
    <row r="303" spans="1:2">
      <c r="A303" s="9"/>
      <c r="B303" s="11"/>
    </row>
    <row r="304" spans="1:2">
      <c r="A304" s="9"/>
      <c r="B304" s="11"/>
    </row>
    <row r="305" spans="1:2">
      <c r="A305" s="9"/>
      <c r="B305" s="11"/>
    </row>
    <row r="306" spans="1:2">
      <c r="A306" s="9"/>
      <c r="B306" s="11"/>
    </row>
    <row r="307" spans="1:2">
      <c r="A307" s="9"/>
      <c r="B307" s="11"/>
    </row>
    <row r="308" spans="1:2">
      <c r="A308" s="9"/>
      <c r="B308" s="11"/>
    </row>
    <row r="309" spans="1:2">
      <c r="A309" s="9"/>
      <c r="B309" s="11"/>
    </row>
    <row r="310" spans="1:2">
      <c r="A310" s="9"/>
      <c r="B310" s="11"/>
    </row>
    <row r="311" spans="1:2">
      <c r="A311" s="9"/>
      <c r="B311" s="11"/>
    </row>
    <row r="312" spans="1:2">
      <c r="A312" s="9"/>
      <c r="B312" s="11"/>
    </row>
    <row r="313" spans="1:2">
      <c r="A313" s="9"/>
      <c r="B313" s="11"/>
    </row>
    <row r="314" spans="1:2">
      <c r="A314" s="9"/>
      <c r="B314" s="11"/>
    </row>
    <row r="315" spans="1:2">
      <c r="A315" s="9"/>
      <c r="B315" s="11"/>
    </row>
    <row r="316" spans="1:2">
      <c r="A316" s="9"/>
      <c r="B316" s="11"/>
    </row>
    <row r="317" spans="1:2">
      <c r="A317" s="9"/>
      <c r="B317" s="11"/>
    </row>
    <row r="318" spans="1:2">
      <c r="A318" s="9"/>
      <c r="B318" s="11"/>
    </row>
    <row r="319" spans="1:2">
      <c r="A319" s="9"/>
      <c r="B319" s="11"/>
    </row>
    <row r="320" spans="1:2">
      <c r="A320" s="9"/>
      <c r="B320" s="11"/>
    </row>
    <row r="321" spans="1:2">
      <c r="A321" s="9"/>
      <c r="B321" s="11"/>
    </row>
    <row r="322" spans="1:2">
      <c r="A322" s="9"/>
      <c r="B322" s="11"/>
    </row>
    <row r="323" spans="1:2">
      <c r="A323" s="9"/>
      <c r="B323" s="11"/>
    </row>
    <row r="324" spans="1:2">
      <c r="A324" s="9"/>
      <c r="B324" s="11"/>
    </row>
    <row r="325" spans="1:2">
      <c r="A325" s="9"/>
      <c r="B325" s="11"/>
    </row>
    <row r="326" spans="1:2">
      <c r="A326" s="9"/>
      <c r="B326" s="11"/>
    </row>
    <row r="327" spans="1:2">
      <c r="A327" s="9"/>
      <c r="B327" s="11"/>
    </row>
    <row r="328" spans="1:2">
      <c r="A328" s="9"/>
      <c r="B328" s="11"/>
    </row>
    <row r="329" spans="1:2">
      <c r="A329" s="9"/>
      <c r="B329" s="11"/>
    </row>
    <row r="330" spans="1:2">
      <c r="A330" s="9"/>
      <c r="B330" s="11"/>
    </row>
    <row r="331" spans="1:2">
      <c r="A331" s="9"/>
      <c r="B331" s="11"/>
    </row>
    <row r="332" spans="1:2">
      <c r="A332" s="9"/>
      <c r="B332" s="11"/>
    </row>
    <row r="333" spans="1:2">
      <c r="A333" s="9"/>
      <c r="B333" s="11"/>
    </row>
    <row r="334" spans="1:2">
      <c r="A334" s="9"/>
      <c r="B334" s="11"/>
    </row>
    <row r="335" spans="1:2">
      <c r="A335" s="9"/>
      <c r="B335" s="11"/>
    </row>
    <row r="336" spans="1:2">
      <c r="A336" s="9"/>
      <c r="B336" s="11"/>
    </row>
    <row r="337" spans="1:2">
      <c r="A337" s="9"/>
      <c r="B337" s="11"/>
    </row>
    <row r="338" spans="1:2">
      <c r="A338" s="9"/>
      <c r="B338" s="11"/>
    </row>
    <row r="339" spans="1:2">
      <c r="A339" s="9"/>
      <c r="B339" s="11"/>
    </row>
    <row r="340" spans="1:2">
      <c r="A340" s="9"/>
      <c r="B340" s="11"/>
    </row>
    <row r="341" spans="1:2">
      <c r="A341" s="9"/>
      <c r="B341" s="11"/>
    </row>
    <row r="342" spans="1:2">
      <c r="A342" s="9"/>
      <c r="B342" s="11"/>
    </row>
    <row r="343" spans="1:2">
      <c r="A343" s="9"/>
      <c r="B343" s="11"/>
    </row>
    <row r="344" spans="1:2">
      <c r="A344" s="9"/>
      <c r="B344" s="11"/>
    </row>
    <row r="345" spans="1:2">
      <c r="A345" s="9"/>
      <c r="B345" s="11"/>
    </row>
    <row r="346" spans="1:2">
      <c r="A346" s="9"/>
      <c r="B346" s="11"/>
    </row>
    <row r="347" spans="1:2">
      <c r="A347" s="9"/>
      <c r="B347" s="11"/>
    </row>
    <row r="348" spans="1:2">
      <c r="A348" s="9"/>
      <c r="B348" s="11"/>
    </row>
    <row r="349" spans="1:2">
      <c r="A349" s="9"/>
      <c r="B349" s="11"/>
    </row>
    <row r="350" spans="1:2">
      <c r="A350" s="9"/>
      <c r="B350" s="11"/>
    </row>
    <row r="351" spans="1:2">
      <c r="A351" s="9"/>
      <c r="B351" s="11"/>
    </row>
    <row r="352" spans="1:2">
      <c r="A352" s="9"/>
      <c r="B352" s="11"/>
    </row>
    <row r="353" spans="1:2">
      <c r="A353" s="9"/>
      <c r="B353" s="11"/>
    </row>
    <row r="354" spans="1:2">
      <c r="A354" s="9"/>
      <c r="B354" s="11"/>
    </row>
    <row r="355" spans="1:2">
      <c r="A355" s="9"/>
      <c r="B355" s="11"/>
    </row>
    <row r="356" spans="1:2">
      <c r="A356" s="9"/>
      <c r="B356" s="11"/>
    </row>
    <row r="357" spans="1:2">
      <c r="A357" s="9"/>
      <c r="B357" s="11"/>
    </row>
    <row r="358" spans="1:2">
      <c r="A358" s="9"/>
      <c r="B358" s="11"/>
    </row>
    <row r="359" spans="1:2">
      <c r="A359" s="9"/>
      <c r="B359" s="11"/>
    </row>
    <row r="360" spans="1:2">
      <c r="A360" s="9"/>
      <c r="B360" s="11"/>
    </row>
    <row r="361" spans="1:2">
      <c r="A361" s="9"/>
      <c r="B361" s="11"/>
    </row>
    <row r="362" spans="1:2">
      <c r="A362" s="9"/>
      <c r="B362" s="11"/>
    </row>
    <row r="363" spans="1:2">
      <c r="A363" s="9"/>
      <c r="B363" s="11"/>
    </row>
    <row r="364" spans="1:2">
      <c r="A364" s="9"/>
      <c r="B364" s="11"/>
    </row>
    <row r="365" spans="1:2">
      <c r="A365" s="9"/>
      <c r="B365" s="11"/>
    </row>
    <row r="366" spans="1:2">
      <c r="A366" s="9"/>
      <c r="B366" s="11"/>
    </row>
    <row r="367" spans="1:2">
      <c r="A367" s="9"/>
      <c r="B367" s="11"/>
    </row>
    <row r="368" spans="1:2">
      <c r="A368" s="9"/>
      <c r="B368" s="11"/>
    </row>
    <row r="369" spans="1:2">
      <c r="A369" s="9"/>
      <c r="B369" s="11"/>
    </row>
    <row r="370" spans="1:2">
      <c r="A370" s="9"/>
      <c r="B370" s="11"/>
    </row>
    <row r="371" spans="1:2">
      <c r="A371" s="9"/>
      <c r="B371" s="11"/>
    </row>
    <row r="372" spans="1:2">
      <c r="A372" s="9"/>
      <c r="B372" s="11"/>
    </row>
    <row r="373" spans="1:2">
      <c r="A373" s="9"/>
      <c r="B373" s="11"/>
    </row>
    <row r="374" spans="1:2">
      <c r="A374" s="9"/>
      <c r="B374" s="11"/>
    </row>
    <row r="375" spans="1:2">
      <c r="A375" s="9"/>
      <c r="B375" s="11"/>
    </row>
    <row r="376" spans="1:2">
      <c r="A376" s="9"/>
      <c r="B376" s="11"/>
    </row>
    <row r="377" spans="1:2">
      <c r="A377" s="9"/>
      <c r="B377" s="11"/>
    </row>
    <row r="378" spans="1:2">
      <c r="A378" s="9"/>
      <c r="B378" s="11"/>
    </row>
    <row r="379" spans="1:2">
      <c r="A379" s="9"/>
      <c r="B379" s="11"/>
    </row>
    <row r="380" spans="1:2">
      <c r="A380" s="9"/>
      <c r="B380" s="11"/>
    </row>
    <row r="381" spans="1:2">
      <c r="A381" s="9"/>
      <c r="B381" s="11"/>
    </row>
    <row r="382" spans="1:2">
      <c r="A382" s="9"/>
      <c r="B382" s="11"/>
    </row>
    <row r="383" spans="1:2">
      <c r="A383" s="9"/>
      <c r="B383" s="11"/>
    </row>
    <row r="384" spans="1:2">
      <c r="A384" s="9"/>
      <c r="B384" s="11"/>
    </row>
    <row r="385" spans="1:2">
      <c r="A385" s="9"/>
      <c r="B385" s="11"/>
    </row>
    <row r="386" spans="1:2">
      <c r="A386" s="9"/>
      <c r="B386" s="11"/>
    </row>
    <row r="387" spans="1:2">
      <c r="A387" s="9"/>
      <c r="B387" s="11"/>
    </row>
    <row r="388" spans="1:2">
      <c r="A388" s="9"/>
      <c r="B388" s="11"/>
    </row>
    <row r="389" spans="1:2">
      <c r="A389" s="9"/>
      <c r="B389" s="11"/>
    </row>
    <row r="390" spans="1:2">
      <c r="A390" s="9"/>
      <c r="B390" s="11"/>
    </row>
    <row r="391" spans="1:2">
      <c r="A391" s="9"/>
      <c r="B391" s="11"/>
    </row>
    <row r="392" spans="1:2">
      <c r="A392" s="9"/>
      <c r="B392" s="11"/>
    </row>
    <row r="393" spans="1:2">
      <c r="A393" s="9"/>
      <c r="B393" s="11"/>
    </row>
    <row r="394" spans="1:2">
      <c r="A394" s="9"/>
      <c r="B394" s="11"/>
    </row>
    <row r="395" spans="1:2">
      <c r="A395" s="9"/>
      <c r="B395" s="11"/>
    </row>
    <row r="396" spans="1:2">
      <c r="A396" s="9"/>
      <c r="B396" s="11"/>
    </row>
    <row r="397" spans="1:2">
      <c r="A397" s="9"/>
      <c r="B397" s="11"/>
    </row>
    <row r="398" spans="1:2">
      <c r="A398" s="9"/>
      <c r="B398" s="11"/>
    </row>
    <row r="399" spans="1:2">
      <c r="A399" s="9"/>
      <c r="B399" s="11"/>
    </row>
    <row r="400" spans="1:2">
      <c r="A400" s="9"/>
      <c r="B400" s="11"/>
    </row>
    <row r="401" spans="1:2">
      <c r="A401" s="9"/>
      <c r="B401" s="11"/>
    </row>
    <row r="402" spans="1:2">
      <c r="A402" s="9"/>
      <c r="B402" s="11"/>
    </row>
    <row r="403" spans="1:2">
      <c r="A403" s="9"/>
      <c r="B403" s="11"/>
    </row>
    <row r="404" spans="1:2">
      <c r="A404" s="9"/>
      <c r="B404" s="11"/>
    </row>
    <row r="405" spans="1:2">
      <c r="A405" s="9"/>
      <c r="B405" s="11"/>
    </row>
    <row r="406" spans="1:2">
      <c r="A406" s="9"/>
      <c r="B406" s="11"/>
    </row>
    <row r="407" spans="1:2">
      <c r="A407" s="9"/>
      <c r="B407" s="11"/>
    </row>
    <row r="408" spans="1:2">
      <c r="A408" s="9"/>
      <c r="B408" s="11"/>
    </row>
    <row r="409" spans="1:2">
      <c r="A409" s="9"/>
      <c r="B409" s="11"/>
    </row>
    <row r="410" spans="1:2">
      <c r="A410" s="9"/>
      <c r="B410" s="11"/>
    </row>
    <row r="411" spans="1:2">
      <c r="A411" s="9"/>
      <c r="B411" s="11"/>
    </row>
    <row r="412" spans="1:2">
      <c r="A412" s="9"/>
      <c r="B412" s="11"/>
    </row>
    <row r="413" spans="1:2">
      <c r="A413" s="9"/>
      <c r="B413" s="11"/>
    </row>
    <row r="414" spans="1:2">
      <c r="A414" s="9"/>
      <c r="B414" s="11"/>
    </row>
    <row r="415" spans="1:2">
      <c r="A415" s="9"/>
      <c r="B415" s="11"/>
    </row>
    <row r="416" spans="1:2">
      <c r="A416" s="9"/>
      <c r="B416" s="11"/>
    </row>
    <row r="417" spans="1:2">
      <c r="A417" s="9"/>
      <c r="B417" s="11"/>
    </row>
    <row r="418" spans="1:2">
      <c r="A418" s="9"/>
      <c r="B418" s="11"/>
    </row>
    <row r="419" spans="1:2">
      <c r="A419" s="9"/>
      <c r="B419" s="11"/>
    </row>
    <row r="420" spans="1:2">
      <c r="A420" s="9"/>
      <c r="B420" s="11"/>
    </row>
    <row r="421" spans="1:2">
      <c r="A421" s="9"/>
      <c r="B421" s="11"/>
    </row>
    <row r="422" spans="1:2">
      <c r="A422" s="9"/>
      <c r="B422" s="11"/>
    </row>
    <row r="423" spans="1:2">
      <c r="A423" s="9"/>
      <c r="B423" s="11"/>
    </row>
    <row r="424" spans="1:2">
      <c r="A424" s="9"/>
      <c r="B424" s="11"/>
    </row>
    <row r="425" spans="1:2">
      <c r="A425" s="9"/>
      <c r="B425" s="11"/>
    </row>
    <row r="426" spans="1:2">
      <c r="A426" s="9"/>
      <c r="B426" s="11"/>
    </row>
    <row r="427" spans="1:2">
      <c r="A427" s="9"/>
      <c r="B427" s="11"/>
    </row>
    <row r="428" spans="1:2">
      <c r="A428" s="9"/>
      <c r="B428" s="11"/>
    </row>
    <row r="429" spans="1:2">
      <c r="A429" s="9"/>
      <c r="B429" s="11"/>
    </row>
    <row r="430" spans="1:2">
      <c r="A430" s="9"/>
      <c r="B430" s="11"/>
    </row>
    <row r="431" spans="1:2">
      <c r="A431" s="9"/>
      <c r="B431" s="11"/>
    </row>
    <row r="432" spans="1:2">
      <c r="A432" s="9"/>
      <c r="B432" s="11"/>
    </row>
    <row r="433" spans="1:2">
      <c r="A433" s="9"/>
      <c r="B433" s="11"/>
    </row>
    <row r="434" spans="1:2">
      <c r="A434" s="9"/>
      <c r="B434" s="11"/>
    </row>
    <row r="435" spans="1:2">
      <c r="A435" s="9"/>
      <c r="B435" s="11"/>
    </row>
    <row r="436" spans="1:2">
      <c r="A436" s="9"/>
      <c r="B436" s="11"/>
    </row>
    <row r="437" spans="1:2">
      <c r="A437" s="9"/>
      <c r="B437" s="11"/>
    </row>
    <row r="438" spans="1:2">
      <c r="A438" s="9"/>
      <c r="B438" s="11"/>
    </row>
    <row r="439" spans="1:2">
      <c r="A439" s="9"/>
      <c r="B439" s="11"/>
    </row>
    <row r="440" spans="1:2">
      <c r="A440" s="9"/>
      <c r="B440" s="11"/>
    </row>
    <row r="441" spans="1:2">
      <c r="A441" s="9"/>
      <c r="B441" s="11"/>
    </row>
    <row r="442" spans="1:2">
      <c r="A442" s="9"/>
      <c r="B442" s="11"/>
    </row>
    <row r="443" spans="1:2">
      <c r="A443" s="9"/>
      <c r="B443" s="11"/>
    </row>
    <row r="444" spans="1:2">
      <c r="A444" s="9"/>
      <c r="B444" s="11"/>
    </row>
    <row r="445" spans="1:2">
      <c r="A445" s="9"/>
      <c r="B445" s="11"/>
    </row>
    <row r="446" spans="1:2">
      <c r="A446" s="9"/>
      <c r="B446" s="11"/>
    </row>
    <row r="447" spans="1:2">
      <c r="A447" s="9"/>
      <c r="B447" s="11"/>
    </row>
    <row r="448" spans="1:2">
      <c r="A448" s="9"/>
      <c r="B448" s="11"/>
    </row>
    <row r="449" spans="1:2">
      <c r="A449" s="9"/>
      <c r="B449" s="11"/>
    </row>
    <row r="450" spans="1:2">
      <c r="A450" s="9"/>
      <c r="B450" s="11"/>
    </row>
    <row r="451" spans="1:2">
      <c r="A451" s="9"/>
      <c r="B451" s="11"/>
    </row>
    <row r="452" spans="1:2">
      <c r="A452" s="9"/>
      <c r="B452" s="11"/>
    </row>
    <row r="453" spans="1:2">
      <c r="A453" s="9"/>
      <c r="B453" s="11"/>
    </row>
    <row r="454" spans="1:2">
      <c r="A454" s="9"/>
      <c r="B454" s="11"/>
    </row>
    <row r="455" spans="1:2">
      <c r="A455" s="9"/>
      <c r="B455" s="11"/>
    </row>
    <row r="456" spans="1:2">
      <c r="A456" s="9"/>
      <c r="B456" s="11"/>
    </row>
    <row r="457" spans="1:2">
      <c r="A457" s="9"/>
      <c r="B457" s="11"/>
    </row>
    <row r="458" spans="1:2">
      <c r="A458" s="9"/>
      <c r="B458" s="11"/>
    </row>
    <row r="459" spans="1:2">
      <c r="A459" s="9"/>
      <c r="B459" s="11"/>
    </row>
    <row r="460" spans="1:2">
      <c r="A460" s="9"/>
      <c r="B460" s="11"/>
    </row>
    <row r="461" spans="1:2">
      <c r="A461" s="9"/>
      <c r="B461" s="11"/>
    </row>
    <row r="462" spans="1:2">
      <c r="A462" s="9"/>
      <c r="B462" s="11"/>
    </row>
    <row r="463" spans="1:2">
      <c r="A463" s="9"/>
      <c r="B463" s="11"/>
    </row>
    <row r="464" spans="1:2">
      <c r="A464" s="9"/>
      <c r="B464" s="11"/>
    </row>
    <row r="465" spans="1:2">
      <c r="A465" s="9"/>
      <c r="B465" s="11"/>
    </row>
    <row r="466" spans="1:2">
      <c r="A466" s="9"/>
      <c r="B466" s="11"/>
    </row>
    <row r="467" spans="1:2">
      <c r="A467" s="9"/>
      <c r="B467" s="11"/>
    </row>
    <row r="468" spans="1:2">
      <c r="A468" s="9"/>
      <c r="B468" s="11"/>
    </row>
    <row r="469" spans="1:2">
      <c r="A469" s="9"/>
      <c r="B469" s="11"/>
    </row>
    <row r="470" spans="1:2">
      <c r="A470" s="9"/>
      <c r="B470" s="11"/>
    </row>
    <row r="471" spans="1:2">
      <c r="A471" s="9"/>
      <c r="B471" s="11"/>
    </row>
    <row r="472" spans="1:2">
      <c r="A472" s="9"/>
      <c r="B472" s="11"/>
    </row>
    <row r="473" spans="1:2">
      <c r="A473" s="9"/>
      <c r="B473" s="11"/>
    </row>
    <row r="474" spans="1:2">
      <c r="A474" s="9"/>
      <c r="B474" s="11"/>
    </row>
    <row r="475" spans="1:2">
      <c r="A475" s="9"/>
      <c r="B475" s="11"/>
    </row>
    <row r="476" spans="1:2">
      <c r="A476" s="9"/>
      <c r="B476" s="11"/>
    </row>
    <row r="477" spans="1:2">
      <c r="A477" s="9"/>
      <c r="B477" s="11"/>
    </row>
    <row r="478" spans="1:2">
      <c r="A478" s="9"/>
      <c r="B478" s="11"/>
    </row>
    <row r="479" spans="1:2">
      <c r="A479" s="9"/>
      <c r="B479" s="11"/>
    </row>
    <row r="480" spans="1:2">
      <c r="A480" s="9"/>
      <c r="B480" s="11"/>
    </row>
    <row r="481" spans="1:2">
      <c r="A481" s="9"/>
      <c r="B481" s="11"/>
    </row>
    <row r="482" spans="1:2">
      <c r="A482" s="9"/>
      <c r="B482" s="11"/>
    </row>
    <row r="483" spans="1:2">
      <c r="A483" s="9"/>
      <c r="B483" s="11"/>
    </row>
    <row r="484" spans="1:2">
      <c r="A484" s="9"/>
      <c r="B484" s="11"/>
    </row>
    <row r="485" spans="1:2">
      <c r="A485" s="9"/>
      <c r="B485" s="11"/>
    </row>
    <row r="486" spans="1:2">
      <c r="A486" s="9"/>
      <c r="B486" s="11"/>
    </row>
    <row r="487" spans="1:2">
      <c r="A487" s="9"/>
      <c r="B487" s="11"/>
    </row>
    <row r="488" spans="1:2">
      <c r="A488" s="9"/>
      <c r="B488" s="11"/>
    </row>
    <row r="489" spans="1:2">
      <c r="A489" s="9"/>
      <c r="B489" s="11"/>
    </row>
    <row r="490" spans="1:2">
      <c r="A490" s="9"/>
      <c r="B490" s="11"/>
    </row>
    <row r="491" spans="1:2">
      <c r="A491" s="9"/>
      <c r="B491" s="11"/>
    </row>
    <row r="492" spans="1:2">
      <c r="A492" s="9"/>
      <c r="B492" s="11"/>
    </row>
    <row r="493" spans="1:2">
      <c r="A493" s="9"/>
      <c r="B493" s="11"/>
    </row>
    <row r="494" spans="1:2">
      <c r="A494" s="9"/>
      <c r="B494" s="11"/>
    </row>
    <row r="495" spans="1:2">
      <c r="A495" s="9"/>
      <c r="B495" s="11"/>
    </row>
    <row r="496" spans="1:2">
      <c r="A496" s="9"/>
      <c r="B496" s="11"/>
    </row>
    <row r="497" spans="1:2">
      <c r="A497" s="9"/>
      <c r="B497" s="11"/>
    </row>
    <row r="498" spans="1:2">
      <c r="A498" s="9"/>
      <c r="B498" s="11"/>
    </row>
    <row r="499" spans="1:2">
      <c r="A499" s="9"/>
      <c r="B499" s="11"/>
    </row>
    <row r="500" spans="1:2">
      <c r="A500" s="9"/>
      <c r="B500" s="11"/>
    </row>
    <row r="501" spans="1:2">
      <c r="A501" s="9"/>
      <c r="B501" s="11"/>
    </row>
    <row r="502" spans="1:2">
      <c r="A502" s="9"/>
      <c r="B502" s="11"/>
    </row>
    <row r="503" spans="1:2">
      <c r="A503" s="9"/>
      <c r="B503" s="11"/>
    </row>
    <row r="504" spans="1:2">
      <c r="A504" s="9"/>
      <c r="B504" s="11"/>
    </row>
    <row r="505" spans="1:2">
      <c r="A505" s="9"/>
      <c r="B505" s="11"/>
    </row>
    <row r="506" spans="1:2">
      <c r="A506" s="9"/>
      <c r="B506" s="11"/>
    </row>
    <row r="507" spans="1:2">
      <c r="A507" s="9"/>
      <c r="B507" s="11"/>
    </row>
    <row r="508" spans="1:2">
      <c r="A508" s="9"/>
      <c r="B508" s="11"/>
    </row>
    <row r="509" spans="1:2">
      <c r="A509" s="9"/>
      <c r="B509" s="11"/>
    </row>
    <row r="510" spans="1:2">
      <c r="A510" s="9"/>
      <c r="B510" s="11"/>
    </row>
    <row r="511" spans="1:2">
      <c r="A511" s="9"/>
      <c r="B511" s="11"/>
    </row>
    <row r="512" spans="1:2">
      <c r="A512" s="9"/>
      <c r="B512" s="11"/>
    </row>
    <row r="513" spans="1:2">
      <c r="A513" s="9"/>
      <c r="B513" s="11"/>
    </row>
    <row r="514" spans="1:2">
      <c r="A514" s="9"/>
      <c r="B514" s="11"/>
    </row>
    <row r="515" spans="1:2">
      <c r="A515" s="9"/>
      <c r="B515" s="11"/>
    </row>
    <row r="516" spans="1:2">
      <c r="A516" s="9"/>
      <c r="B516" s="11"/>
    </row>
    <row r="517" spans="1:2">
      <c r="A517" s="9"/>
      <c r="B517" s="11"/>
    </row>
    <row r="518" spans="1:2">
      <c r="A518" s="9"/>
      <c r="B518" s="11"/>
    </row>
    <row r="519" spans="1:2">
      <c r="A519" s="9"/>
      <c r="B519" s="11"/>
    </row>
    <row r="520" spans="1:2">
      <c r="A520" s="9"/>
      <c r="B520" s="11"/>
    </row>
    <row r="521" spans="1:2">
      <c r="A521" s="9"/>
      <c r="B521" s="11"/>
    </row>
    <row r="522" spans="1:2">
      <c r="A522" s="9"/>
      <c r="B522" s="11"/>
    </row>
    <row r="523" spans="1:2">
      <c r="A523" s="9"/>
      <c r="B523" s="11"/>
    </row>
    <row r="524" spans="1:2">
      <c r="A524" s="9"/>
      <c r="B524" s="11"/>
    </row>
    <row r="525" spans="1:2">
      <c r="A525" s="9"/>
      <c r="B525" s="11"/>
    </row>
    <row r="526" spans="1:2">
      <c r="A526" s="9"/>
      <c r="B526" s="11"/>
    </row>
    <row r="527" spans="1:2">
      <c r="A527" s="9"/>
      <c r="B527" s="11"/>
    </row>
    <row r="528" spans="1:2">
      <c r="A528" s="9"/>
      <c r="B528" s="11"/>
    </row>
    <row r="529" spans="1:2">
      <c r="A529" s="9"/>
      <c r="B529" s="11"/>
    </row>
    <row r="530" spans="1:2">
      <c r="A530" s="9"/>
      <c r="B530" s="11"/>
    </row>
    <row r="531" spans="1:2">
      <c r="A531" s="9"/>
      <c r="B531" s="11"/>
    </row>
    <row r="532" spans="1:2">
      <c r="A532" s="9"/>
      <c r="B532" s="11"/>
    </row>
    <row r="533" spans="1:2">
      <c r="A533" s="9"/>
      <c r="B533" s="11"/>
    </row>
    <row r="534" spans="1:2">
      <c r="A534" s="9"/>
      <c r="B534" s="11"/>
    </row>
    <row r="535" spans="1:2">
      <c r="A535" s="9"/>
      <c r="B535" s="11"/>
    </row>
    <row r="536" spans="1:2">
      <c r="A536" s="9"/>
      <c r="B536" s="11"/>
    </row>
    <row r="537" spans="1:2">
      <c r="A537" s="9"/>
      <c r="B537" s="11"/>
    </row>
    <row r="538" spans="1:2">
      <c r="A538" s="9"/>
      <c r="B538" s="11"/>
    </row>
    <row r="539" spans="1:2">
      <c r="A539" s="9"/>
      <c r="B539" s="11"/>
    </row>
    <row r="540" spans="1:2">
      <c r="A540" s="9"/>
      <c r="B540" s="11"/>
    </row>
    <row r="541" spans="1:2">
      <c r="A541" s="9"/>
      <c r="B541" s="11"/>
    </row>
    <row r="542" spans="1:2">
      <c r="A542" s="9"/>
      <c r="B542" s="11"/>
    </row>
    <row r="543" spans="1:2">
      <c r="A543" s="9"/>
      <c r="B543" s="11"/>
    </row>
    <row r="544" spans="1:2">
      <c r="A544" s="9"/>
      <c r="B544" s="11"/>
    </row>
    <row r="545" spans="1:2">
      <c r="A545" s="9"/>
      <c r="B545" s="11"/>
    </row>
    <row r="546" spans="1:2">
      <c r="A546" s="9"/>
      <c r="B546" s="11"/>
    </row>
    <row r="547" spans="1:2">
      <c r="A547" s="9"/>
      <c r="B547" s="11"/>
    </row>
    <row r="548" spans="1:2">
      <c r="A548" s="9"/>
      <c r="B548" s="11"/>
    </row>
    <row r="549" spans="1:2">
      <c r="A549" s="9"/>
      <c r="B549" s="11"/>
    </row>
    <row r="550" spans="1:2">
      <c r="A550" s="9"/>
      <c r="B550" s="11"/>
    </row>
    <row r="551" spans="1:2">
      <c r="A551" s="9"/>
      <c r="B551" s="11"/>
    </row>
    <row r="552" spans="1:2">
      <c r="A552" s="9"/>
      <c r="B552" s="11"/>
    </row>
    <row r="553" spans="1:2">
      <c r="A553" s="9"/>
      <c r="B553" s="11"/>
    </row>
    <row r="554" spans="1:2">
      <c r="A554" s="9"/>
      <c r="B554" s="11"/>
    </row>
    <row r="555" spans="1:2">
      <c r="A555" s="9"/>
      <c r="B555" s="11"/>
    </row>
    <row r="556" spans="1:2">
      <c r="A556" s="9"/>
      <c r="B556" s="11"/>
    </row>
    <row r="557" spans="1:2">
      <c r="A557" s="9"/>
      <c r="B557" s="11"/>
    </row>
    <row r="558" spans="1:2">
      <c r="A558" s="9"/>
      <c r="B558" s="11"/>
    </row>
    <row r="559" spans="1:2">
      <c r="A559" s="9"/>
      <c r="B559" s="11"/>
    </row>
    <row r="560" spans="1:2">
      <c r="A560" s="9"/>
      <c r="B560" s="11"/>
    </row>
    <row r="561" spans="1:2">
      <c r="A561" s="9"/>
      <c r="B561" s="11"/>
    </row>
    <row r="562" spans="1:2">
      <c r="A562" s="9"/>
      <c r="B562" s="11"/>
    </row>
    <row r="563" spans="1:2">
      <c r="A563" s="9"/>
      <c r="B563" s="11"/>
    </row>
    <row r="564" spans="1:2">
      <c r="A564" s="9"/>
      <c r="B564" s="11"/>
    </row>
    <row r="565" spans="1:2">
      <c r="A565" s="9"/>
      <c r="B565" s="11"/>
    </row>
    <row r="566" spans="1:2">
      <c r="A566" s="9"/>
      <c r="B566" s="11"/>
    </row>
    <row r="567" spans="1:2">
      <c r="A567" s="9"/>
      <c r="B567" s="11"/>
    </row>
    <row r="568" spans="1:2">
      <c r="A568" s="9"/>
      <c r="B568" s="11"/>
    </row>
    <row r="569" spans="1:2">
      <c r="A569" s="9"/>
      <c r="B569" s="11"/>
    </row>
    <row r="570" spans="1:2">
      <c r="A570" s="9"/>
      <c r="B570" s="11"/>
    </row>
    <row r="571" spans="1:2">
      <c r="A571" s="9"/>
      <c r="B571" s="11"/>
    </row>
    <row r="572" spans="1:2">
      <c r="A572" s="9"/>
      <c r="B572" s="11"/>
    </row>
    <row r="573" spans="1:2">
      <c r="A573" s="9"/>
      <c r="B573" s="11"/>
    </row>
    <row r="574" spans="1:2">
      <c r="A574" s="9"/>
      <c r="B574" s="11"/>
    </row>
    <row r="575" spans="1:2">
      <c r="A575" s="9"/>
      <c r="B575" s="11"/>
    </row>
    <row r="576" spans="1:2">
      <c r="A576" s="9"/>
      <c r="B576" s="11"/>
    </row>
    <row r="577" spans="1:2">
      <c r="A577" s="9"/>
      <c r="B577" s="11"/>
    </row>
    <row r="578" spans="1:2">
      <c r="A578" s="9"/>
      <c r="B578" s="11"/>
    </row>
    <row r="579" spans="1:2">
      <c r="A579" s="9"/>
      <c r="B579" s="11"/>
    </row>
    <row r="580" spans="1:2">
      <c r="A580" s="9"/>
      <c r="B580" s="11"/>
    </row>
    <row r="581" spans="1:2">
      <c r="A581" s="9"/>
      <c r="B581" s="11"/>
    </row>
    <row r="582" spans="1:2">
      <c r="A582" s="9"/>
      <c r="B582" s="11"/>
    </row>
    <row r="583" spans="1:2">
      <c r="A583" s="9"/>
      <c r="B583" s="11"/>
    </row>
    <row r="584" spans="1:2">
      <c r="A584" s="9"/>
      <c r="B584" s="11"/>
    </row>
    <row r="585" spans="1:2">
      <c r="A585" s="9"/>
      <c r="B585" s="11"/>
    </row>
    <row r="586" spans="1:2">
      <c r="A586" s="9"/>
      <c r="B586" s="11"/>
    </row>
    <row r="587" spans="1:2">
      <c r="A587" s="9"/>
      <c r="B587" s="11"/>
    </row>
    <row r="588" spans="1:2">
      <c r="A588" s="9"/>
      <c r="B588" s="11"/>
    </row>
    <row r="589" spans="1:2">
      <c r="A589" s="9"/>
      <c r="B589" s="11"/>
    </row>
    <row r="590" spans="1:2">
      <c r="A590" s="9"/>
      <c r="B590" s="11"/>
    </row>
    <row r="591" spans="1:2">
      <c r="A591" s="9"/>
      <c r="B591" s="11"/>
    </row>
    <row r="592" spans="1:2">
      <c r="A592" s="9"/>
      <c r="B592" s="11"/>
    </row>
    <row r="593" spans="1:2">
      <c r="A593" s="9"/>
      <c r="B593" s="11"/>
    </row>
    <row r="594" spans="1:2">
      <c r="A594" s="9"/>
      <c r="B594" s="11"/>
    </row>
    <row r="595" spans="1:2">
      <c r="A595" s="9"/>
      <c r="B595" s="11"/>
    </row>
    <row r="596" spans="1:2">
      <c r="A596" s="9"/>
      <c r="B596" s="11"/>
    </row>
    <row r="597" spans="1:2">
      <c r="A597" s="9"/>
      <c r="B597" s="11"/>
    </row>
    <row r="598" spans="1:2">
      <c r="A598" s="9"/>
      <c r="B598" s="11"/>
    </row>
    <row r="599" spans="1:2">
      <c r="A599" s="9"/>
      <c r="B599" s="11"/>
    </row>
    <row r="600" spans="1:2">
      <c r="A600" s="9"/>
      <c r="B600" s="11"/>
    </row>
    <row r="601" spans="1:2">
      <c r="A601" s="9"/>
      <c r="B601" s="11"/>
    </row>
    <row r="602" spans="1:2">
      <c r="A602" s="9"/>
      <c r="B602" s="11"/>
    </row>
    <row r="603" spans="1:2">
      <c r="A603" s="9"/>
      <c r="B603" s="11"/>
    </row>
    <row r="604" spans="1:2">
      <c r="A604" s="9"/>
      <c r="B604" s="11"/>
    </row>
    <row r="605" spans="1:2">
      <c r="A605" s="9"/>
      <c r="B605" s="11"/>
    </row>
    <row r="606" spans="1:2">
      <c r="A606" s="9"/>
      <c r="B606" s="11"/>
    </row>
    <row r="607" spans="1:2">
      <c r="A607" s="9"/>
      <c r="B607" s="11"/>
    </row>
    <row r="608" spans="1:2">
      <c r="A608" s="9"/>
      <c r="B608" s="11"/>
    </row>
    <row r="609" spans="1:2">
      <c r="A609" s="9"/>
      <c r="B609" s="11"/>
    </row>
    <row r="610" spans="1:2">
      <c r="A610" s="9"/>
      <c r="B610" s="11"/>
    </row>
    <row r="611" spans="1:2">
      <c r="A611" s="9"/>
      <c r="B611" s="11"/>
    </row>
    <row r="612" spans="1:2">
      <c r="A612" s="9"/>
      <c r="B612" s="11"/>
    </row>
    <row r="613" spans="1:2">
      <c r="A613" s="9"/>
      <c r="B613" s="11"/>
    </row>
    <row r="614" spans="1:2">
      <c r="A614" s="9"/>
      <c r="B614" s="11"/>
    </row>
    <row r="615" spans="1:2">
      <c r="A615" s="9"/>
      <c r="B615" s="11"/>
    </row>
    <row r="616" spans="1:2">
      <c r="A616" s="9"/>
      <c r="B616" s="11"/>
    </row>
    <row r="617" spans="1:2">
      <c r="A617" s="9"/>
      <c r="B617" s="11"/>
    </row>
    <row r="618" spans="1:2">
      <c r="A618" s="9"/>
      <c r="B618" s="11"/>
    </row>
    <row r="619" spans="1:2">
      <c r="A619" s="9"/>
      <c r="B619" s="11"/>
    </row>
    <row r="620" spans="1:2">
      <c r="A620" s="9"/>
      <c r="B620" s="11"/>
    </row>
    <row r="621" spans="1:2">
      <c r="A621" s="9"/>
      <c r="B621" s="11"/>
    </row>
    <row r="622" spans="1:2">
      <c r="A622" s="9"/>
      <c r="B622" s="11"/>
    </row>
    <row r="623" spans="1:2">
      <c r="A623" s="9"/>
      <c r="B623" s="11"/>
    </row>
    <row r="624" spans="1:2">
      <c r="A624" s="9"/>
      <c r="B624" s="11"/>
    </row>
    <row r="625" spans="1:2">
      <c r="A625" s="9"/>
      <c r="B625" s="11"/>
    </row>
    <row r="626" spans="1:2">
      <c r="A626" s="9"/>
      <c r="B626" s="11"/>
    </row>
    <row r="627" spans="1:2">
      <c r="A627" s="9"/>
      <c r="B627" s="11"/>
    </row>
    <row r="628" spans="1:2">
      <c r="A628" s="9"/>
      <c r="B628" s="11"/>
    </row>
    <row r="629" spans="1:2">
      <c r="A629" s="9"/>
      <c r="B629" s="11"/>
    </row>
    <row r="630" spans="1:2">
      <c r="A630" s="9"/>
      <c r="B630" s="11"/>
    </row>
    <row r="631" spans="1:2">
      <c r="A631" s="9"/>
      <c r="B631" s="11"/>
    </row>
    <row r="632" spans="1:2">
      <c r="A632" s="9"/>
      <c r="B632" s="11"/>
    </row>
    <row r="633" spans="1:2">
      <c r="A633" s="9"/>
      <c r="B633" s="11"/>
    </row>
    <row r="634" spans="1:2">
      <c r="A634" s="9"/>
      <c r="B634" s="11"/>
    </row>
    <row r="635" spans="1:2">
      <c r="A635" s="9"/>
      <c r="B635" s="11"/>
    </row>
    <row r="636" spans="1:2">
      <c r="A636" s="9"/>
      <c r="B636" s="11"/>
    </row>
    <row r="637" spans="1:2">
      <c r="A637" s="9"/>
      <c r="B637" s="11"/>
    </row>
    <row r="638" spans="1:2">
      <c r="A638" s="9"/>
      <c r="B638" s="11"/>
    </row>
    <row r="639" spans="1:2">
      <c r="A639" s="9"/>
      <c r="B639" s="11"/>
    </row>
    <row r="640" spans="1:2">
      <c r="A640" s="9"/>
      <c r="B640" s="11"/>
    </row>
    <row r="641" spans="1:2">
      <c r="A641" s="9"/>
      <c r="B641" s="11"/>
    </row>
    <row r="642" spans="1:2">
      <c r="A642" s="9"/>
      <c r="B642" s="11"/>
    </row>
    <row r="643" spans="1:2">
      <c r="A643" s="9"/>
      <c r="B643" s="11"/>
    </row>
    <row r="644" spans="1:2">
      <c r="A644" s="9"/>
      <c r="B644" s="11"/>
    </row>
    <row r="645" spans="1:2">
      <c r="A645" s="9"/>
      <c r="B645" s="11"/>
    </row>
    <row r="646" spans="1:2">
      <c r="A646" s="9"/>
      <c r="B646" s="11"/>
    </row>
    <row r="647" spans="1:2">
      <c r="A647" s="9"/>
      <c r="B647" s="11"/>
    </row>
    <row r="648" spans="1:2">
      <c r="A648" s="9"/>
      <c r="B648" s="11"/>
    </row>
    <row r="649" spans="1:2">
      <c r="A649" s="9"/>
      <c r="B649" s="11"/>
    </row>
    <row r="650" spans="1:2">
      <c r="A650" s="9"/>
      <c r="B650" s="11"/>
    </row>
    <row r="651" spans="1:2">
      <c r="A651" s="9"/>
      <c r="B651" s="11"/>
    </row>
    <row r="652" spans="1:2">
      <c r="A652" s="9"/>
      <c r="B652" s="11"/>
    </row>
    <row r="653" spans="1:2">
      <c r="A653" s="9"/>
      <c r="B653" s="11"/>
    </row>
    <row r="654" spans="1:2">
      <c r="A654" s="9"/>
      <c r="B654" s="11"/>
    </row>
    <row r="655" spans="1:2">
      <c r="A655" s="9"/>
      <c r="B655" s="11"/>
    </row>
    <row r="656" spans="1:2">
      <c r="A656" s="9"/>
      <c r="B656" s="11"/>
    </row>
    <row r="657" spans="1:2">
      <c r="A657" s="9"/>
      <c r="B657" s="11"/>
    </row>
    <row r="658" spans="1:2">
      <c r="A658" s="9"/>
      <c r="B658" s="11"/>
    </row>
    <row r="659" spans="1:2">
      <c r="A659" s="9"/>
      <c r="B659" s="11"/>
    </row>
    <row r="660" spans="1:2">
      <c r="A660" s="9"/>
      <c r="B660" s="11"/>
    </row>
    <row r="661" spans="1:2">
      <c r="A661" s="9"/>
      <c r="B661" s="11"/>
    </row>
    <row r="662" spans="1:2">
      <c r="A662" s="9"/>
      <c r="B662" s="11"/>
    </row>
    <row r="663" spans="1:2">
      <c r="A663" s="9"/>
      <c r="B663" s="11"/>
    </row>
    <row r="664" spans="1:2">
      <c r="A664" s="9"/>
      <c r="B664" s="11"/>
    </row>
    <row r="665" spans="1:2">
      <c r="A665" s="9"/>
      <c r="B665" s="11"/>
    </row>
    <row r="666" spans="1:2">
      <c r="A666" s="9"/>
      <c r="B666" s="11"/>
    </row>
    <row r="667" spans="1:2">
      <c r="A667" s="9"/>
      <c r="B667" s="11"/>
    </row>
    <row r="668" spans="1:2">
      <c r="A668" s="9"/>
      <c r="B668" s="11"/>
    </row>
    <row r="669" spans="1:2">
      <c r="A669" s="9"/>
      <c r="B669" s="11"/>
    </row>
    <row r="670" spans="1:2">
      <c r="A670" s="9"/>
      <c r="B670" s="11"/>
    </row>
    <row r="671" spans="1:2">
      <c r="A671" s="9"/>
      <c r="B671" s="11"/>
    </row>
    <row r="672" spans="1:2">
      <c r="A672" s="9"/>
      <c r="B672" s="11"/>
    </row>
    <row r="673" spans="1:2">
      <c r="A673" s="9"/>
      <c r="B673" s="11"/>
    </row>
    <row r="674" spans="1:2">
      <c r="A674" s="9"/>
      <c r="B674" s="11"/>
    </row>
    <row r="675" spans="1:2">
      <c r="A675" s="9"/>
      <c r="B675" s="11"/>
    </row>
    <row r="676" spans="1:2">
      <c r="A676" s="9"/>
      <c r="B676" s="11"/>
    </row>
    <row r="677" spans="1:2">
      <c r="A677" s="9"/>
      <c r="B677" s="11"/>
    </row>
    <row r="678" spans="1:2">
      <c r="A678" s="9"/>
      <c r="B678" s="11"/>
    </row>
    <row r="679" spans="1:2">
      <c r="A679" s="9"/>
      <c r="B679" s="11"/>
    </row>
    <row r="680" spans="1:2">
      <c r="A680" s="9"/>
      <c r="B680" s="11"/>
    </row>
    <row r="681" spans="1:2">
      <c r="A681" s="9"/>
      <c r="B681" s="11"/>
    </row>
    <row r="682" spans="1:2">
      <c r="A682" s="9"/>
      <c r="B682" s="11"/>
    </row>
    <row r="683" spans="1:2">
      <c r="A683" s="9"/>
      <c r="B683" s="11"/>
    </row>
    <row r="684" spans="1:2">
      <c r="A684" s="9"/>
      <c r="B684" s="11"/>
    </row>
    <row r="685" spans="1:2">
      <c r="A685" s="9"/>
      <c r="B685" s="11"/>
    </row>
    <row r="686" spans="1:2">
      <c r="A686" s="9"/>
      <c r="B686" s="11"/>
    </row>
    <row r="687" spans="1:2">
      <c r="A687" s="9"/>
      <c r="B687" s="11"/>
    </row>
    <row r="688" spans="1:2">
      <c r="A688" s="9"/>
      <c r="B688" s="11"/>
    </row>
    <row r="689" spans="1:2">
      <c r="A689" s="9"/>
      <c r="B689" s="11"/>
    </row>
    <row r="690" spans="1:2">
      <c r="A690" s="9"/>
      <c r="B690" s="11"/>
    </row>
    <row r="691" spans="1:2">
      <c r="A691" s="9"/>
      <c r="B691" s="11"/>
    </row>
    <row r="692" spans="1:2">
      <c r="A692" s="9"/>
      <c r="B692" s="11"/>
    </row>
    <row r="693" spans="1:2">
      <c r="A693" s="9"/>
      <c r="B693" s="11"/>
    </row>
    <row r="694" spans="1:2">
      <c r="A694" s="9"/>
      <c r="B694" s="11"/>
    </row>
    <row r="695" spans="1:2">
      <c r="A695" s="9"/>
      <c r="B695" s="11"/>
    </row>
    <row r="696" spans="1:2">
      <c r="A696" s="9"/>
      <c r="B696" s="11"/>
    </row>
    <row r="697" spans="1:2">
      <c r="A697" s="9"/>
      <c r="B697" s="11"/>
    </row>
    <row r="698" spans="1:2">
      <c r="A698" s="9"/>
      <c r="B698" s="11"/>
    </row>
    <row r="699" spans="1:2">
      <c r="A699" s="9"/>
      <c r="B699" s="11"/>
    </row>
    <row r="700" spans="1:2">
      <c r="A700" s="9"/>
      <c r="B700" s="11"/>
    </row>
    <row r="701" spans="1:2">
      <c r="A701" s="9"/>
      <c r="B701" s="11"/>
    </row>
    <row r="702" spans="1:2">
      <c r="A702" s="9"/>
      <c r="B702" s="11"/>
    </row>
    <row r="703" spans="1:2">
      <c r="A703" s="9"/>
      <c r="B703" s="11"/>
    </row>
    <row r="704" spans="1:2">
      <c r="A704" s="9"/>
      <c r="B704" s="11"/>
    </row>
    <row r="705" spans="1:2">
      <c r="A705" s="9"/>
      <c r="B705" s="11"/>
    </row>
    <row r="706" spans="1:2">
      <c r="A706" s="9"/>
      <c r="B706" s="11"/>
    </row>
    <row r="707" spans="1:2">
      <c r="A707" s="9"/>
      <c r="B707" s="11"/>
    </row>
    <row r="708" spans="1:2">
      <c r="A708" s="9"/>
      <c r="B708" s="11"/>
    </row>
    <row r="709" spans="1:2">
      <c r="A709" s="9"/>
      <c r="B709" s="11"/>
    </row>
    <row r="710" spans="1:2">
      <c r="A710" s="9"/>
      <c r="B710" s="11"/>
    </row>
    <row r="711" spans="1:2">
      <c r="A711" s="9"/>
      <c r="B711" s="11"/>
    </row>
    <row r="712" spans="1:2">
      <c r="A712" s="9"/>
      <c r="B712" s="11"/>
    </row>
    <row r="713" spans="1:2">
      <c r="A713" s="9"/>
      <c r="B713" s="11"/>
    </row>
    <row r="714" spans="1:2">
      <c r="A714" s="9"/>
      <c r="B714" s="11"/>
    </row>
    <row r="715" spans="1:2">
      <c r="A715" s="9"/>
      <c r="B715" s="11"/>
    </row>
    <row r="716" spans="1:2">
      <c r="A716" s="9"/>
      <c r="B716" s="11"/>
    </row>
    <row r="717" spans="1:2">
      <c r="A717" s="9"/>
      <c r="B717" s="11"/>
    </row>
    <row r="718" spans="1:2">
      <c r="A718" s="9"/>
      <c r="B718" s="11"/>
    </row>
    <row r="719" spans="1:2">
      <c r="A719" s="9"/>
      <c r="B719" s="11"/>
    </row>
    <row r="720" spans="1:2">
      <c r="A720" s="9"/>
      <c r="B720" s="11"/>
    </row>
    <row r="721" spans="1:2">
      <c r="A721" s="9"/>
      <c r="B721" s="11"/>
    </row>
    <row r="722" spans="1:2">
      <c r="A722" s="9"/>
      <c r="B722" s="11"/>
    </row>
    <row r="723" spans="1:2">
      <c r="A723" s="9"/>
      <c r="B723" s="11"/>
    </row>
    <row r="724" spans="1:2">
      <c r="A724" s="9"/>
      <c r="B724" s="11"/>
    </row>
    <row r="725" spans="1:2">
      <c r="A725" s="9"/>
      <c r="B725" s="11"/>
    </row>
    <row r="726" spans="1:2">
      <c r="A726" s="9"/>
      <c r="B726" s="11"/>
    </row>
    <row r="727" spans="1:2">
      <c r="A727" s="9"/>
      <c r="B727" s="11"/>
    </row>
    <row r="728" spans="1:2">
      <c r="A728" s="9"/>
      <c r="B728" s="11"/>
    </row>
    <row r="729" spans="1:2">
      <c r="A729" s="9"/>
      <c r="B729" s="11"/>
    </row>
    <row r="730" spans="1:2">
      <c r="A730" s="9"/>
      <c r="B730" s="11"/>
    </row>
    <row r="731" spans="1:2">
      <c r="A731" s="9"/>
      <c r="B731" s="11"/>
    </row>
    <row r="732" spans="1:2">
      <c r="A732" s="9"/>
      <c r="B732" s="11"/>
    </row>
    <row r="733" spans="1:2">
      <c r="A733" s="9"/>
      <c r="B733" s="11"/>
    </row>
    <row r="734" spans="1:2">
      <c r="A734" s="9"/>
      <c r="B734" s="11"/>
    </row>
    <row r="735" spans="1:2">
      <c r="A735" s="9"/>
      <c r="B735" s="11"/>
    </row>
    <row r="736" spans="1:2">
      <c r="A736" s="9"/>
      <c r="B736" s="11"/>
    </row>
    <row r="737" spans="1:2">
      <c r="A737" s="9"/>
      <c r="B737" s="11"/>
    </row>
    <row r="738" spans="1:2">
      <c r="A738" s="9"/>
      <c r="B738" s="11"/>
    </row>
    <row r="739" spans="1:2">
      <c r="A739" s="9"/>
      <c r="B739" s="11"/>
    </row>
    <row r="740" spans="1:2">
      <c r="A740" s="9"/>
      <c r="B740" s="11"/>
    </row>
    <row r="741" spans="1:2">
      <c r="A741" s="9"/>
      <c r="B741" s="11"/>
    </row>
    <row r="742" spans="1:2">
      <c r="A742" s="9"/>
      <c r="B742" s="11"/>
    </row>
    <row r="743" spans="1:2">
      <c r="A743" s="9"/>
      <c r="B743" s="11"/>
    </row>
    <row r="744" spans="1:2">
      <c r="A744" s="9"/>
      <c r="B744" s="11"/>
    </row>
    <row r="745" spans="1:2">
      <c r="A745" s="9"/>
      <c r="B745" s="11"/>
    </row>
    <row r="746" spans="1:2">
      <c r="A746" s="9"/>
      <c r="B746" s="11"/>
    </row>
    <row r="747" spans="1:2">
      <c r="A747" s="9"/>
      <c r="B747" s="11"/>
    </row>
    <row r="748" spans="1:2">
      <c r="A748" s="9"/>
      <c r="B748" s="11"/>
    </row>
    <row r="749" spans="1:2">
      <c r="A749" s="9"/>
      <c r="B749" s="11"/>
    </row>
    <row r="750" spans="1:2">
      <c r="A750" s="9"/>
      <c r="B750" s="11"/>
    </row>
    <row r="751" spans="1:2">
      <c r="A751" s="9"/>
      <c r="B751" s="11"/>
    </row>
    <row r="752" spans="1:2">
      <c r="A752" s="9"/>
      <c r="B752" s="11"/>
    </row>
    <row r="753" spans="1:2">
      <c r="A753" s="9"/>
      <c r="B753" s="11"/>
    </row>
    <row r="754" spans="1:2">
      <c r="A754" s="9"/>
      <c r="B754" s="11"/>
    </row>
    <row r="755" spans="1:2">
      <c r="A755" s="9"/>
      <c r="B755" s="11"/>
    </row>
    <row r="756" spans="1:2">
      <c r="A756" s="9"/>
      <c r="B756" s="11"/>
    </row>
    <row r="757" spans="1:2">
      <c r="A757" s="9"/>
      <c r="B757" s="11"/>
    </row>
    <row r="758" spans="1:2">
      <c r="A758" s="9"/>
      <c r="B758" s="11"/>
    </row>
    <row r="759" spans="1:2">
      <c r="A759" s="9"/>
      <c r="B759" s="11"/>
    </row>
    <row r="760" spans="1:2">
      <c r="A760" s="9"/>
      <c r="B760" s="11"/>
    </row>
    <row r="761" spans="1:2">
      <c r="A761" s="9"/>
      <c r="B761" s="11"/>
    </row>
    <row r="762" spans="1:2">
      <c r="A762" s="9"/>
      <c r="B762" s="11"/>
    </row>
    <row r="763" spans="1:2">
      <c r="A763" s="9"/>
      <c r="B763" s="11"/>
    </row>
    <row r="764" spans="1:2">
      <c r="A764" s="9"/>
      <c r="B764" s="11"/>
    </row>
    <row r="765" spans="1:2">
      <c r="A765" s="9"/>
      <c r="B765" s="11"/>
    </row>
    <row r="766" spans="1:2">
      <c r="A766" s="9"/>
      <c r="B766" s="11"/>
    </row>
    <row r="767" spans="1:2">
      <c r="A767" s="9"/>
      <c r="B767" s="11"/>
    </row>
    <row r="768" spans="1:2">
      <c r="A768" s="9"/>
      <c r="B768" s="11"/>
    </row>
    <row r="769" spans="1:2">
      <c r="A769" s="9"/>
      <c r="B769" s="11"/>
    </row>
    <row r="770" spans="1:2">
      <c r="A770" s="9"/>
      <c r="B770" s="11"/>
    </row>
    <row r="771" spans="1:2">
      <c r="A771" s="9"/>
      <c r="B771" s="11"/>
    </row>
    <row r="772" spans="1:2">
      <c r="A772" s="9"/>
      <c r="B772" s="11"/>
    </row>
    <row r="773" spans="1:2">
      <c r="A773" s="9"/>
      <c r="B773" s="11"/>
    </row>
    <row r="774" spans="1:2">
      <c r="A774" s="9"/>
      <c r="B774" s="11"/>
    </row>
    <row r="775" spans="1:2">
      <c r="A775" s="9"/>
      <c r="B775" s="11"/>
    </row>
    <row r="776" spans="1:2">
      <c r="A776" s="9"/>
      <c r="B776" s="11"/>
    </row>
    <row r="777" spans="1:2">
      <c r="A777" s="9"/>
      <c r="B777" s="11"/>
    </row>
    <row r="778" spans="1:2">
      <c r="A778" s="9"/>
      <c r="B778" s="11"/>
    </row>
    <row r="779" spans="1:2">
      <c r="A779" s="9"/>
      <c r="B779" s="11"/>
    </row>
    <row r="780" spans="1:2">
      <c r="A780" s="9"/>
      <c r="B780" s="11"/>
    </row>
    <row r="781" spans="1:2">
      <c r="A781" s="9"/>
      <c r="B781" s="11"/>
    </row>
    <row r="782" spans="1:2">
      <c r="A782" s="9"/>
      <c r="B782" s="11"/>
    </row>
    <row r="783" spans="1:2">
      <c r="A783" s="9"/>
      <c r="B783" s="11"/>
    </row>
    <row r="784" spans="1:2">
      <c r="A784" s="9"/>
      <c r="B784" s="11"/>
    </row>
    <row r="785" spans="1:2">
      <c r="A785" s="9"/>
      <c r="B785" s="11"/>
    </row>
    <row r="786" spans="1:2">
      <c r="A786" s="9"/>
      <c r="B786" s="11"/>
    </row>
    <row r="787" spans="1:2">
      <c r="A787" s="9"/>
      <c r="B787" s="11"/>
    </row>
    <row r="788" spans="1:2">
      <c r="A788" s="9"/>
      <c r="B788" s="11"/>
    </row>
    <row r="789" spans="1:2">
      <c r="A789" s="9"/>
      <c r="B789" s="11"/>
    </row>
    <row r="790" spans="1:2">
      <c r="A790" s="9"/>
      <c r="B790" s="11"/>
    </row>
    <row r="791" spans="1:2">
      <c r="A791" s="9"/>
      <c r="B791" s="11"/>
    </row>
    <row r="792" spans="1:2">
      <c r="A792" s="9"/>
      <c r="B792" s="11"/>
    </row>
    <row r="793" spans="1:2">
      <c r="A793" s="9"/>
      <c r="B793" s="11"/>
    </row>
    <row r="794" spans="1:2">
      <c r="A794" s="9"/>
      <c r="B794" s="11"/>
    </row>
    <row r="795" spans="1:2">
      <c r="A795" s="9"/>
      <c r="B795" s="11"/>
    </row>
    <row r="796" spans="1:2">
      <c r="A796" s="9"/>
      <c r="B796" s="11"/>
    </row>
    <row r="797" spans="1:2">
      <c r="A797" s="9"/>
      <c r="B797" s="11"/>
    </row>
    <row r="798" spans="1:2">
      <c r="A798" s="9"/>
      <c r="B798" s="11"/>
    </row>
    <row r="799" spans="1:2">
      <c r="A799" s="9"/>
      <c r="B799" s="11"/>
    </row>
    <row r="800" spans="1:2">
      <c r="A800" s="9"/>
      <c r="B800" s="11"/>
    </row>
    <row r="801" spans="1:2">
      <c r="A801" s="9"/>
      <c r="B801" s="11"/>
    </row>
    <row r="802" spans="1:2">
      <c r="A802" s="9"/>
      <c r="B802" s="11"/>
    </row>
    <row r="803" spans="1:2">
      <c r="A803" s="9"/>
      <c r="B803" s="11"/>
    </row>
    <row r="804" spans="1:2">
      <c r="A804" s="9"/>
      <c r="B804" s="11"/>
    </row>
    <row r="805" spans="1:2">
      <c r="A805" s="9"/>
      <c r="B805" s="11"/>
    </row>
    <row r="806" spans="1:2">
      <c r="A806" s="9"/>
      <c r="B806" s="11"/>
    </row>
    <row r="807" spans="1:2">
      <c r="A807" s="9"/>
      <c r="B807" s="11"/>
    </row>
    <row r="808" spans="1:2">
      <c r="A808" s="9"/>
      <c r="B808" s="11"/>
    </row>
    <row r="809" spans="1:2">
      <c r="A809" s="9"/>
      <c r="B809" s="11"/>
    </row>
    <row r="810" spans="1:2">
      <c r="A810" s="9"/>
      <c r="B810" s="11"/>
    </row>
    <row r="811" spans="1:2">
      <c r="A811" s="9"/>
      <c r="B811" s="11"/>
    </row>
    <row r="812" spans="1:2">
      <c r="A812" s="9"/>
      <c r="B812" s="11"/>
    </row>
    <row r="813" spans="1:2">
      <c r="A813" s="9"/>
      <c r="B813" s="11"/>
    </row>
    <row r="814" spans="1:2">
      <c r="A814" s="9"/>
      <c r="B814" s="11"/>
    </row>
    <row r="815" spans="1:2">
      <c r="A815" s="9"/>
      <c r="B815" s="11"/>
    </row>
    <row r="816" spans="1:2">
      <c r="A816" s="9"/>
      <c r="B816" s="11"/>
    </row>
    <row r="817" spans="1:2">
      <c r="A817" s="9"/>
      <c r="B817" s="11"/>
    </row>
    <row r="818" spans="1:2">
      <c r="A818" s="9"/>
      <c r="B818" s="11"/>
    </row>
    <row r="819" spans="1:2">
      <c r="A819" s="9"/>
      <c r="B819" s="11"/>
    </row>
    <row r="820" spans="1:2">
      <c r="A820" s="9"/>
      <c r="B820" s="11"/>
    </row>
    <row r="821" spans="1:2">
      <c r="A821" s="9"/>
      <c r="B821" s="11"/>
    </row>
    <row r="822" spans="1:2">
      <c r="A822" s="9"/>
      <c r="B822" s="11"/>
    </row>
    <row r="823" spans="1:2">
      <c r="A823" s="9"/>
      <c r="B823" s="11"/>
    </row>
    <row r="824" spans="1:2">
      <c r="A824" s="9"/>
      <c r="B824" s="11"/>
    </row>
    <row r="825" spans="1:2">
      <c r="A825" s="9"/>
      <c r="B825" s="11"/>
    </row>
    <row r="826" spans="1:2">
      <c r="A826" s="9"/>
      <c r="B826" s="11"/>
    </row>
    <row r="827" spans="1:2">
      <c r="A827" s="9"/>
      <c r="B827" s="11"/>
    </row>
    <row r="828" spans="1:2">
      <c r="A828" s="9"/>
      <c r="B828" s="11"/>
    </row>
    <row r="829" spans="1:2">
      <c r="A829" s="9"/>
      <c r="B829" s="11"/>
    </row>
    <row r="830" spans="1:2">
      <c r="A830" s="9"/>
      <c r="B830" s="11"/>
    </row>
    <row r="831" spans="1:2">
      <c r="A831" s="9"/>
      <c r="B831" s="11"/>
    </row>
    <row r="832" spans="1:2">
      <c r="A832" s="9"/>
      <c r="B832" s="11"/>
    </row>
    <row r="833" spans="1:2">
      <c r="A833" s="9"/>
      <c r="B833" s="11"/>
    </row>
    <row r="834" spans="1:2">
      <c r="A834" s="9"/>
      <c r="B834" s="11"/>
    </row>
    <row r="835" spans="1:2">
      <c r="A835" s="9"/>
      <c r="B835" s="11"/>
    </row>
    <row r="836" spans="1:2">
      <c r="A836" s="9"/>
      <c r="B836" s="11"/>
    </row>
    <row r="837" spans="1:2">
      <c r="A837" s="9"/>
      <c r="B837" s="11"/>
    </row>
    <row r="838" spans="1:2">
      <c r="A838" s="9"/>
      <c r="B838" s="11"/>
    </row>
    <row r="839" spans="1:2">
      <c r="A839" s="9"/>
      <c r="B839" s="11"/>
    </row>
    <row r="840" spans="1:2">
      <c r="A840" s="9"/>
      <c r="B840" s="11"/>
    </row>
    <row r="841" spans="1:2">
      <c r="A841" s="9"/>
      <c r="B841" s="11"/>
    </row>
    <row r="842" spans="1:2">
      <c r="A842" s="9"/>
      <c r="B842" s="11"/>
    </row>
    <row r="843" spans="1:2">
      <c r="A843" s="9"/>
      <c r="B843" s="11"/>
    </row>
    <row r="844" spans="1:2">
      <c r="A844" s="9"/>
      <c r="B844" s="11"/>
    </row>
    <row r="845" spans="1:2">
      <c r="A845" s="9"/>
      <c r="B845" s="11"/>
    </row>
    <row r="846" spans="1:2">
      <c r="A846" s="9"/>
      <c r="B846" s="11"/>
    </row>
    <row r="847" spans="1:2">
      <c r="A847" s="9"/>
      <c r="B847" s="11"/>
    </row>
    <row r="848" spans="1:2">
      <c r="A848" s="9"/>
      <c r="B848" s="11"/>
    </row>
    <row r="849" spans="1:2">
      <c r="A849" s="9"/>
      <c r="B849" s="11"/>
    </row>
    <row r="850" spans="1:2">
      <c r="A850" s="9"/>
      <c r="B850" s="11"/>
    </row>
    <row r="851" spans="1:2">
      <c r="A851" s="9"/>
      <c r="B851" s="11"/>
    </row>
    <row r="852" spans="1:2">
      <c r="A852" s="9"/>
      <c r="B852" s="11"/>
    </row>
    <row r="853" spans="1:2">
      <c r="A853" s="9"/>
      <c r="B853" s="11"/>
    </row>
    <row r="854" spans="1:2">
      <c r="A854" s="9"/>
      <c r="B854" s="11"/>
    </row>
    <row r="855" spans="1:2">
      <c r="A855" s="9"/>
      <c r="B855" s="11"/>
    </row>
    <row r="856" spans="1:2">
      <c r="A856" s="9"/>
      <c r="B856" s="11"/>
    </row>
    <row r="857" spans="1:2">
      <c r="A857" s="9"/>
      <c r="B857" s="11"/>
    </row>
    <row r="858" spans="1:2">
      <c r="A858" s="9"/>
      <c r="B858" s="11"/>
    </row>
    <row r="859" spans="1:2">
      <c r="A859" s="9"/>
      <c r="B859" s="11"/>
    </row>
    <row r="860" spans="1:2">
      <c r="A860" s="9"/>
      <c r="B860" s="11"/>
    </row>
    <row r="861" spans="1:2">
      <c r="A861" s="9"/>
      <c r="B861" s="11"/>
    </row>
    <row r="862" spans="1:2">
      <c r="A862" s="9"/>
      <c r="B862" s="11"/>
    </row>
    <row r="863" spans="1:2">
      <c r="A863" s="9"/>
      <c r="B863" s="11"/>
    </row>
    <row r="864" spans="1:2">
      <c r="A864" s="9"/>
      <c r="B864" s="11"/>
    </row>
    <row r="865" spans="1:2">
      <c r="A865" s="9"/>
      <c r="B865" s="11"/>
    </row>
    <row r="866" spans="1:2">
      <c r="A866" s="9"/>
      <c r="B866" s="11"/>
    </row>
    <row r="867" spans="1:2">
      <c r="A867" s="9"/>
      <c r="B867" s="11"/>
    </row>
    <row r="868" spans="1:2">
      <c r="A868" s="9"/>
      <c r="B868" s="11"/>
    </row>
    <row r="869" spans="1:2">
      <c r="A869" s="9"/>
      <c r="B869" s="11"/>
    </row>
    <row r="870" spans="1:2">
      <c r="A870" s="9"/>
      <c r="B870" s="11"/>
    </row>
    <row r="871" spans="1:2">
      <c r="A871" s="9"/>
      <c r="B871" s="11"/>
    </row>
    <row r="872" spans="1:2">
      <c r="A872" s="9"/>
      <c r="B872" s="11"/>
    </row>
    <row r="873" spans="1:2">
      <c r="A873" s="9"/>
      <c r="B873" s="11"/>
    </row>
    <row r="874" spans="1:2">
      <c r="A874" s="9"/>
      <c r="B874" s="11"/>
    </row>
    <row r="875" spans="1:2">
      <c r="A875" s="9"/>
      <c r="B875" s="11"/>
    </row>
    <row r="876" spans="1:2">
      <c r="A876" s="9"/>
      <c r="B876" s="11"/>
    </row>
    <row r="877" spans="1:2">
      <c r="A877" s="9"/>
      <c r="B877" s="11"/>
    </row>
    <row r="878" spans="1:2">
      <c r="A878" s="9"/>
      <c r="B878" s="11"/>
    </row>
    <row r="879" spans="1:2">
      <c r="A879" s="9"/>
      <c r="B879" s="11"/>
    </row>
    <row r="880" spans="1:2">
      <c r="A880" s="9"/>
      <c r="B880" s="11"/>
    </row>
    <row r="881" spans="1:2">
      <c r="A881" s="9"/>
      <c r="B881" s="11"/>
    </row>
    <row r="882" spans="1:2">
      <c r="A882" s="9"/>
      <c r="B882" s="11"/>
    </row>
    <row r="883" spans="1:2">
      <c r="A883" s="9"/>
      <c r="B883" s="11"/>
    </row>
    <row r="884" spans="1:2">
      <c r="A884" s="9"/>
      <c r="B884" s="11"/>
    </row>
    <row r="885" spans="1:2">
      <c r="A885" s="9"/>
      <c r="B885" s="11"/>
    </row>
    <row r="886" spans="1:2">
      <c r="A886" s="9"/>
      <c r="B886" s="11"/>
    </row>
    <row r="887" spans="1:2">
      <c r="A887" s="9"/>
      <c r="B887" s="11"/>
    </row>
    <row r="888" spans="1:2">
      <c r="A888" s="9"/>
      <c r="B888" s="11"/>
    </row>
    <row r="889" spans="1:2">
      <c r="A889" s="9"/>
      <c r="B889" s="11"/>
    </row>
    <row r="890" spans="1:2">
      <c r="A890" s="9"/>
      <c r="B890" s="11"/>
    </row>
    <row r="891" spans="1:2">
      <c r="A891" s="9"/>
      <c r="B891" s="11"/>
    </row>
    <row r="892" spans="1:2">
      <c r="A892" s="9"/>
      <c r="B892" s="11"/>
    </row>
    <row r="893" spans="1:2">
      <c r="A893" s="9"/>
      <c r="B893" s="11"/>
    </row>
    <row r="894" spans="1:2">
      <c r="A894" s="9"/>
      <c r="B894" s="11"/>
    </row>
    <row r="895" spans="1:2">
      <c r="A895" s="9"/>
      <c r="B895" s="11"/>
    </row>
    <row r="896" spans="1:2">
      <c r="A896" s="9"/>
      <c r="B896" s="11"/>
    </row>
    <row r="897" spans="1:2">
      <c r="A897" s="9"/>
      <c r="B897" s="11"/>
    </row>
    <row r="898" spans="1:2">
      <c r="A898" s="9"/>
      <c r="B898" s="11"/>
    </row>
    <row r="899" spans="1:2">
      <c r="A899" s="9"/>
      <c r="B899" s="11"/>
    </row>
    <row r="900" spans="1:2">
      <c r="A900" s="9"/>
      <c r="B900" s="11"/>
    </row>
    <row r="901" spans="1:2">
      <c r="A901" s="9"/>
      <c r="B901" s="11"/>
    </row>
    <row r="902" spans="1:2">
      <c r="A902" s="9"/>
      <c r="B902" s="11"/>
    </row>
    <row r="903" spans="1:2">
      <c r="A903" s="9"/>
      <c r="B903" s="11"/>
    </row>
    <row r="904" spans="1:2">
      <c r="A904" s="9"/>
      <c r="B904" s="11"/>
    </row>
    <row r="905" spans="1:2">
      <c r="A905" s="9"/>
      <c r="B905" s="11"/>
    </row>
    <row r="906" spans="1:2">
      <c r="A906" s="9"/>
      <c r="B906" s="11"/>
    </row>
    <row r="907" spans="1:2">
      <c r="A907" s="9"/>
      <c r="B907" s="11"/>
    </row>
    <row r="908" spans="1:2">
      <c r="A908" s="9"/>
      <c r="B908" s="11"/>
    </row>
    <row r="909" spans="1:2">
      <c r="A909" s="9"/>
      <c r="B909" s="11"/>
    </row>
    <row r="910" spans="1:2">
      <c r="A910" s="9"/>
      <c r="B910" s="11"/>
    </row>
    <row r="911" spans="1:2">
      <c r="A911" s="9"/>
      <c r="B911" s="11"/>
    </row>
    <row r="912" spans="1:2">
      <c r="A912" s="9"/>
      <c r="B912" s="11"/>
    </row>
    <row r="913" spans="1:2">
      <c r="A913" s="9"/>
      <c r="B913" s="11"/>
    </row>
    <row r="914" spans="1:2">
      <c r="A914" s="9"/>
      <c r="B914" s="11"/>
    </row>
    <row r="915" spans="1:2">
      <c r="A915" s="9"/>
      <c r="B915" s="11"/>
    </row>
    <row r="916" spans="1:2">
      <c r="A916" s="9"/>
      <c r="B916" s="11"/>
    </row>
    <row r="917" spans="1:2">
      <c r="A917" s="9"/>
      <c r="B917" s="11"/>
    </row>
    <row r="918" spans="1:2">
      <c r="A918" s="9"/>
      <c r="B918" s="11"/>
    </row>
    <row r="919" spans="1:2">
      <c r="A919" s="9"/>
      <c r="B919" s="11"/>
    </row>
    <row r="920" spans="1:2">
      <c r="A920" s="9"/>
      <c r="B920" s="11"/>
    </row>
    <row r="921" spans="1:2">
      <c r="A921" s="9"/>
      <c r="B921" s="11"/>
    </row>
    <row r="922" spans="1:2">
      <c r="A922" s="9"/>
      <c r="B922" s="11"/>
    </row>
    <row r="923" spans="1:2">
      <c r="A923" s="9"/>
      <c r="B923" s="11"/>
    </row>
    <row r="924" spans="1:2">
      <c r="A924" s="9"/>
      <c r="B924" s="11"/>
    </row>
    <row r="925" spans="1:2">
      <c r="A925" s="9"/>
      <c r="B925" s="11"/>
    </row>
    <row r="926" spans="1:2">
      <c r="A926" s="9"/>
      <c r="B926" s="11"/>
    </row>
    <row r="927" spans="1:2">
      <c r="A927" s="9"/>
      <c r="B927" s="11"/>
    </row>
    <row r="928" spans="1:2">
      <c r="A928" s="9"/>
      <c r="B928" s="11"/>
    </row>
    <row r="929" spans="1:2">
      <c r="A929" s="9"/>
      <c r="B929" s="11"/>
    </row>
    <row r="930" spans="1:2">
      <c r="A930" s="9"/>
      <c r="B930" s="11"/>
    </row>
    <row r="931" spans="1:2">
      <c r="A931" s="9"/>
      <c r="B931" s="11"/>
    </row>
    <row r="932" spans="1:2">
      <c r="A932" s="9"/>
      <c r="B932" s="11"/>
    </row>
    <row r="933" spans="1:2">
      <c r="A933" s="9"/>
      <c r="B933" s="11"/>
    </row>
    <row r="934" spans="1:2">
      <c r="A934" s="9"/>
      <c r="B934" s="11"/>
    </row>
    <row r="935" spans="1:2">
      <c r="A935" s="9"/>
      <c r="B935" s="11"/>
    </row>
    <row r="936" spans="1:2">
      <c r="A936" s="9"/>
      <c r="B936" s="11"/>
    </row>
    <row r="937" spans="1:2">
      <c r="A937" s="9"/>
      <c r="B937" s="11"/>
    </row>
    <row r="938" spans="1:2">
      <c r="A938" s="9"/>
      <c r="B938" s="11"/>
    </row>
    <row r="939" spans="1:2">
      <c r="A939" s="9"/>
      <c r="B939" s="11"/>
    </row>
    <row r="940" spans="1:2">
      <c r="A940" s="9"/>
      <c r="B940" s="11"/>
    </row>
    <row r="941" spans="1:2">
      <c r="A941" s="9"/>
      <c r="B941" s="11"/>
    </row>
    <row r="942" spans="1:2">
      <c r="A942" s="9"/>
      <c r="B942" s="11"/>
    </row>
    <row r="943" spans="1:2">
      <c r="A943" s="9"/>
      <c r="B943" s="11"/>
    </row>
    <row r="944" spans="1:2">
      <c r="A944" s="9"/>
      <c r="B944" s="11"/>
    </row>
    <row r="945" spans="1:2">
      <c r="A945" s="9"/>
      <c r="B945" s="11"/>
    </row>
    <row r="946" spans="1:2">
      <c r="A946" s="9"/>
      <c r="B946" s="11"/>
    </row>
    <row r="947" spans="1:2">
      <c r="A947" s="9"/>
      <c r="B947" s="11"/>
    </row>
    <row r="948" spans="1:2">
      <c r="A948" s="9"/>
      <c r="B948" s="11"/>
    </row>
    <row r="949" spans="1:2">
      <c r="A949" s="9"/>
      <c r="B949" s="11"/>
    </row>
    <row r="950" spans="1:2">
      <c r="A950" s="9"/>
      <c r="B950" s="11"/>
    </row>
    <row r="951" spans="1:2">
      <c r="A951" s="9"/>
      <c r="B951" s="11"/>
    </row>
    <row r="952" spans="1:2">
      <c r="A952" s="9"/>
      <c r="B952" s="11"/>
    </row>
    <row r="953" spans="1:2">
      <c r="A953" s="9"/>
      <c r="B953" s="11"/>
    </row>
    <row r="954" spans="1:2">
      <c r="A954" s="9"/>
      <c r="B954" s="11"/>
    </row>
    <row r="955" spans="1:2">
      <c r="A955" s="9"/>
      <c r="B955" s="11"/>
    </row>
    <row r="956" spans="1:2">
      <c r="A956" s="9"/>
      <c r="B956" s="11"/>
    </row>
    <row r="957" spans="1:2">
      <c r="A957" s="9"/>
      <c r="B957" s="11"/>
    </row>
    <row r="958" spans="1:2">
      <c r="A958" s="9"/>
      <c r="B958" s="11"/>
    </row>
    <row r="959" spans="1:2">
      <c r="A959" s="9"/>
      <c r="B959" s="11"/>
    </row>
    <row r="960" spans="1:2">
      <c r="A960" s="9"/>
      <c r="B960" s="11"/>
    </row>
    <row r="961" spans="1:2">
      <c r="A961" s="9"/>
      <c r="B961" s="11"/>
    </row>
    <row r="962" spans="1:2">
      <c r="A962" s="9"/>
      <c r="B962" s="11"/>
    </row>
    <row r="963" spans="1:2">
      <c r="A963" s="9"/>
      <c r="B963" s="11"/>
    </row>
    <row r="964" spans="1:2">
      <c r="A964" s="9"/>
      <c r="B964" s="11"/>
    </row>
    <row r="965" spans="1:2">
      <c r="A965" s="9"/>
      <c r="B965" s="11"/>
    </row>
    <row r="966" spans="1:2">
      <c r="A966" s="9"/>
      <c r="B966" s="11"/>
    </row>
    <row r="967" spans="1:2">
      <c r="A967" s="9"/>
      <c r="B967" s="11"/>
    </row>
    <row r="968" spans="1:2">
      <c r="A968" s="9"/>
      <c r="B968" s="11"/>
    </row>
    <row r="969" spans="1:2">
      <c r="A969" s="9"/>
      <c r="B969" s="11"/>
    </row>
    <row r="970" spans="1:2">
      <c r="A970" s="9"/>
      <c r="B970" s="11"/>
    </row>
    <row r="971" spans="1:2">
      <c r="A971" s="9"/>
      <c r="B971" s="11"/>
    </row>
    <row r="972" spans="1:2">
      <c r="A972" s="9"/>
      <c r="B972" s="11"/>
    </row>
    <row r="973" spans="1:2">
      <c r="A973" s="9"/>
      <c r="B973" s="11"/>
    </row>
    <row r="974" spans="1:2">
      <c r="A974" s="9"/>
      <c r="B974" s="11"/>
    </row>
    <row r="975" spans="1:2">
      <c r="A975" s="9"/>
      <c r="B975" s="11"/>
    </row>
    <row r="976" spans="1:2">
      <c r="A976" s="9"/>
      <c r="B976" s="11"/>
    </row>
    <row r="977" spans="1:2">
      <c r="A977" s="9"/>
      <c r="B977" s="11"/>
    </row>
    <row r="978" spans="1:2">
      <c r="A978" s="9"/>
      <c r="B978" s="11"/>
    </row>
    <row r="979" spans="1:2">
      <c r="A979" s="9"/>
      <c r="B979" s="11"/>
    </row>
    <row r="980" spans="1:2">
      <c r="A980" s="9"/>
      <c r="B980" s="11"/>
    </row>
    <row r="981" spans="1:2">
      <c r="A981" s="9"/>
      <c r="B981" s="11"/>
    </row>
    <row r="982" spans="1:2">
      <c r="A982" s="9"/>
      <c r="B982" s="11"/>
    </row>
    <row r="983" spans="1:2">
      <c r="A983" s="9"/>
      <c r="B983" s="11"/>
    </row>
    <row r="984" spans="1:2">
      <c r="A984" s="9"/>
      <c r="B984" s="11"/>
    </row>
    <row r="985" spans="1:2">
      <c r="A985" s="9"/>
      <c r="B985" s="11"/>
    </row>
    <row r="986" spans="1:2">
      <c r="A986" s="9"/>
      <c r="B986" s="11"/>
    </row>
    <row r="987" spans="1:2">
      <c r="A987" s="9"/>
      <c r="B987" s="11"/>
    </row>
    <row r="988" spans="1:2">
      <c r="A988" s="9"/>
      <c r="B988" s="11"/>
    </row>
    <row r="989" spans="1:2">
      <c r="A989" s="9"/>
      <c r="B989" s="11"/>
    </row>
    <row r="990" spans="1:2">
      <c r="A990" s="9"/>
      <c r="B990" s="11"/>
    </row>
    <row r="991" spans="1:2">
      <c r="A991" s="9"/>
      <c r="B991" s="11"/>
    </row>
    <row r="992" spans="1:2">
      <c r="A992" s="9"/>
      <c r="B992" s="11"/>
    </row>
    <row r="993" spans="1:2">
      <c r="A993" s="9"/>
      <c r="B993" s="11"/>
    </row>
    <row r="994" spans="1:2">
      <c r="A994" s="9"/>
      <c r="B994" s="11"/>
    </row>
    <row r="995" spans="1:2">
      <c r="A995" s="9"/>
      <c r="B995" s="11"/>
    </row>
    <row r="996" spans="1:2">
      <c r="A996" s="9"/>
      <c r="B996" s="11"/>
    </row>
    <row r="997" spans="1:2">
      <c r="A997" s="9"/>
      <c r="B997" s="11"/>
    </row>
    <row r="998" spans="1:2">
      <c r="A998" s="9"/>
      <c r="B998" s="11"/>
    </row>
    <row r="999" spans="1:2">
      <c r="A999" s="9"/>
      <c r="B999" s="11"/>
    </row>
    <row r="1000" spans="1:2">
      <c r="A1000" s="9"/>
      <c r="B1000" s="11"/>
    </row>
  </sheetData>
  <phoneticPr fontId="22"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6DB3-A7A3-FA4B-8E86-DFC0F5C5161E}">
  <dimension ref="A1:M581"/>
  <sheetViews>
    <sheetView workbookViewId="0"/>
  </sheetViews>
  <sheetFormatPr baseColWidth="10" defaultRowHeight="13"/>
  <sheetData>
    <row r="1" spans="1:13">
      <c r="A1" t="s">
        <v>5963</v>
      </c>
      <c r="B1" t="s">
        <v>5964</v>
      </c>
      <c r="C1" t="s">
        <v>5965</v>
      </c>
      <c r="D1" t="s">
        <v>5966</v>
      </c>
      <c r="E1" t="s">
        <v>5967</v>
      </c>
      <c r="F1" t="s">
        <v>5968</v>
      </c>
      <c r="G1" t="s">
        <v>5969</v>
      </c>
      <c r="H1" t="s">
        <v>5992</v>
      </c>
      <c r="I1" t="s">
        <v>5993</v>
      </c>
      <c r="J1" t="s">
        <v>5971</v>
      </c>
      <c r="K1" t="s">
        <v>5972</v>
      </c>
      <c r="L1" t="s">
        <v>5973</v>
      </c>
      <c r="M1" t="s">
        <v>5974</v>
      </c>
    </row>
    <row r="2" spans="1:13" ht="154">
      <c r="A2" t="s">
        <v>173</v>
      </c>
      <c r="B2">
        <v>1</v>
      </c>
      <c r="C2" t="s">
        <v>202</v>
      </c>
      <c r="D2">
        <v>6</v>
      </c>
      <c r="E2" t="s">
        <v>204</v>
      </c>
      <c r="F2">
        <v>17</v>
      </c>
      <c r="G2" s="10" t="s">
        <v>180</v>
      </c>
      <c r="H2" cm="1">
        <f t="array" ref="H2">IF(OR(A2="",E2=""),"",SUMPRODUCT(($A$2:$A$581=A2)*($B$2:$B$581&lt;B2)*$I$2:$I$581))</f>
        <v>0</v>
      </c>
      <c r="I2">
        <f>IF(OR(A2="",E2="",NOT(ISNUMBER(F2))),0,MIN(F2,5))</f>
        <v>5</v>
      </c>
      <c r="J2" t="str" cm="1">
        <f t="array" ref="J2">IFERROR(INDEX(C$2:C$581,_xlfn.AGGREGATE(15,6,ROW(A$2:A$581)-1/((A$2:A$581='기인물 위험정보제공'!$C$5)*(B$2:B$581=1)),1)),"")</f>
        <v>4.1 조적, 미장 및 견출작업</v>
      </c>
      <c r="K2" cm="1">
        <f t="array" ref="K2">IFERROR(INDEX(D$2:D$581,_xlfn.AGGREGATE(15,6,ROW(A$2:A$581)-1/((A$2:A$581='기인물 위험정보제공'!$C$5)*(B$2:B$581=1)),1)),"")</f>
        <v>6</v>
      </c>
      <c r="L2" t="str" cm="1">
        <f t="array" ref="L2">IFERROR(INDEX(E$2:E$581,_xlfn.AGGREGATE(15,6,ROW(A$2:A$581)-1/((A$2:A$581='기인물 위험정보제공'!$C$5)*(B$2:B$581=1)),1)),"")</f>
        <v>떨어짐</v>
      </c>
      <c r="M2" cm="1">
        <f t="array" ref="M2">IFERROR(INDEX(F$2:F$581,_xlfn.AGGREGATE(15,6,ROW(A$2:A$581)-1/((A$2:A$581='기인물 위험정보제공'!$C$5)*(B$2:B$581=1)),1)),"")</f>
        <v>28</v>
      </c>
    </row>
    <row r="3" spans="1:13" ht="238">
      <c r="A3" t="s">
        <v>173</v>
      </c>
      <c r="B3">
        <v>2</v>
      </c>
      <c r="C3" t="s">
        <v>241</v>
      </c>
      <c r="D3">
        <v>4</v>
      </c>
      <c r="E3" t="s">
        <v>177</v>
      </c>
      <c r="F3">
        <v>13</v>
      </c>
      <c r="G3" s="10" t="s">
        <v>188</v>
      </c>
      <c r="H3" cm="1">
        <f t="array" ref="H3">IF(OR(A3="",E3=""),"",SUMPRODUCT(($A$2:$A$581=A3)*($B$2:$B$581&lt;B3)*$I$2:$I$581))</f>
        <v>5</v>
      </c>
      <c r="I3">
        <f t="shared" ref="I3:I66" si="0">IF(OR(A3="",E3="",NOT(ISNUMBER(F3))),0,MIN(F3,5))</f>
        <v>5</v>
      </c>
      <c r="J3" t="str" cm="1">
        <f t="array" ref="J3">IFERROR(INDEX(C$2:C$581,_xlfn.AGGREGATE(15,6,ROW(A$2:A$581)-1/((A$2:A$581='기인물 위험정보제공'!$C$5)*(B$2:B$581=2)),1)),"")</f>
        <v>4.3 석재 및 타일 작업</v>
      </c>
      <c r="K3" cm="1">
        <f t="array" ref="K3">IFERROR(INDEX(D$2:D$581,_xlfn.AGGREGATE(15,6,ROW(A$2:A$581)-1/((A$2:A$581='기인물 위험정보제공'!$C$5)*(B$2:B$581=2)),1)),"")</f>
        <v>6</v>
      </c>
      <c r="L3" t="str" cm="1">
        <f t="array" ref="L3">IFERROR(INDEX(E$2:E$581,_xlfn.AGGREGATE(15,6,ROW(A$2:A$581)-1/((A$2:A$581='기인물 위험정보제공'!$C$5)*(B$2:B$581=2)),1)),"")</f>
        <v>부딪힘 접촉</v>
      </c>
      <c r="M3" cm="1">
        <f t="array" ref="M3">IFERROR(INDEX(F$2:F$581,_xlfn.AGGREGATE(15,6,ROW(A$2:A$581)-1/((A$2:A$581='기인물 위험정보제공'!$C$5)*(B$2:B$581=2)),1)),"")</f>
        <v>2</v>
      </c>
    </row>
    <row r="4" spans="1:13" ht="224">
      <c r="A4" t="s">
        <v>173</v>
      </c>
      <c r="B4">
        <v>3</v>
      </c>
      <c r="C4" t="s">
        <v>287</v>
      </c>
      <c r="D4">
        <v>4</v>
      </c>
      <c r="E4" t="s">
        <v>244</v>
      </c>
      <c r="F4">
        <v>4</v>
      </c>
      <c r="G4" s="10" t="s">
        <v>194</v>
      </c>
      <c r="H4" cm="1">
        <f t="array" ref="H4">IF(OR(A4="",E4=""),"",SUMPRODUCT(($A$2:$A$581=A4)*($B$2:$B$581&lt;B4)*$I$2:$I$581))</f>
        <v>10</v>
      </c>
      <c r="I4">
        <f t="shared" si="0"/>
        <v>4</v>
      </c>
      <c r="J4" t="str" cm="1">
        <f t="array" ref="J4">IFERROR(INDEX(C$2:C$581,_xlfn.AGGREGATE(15,6,ROW(A$2:A$581)-1/((A$2:A$581='기인물 위험정보제공'!$C$5)*(B$2:B$581=3)),1)),"")</f>
        <v>2.1 거푸집 작업</v>
      </c>
      <c r="K4" cm="1">
        <f t="array" ref="K4">IFERROR(INDEX(D$2:D$581,_xlfn.AGGREGATE(15,6,ROW(A$2:A$581)-1/((A$2:A$581='기인물 위험정보제공'!$C$5)*(B$2:B$581=3)),1)),"")</f>
        <v>4</v>
      </c>
      <c r="L4" t="str" cm="1">
        <f t="array" ref="L4">IFERROR(INDEX(E$2:E$581,_xlfn.AGGREGATE(15,6,ROW(A$2:A$581)-1/((A$2:A$581='기인물 위험정보제공'!$C$5)*(B$2:B$581=3)),1)),"")</f>
        <v>깔림 뒤집힘</v>
      </c>
      <c r="M4" cm="1">
        <f t="array" ref="M4">IFERROR(INDEX(F$2:F$581,_xlfn.AGGREGATE(15,6,ROW(A$2:A$581)-1/((A$2:A$581='기인물 위험정보제공'!$C$5)*(B$2:B$581=3)),1)),"")</f>
        <v>1</v>
      </c>
    </row>
    <row r="5" spans="1:13" ht="168">
      <c r="A5" t="s">
        <v>173</v>
      </c>
      <c r="B5">
        <v>4</v>
      </c>
      <c r="C5" t="s">
        <v>261</v>
      </c>
      <c r="D5">
        <v>3</v>
      </c>
      <c r="E5" t="s">
        <v>185</v>
      </c>
      <c r="F5">
        <v>3</v>
      </c>
      <c r="G5" s="10" t="s">
        <v>201</v>
      </c>
      <c r="H5" cm="1">
        <f t="array" ref="H5">IF(OR(A5="",E5=""),"",SUMPRODUCT(($A$2:$A$581=A5)*($B$2:$B$581&lt;B5)*$I$2:$I$581))</f>
        <v>14</v>
      </c>
      <c r="I5">
        <f t="shared" si="0"/>
        <v>3</v>
      </c>
      <c r="J5" t="str" cm="1">
        <f t="array" ref="J5">IFERROR(INDEX(C$2:C$581,_xlfn.AGGREGATE(15,6,ROW(A$2:A$581)-1/((A$2:A$581='기인물 위험정보제공'!$C$5)*(B$2:B$581=4)),1)),"")</f>
        <v>3.1 철골 작업</v>
      </c>
      <c r="K5" cm="1">
        <f t="array" ref="K5">IFERROR(INDEX(D$2:D$581,_xlfn.AGGREGATE(15,6,ROW(A$2:A$581)-1/((A$2:A$581='기인물 위험정보제공'!$C$5)*(B$2:B$581=4)),1)),"")</f>
        <v>3</v>
      </c>
      <c r="L5" t="str" cm="1">
        <f t="array" ref="L5">IFERROR(INDEX(E$2:E$581,_xlfn.AGGREGATE(15,6,ROW(A$2:A$581)-1/((A$2:A$581='기인물 위험정보제공'!$C$5)*(B$2:B$581=4)),1)),"")</f>
        <v>넘어짐</v>
      </c>
      <c r="M5" cm="1">
        <f t="array" ref="M5">IFERROR(INDEX(F$2:F$581,_xlfn.AGGREGATE(15,6,ROW(A$2:A$581)-1/((A$2:A$581='기인물 위험정보제공'!$C$5)*(B$2:B$581=4)),1)),"")</f>
        <v>1</v>
      </c>
    </row>
    <row r="6" spans="1:13" ht="409.6">
      <c r="A6" t="s">
        <v>173</v>
      </c>
      <c r="B6">
        <v>5</v>
      </c>
      <c r="C6" t="s">
        <v>318</v>
      </c>
      <c r="D6">
        <v>3</v>
      </c>
      <c r="E6" t="s">
        <v>272</v>
      </c>
      <c r="F6">
        <v>1</v>
      </c>
      <c r="G6" s="10" t="s">
        <v>207</v>
      </c>
      <c r="H6" cm="1">
        <f t="array" ref="H6">IF(OR(A6="",E6=""),"",SUMPRODUCT(($A$2:$A$581=A6)*($B$2:$B$581&lt;B6)*$I$2:$I$581))</f>
        <v>17</v>
      </c>
      <c r="I6">
        <f t="shared" si="0"/>
        <v>1</v>
      </c>
      <c r="J6" t="str" cm="1">
        <f t="array" ref="J6">IFERROR(INDEX(C$2:C$581,_xlfn.AGGREGATE(15,6,ROW(A$2:A$581)-1/((A$2:A$581='기인물 위험정보제공'!$C$5)*(B$2:B$581=5)),1)),"")</f>
        <v>12.7 기타(작업환경, 청소 등)</v>
      </c>
      <c r="K6" cm="1">
        <f t="array" ref="K6">IFERROR(INDEX(D$2:D$581,_xlfn.AGGREGATE(15,6,ROW(A$2:A$581)-1/((A$2:A$581='기인물 위험정보제공'!$C$5)*(B$2:B$581=5)),1)),"")</f>
        <v>2</v>
      </c>
      <c r="L6" cm="1">
        <f t="array" ref="L6">IFERROR(INDEX(E$2:E$581,_xlfn.AGGREGATE(15,6,ROW(A$2:A$581)-1/((A$2:A$581='기인물 위험정보제공'!$C$5)*(B$2:B$581=5)),1)),"")</f>
        <v>0</v>
      </c>
      <c r="M6" cm="1">
        <f t="array" ref="M6">IFERROR(INDEX(F$2:F$581,_xlfn.AGGREGATE(15,6,ROW(A$2:A$581)-1/((A$2:A$581='기인물 위험정보제공'!$C$5)*(B$2:B$581=5)),1)),"")</f>
        <v>0</v>
      </c>
    </row>
    <row r="7" spans="1:13" ht="210">
      <c r="A7" t="s">
        <v>173</v>
      </c>
      <c r="B7">
        <v>6</v>
      </c>
      <c r="C7" t="s">
        <v>181</v>
      </c>
      <c r="D7">
        <v>2</v>
      </c>
      <c r="E7" t="s">
        <v>329</v>
      </c>
      <c r="F7">
        <v>1</v>
      </c>
      <c r="G7" s="10" t="s">
        <v>211</v>
      </c>
      <c r="H7" cm="1">
        <f t="array" ref="H7">IF(OR(A7="",E7=""),"",SUMPRODUCT(($A$2:$A$581=A7)*($B$2:$B$581&lt;B7)*$I$2:$I$581))</f>
        <v>18</v>
      </c>
      <c r="I7">
        <f t="shared" si="0"/>
        <v>1</v>
      </c>
      <c r="J7" t="str" cm="1">
        <f t="array" ref="J7">IFERROR(INDEX(C$2:C$581,_xlfn.AGGREGATE(15,6,ROW(A$2:A$581)-1/((A$2:A$581='기인물 위험정보제공'!$C$5)*(B$2:B$581=6)),1)),"")</f>
        <v>4.4 도장작업</v>
      </c>
      <c r="K7" cm="1">
        <f t="array" ref="K7">IFERROR(INDEX(D$2:D$581,_xlfn.AGGREGATE(15,6,ROW(A$2:A$581)-1/((A$2:A$581='기인물 위험정보제공'!$C$5)*(B$2:B$581=6)),1)),"")</f>
        <v>2</v>
      </c>
      <c r="L7" cm="1">
        <f t="array" ref="L7">IFERROR(INDEX(E$2:E$581,_xlfn.AGGREGATE(15,6,ROW(A$2:A$581)-1/((A$2:A$581='기인물 위험정보제공'!$C$5)*(B$2:B$581=6)),1)),"")</f>
        <v>0</v>
      </c>
      <c r="M7" cm="1">
        <f t="array" ref="M7">IFERROR(INDEX(F$2:F$581,_xlfn.AGGREGATE(15,6,ROW(A$2:A$581)-1/((A$2:A$581='기인물 위험정보제공'!$C$5)*(B$2:B$581=6)),1)),"")</f>
        <v>0</v>
      </c>
    </row>
    <row r="8" spans="1:13" ht="224">
      <c r="A8" t="s">
        <v>173</v>
      </c>
      <c r="B8">
        <v>7</v>
      </c>
      <c r="C8" t="s">
        <v>230</v>
      </c>
      <c r="D8">
        <v>2</v>
      </c>
      <c r="G8" s="10" t="s">
        <v>217</v>
      </c>
      <c r="H8" t="str" cm="1">
        <f t="array" ref="H8">IF(OR(A8="",E8=""),"",SUMPRODUCT(($A$2:$A$581=A8)*($B$2:$B$581&lt;B8)*$I$2:$I$581))</f>
        <v/>
      </c>
      <c r="I8">
        <f t="shared" si="0"/>
        <v>0</v>
      </c>
      <c r="J8" t="str" cm="1">
        <f t="array" ref="J8">IFERROR(INDEX(C$2:C$581,_xlfn.AGGREGATE(15,6,ROW(A$2:A$581)-1/((A$2:A$581='기인물 위험정보제공'!$C$5)*(B$2:B$581=7)),1)),"")</f>
        <v>5.2 기계설비 작업</v>
      </c>
      <c r="K8" cm="1">
        <f t="array" ref="K8">IFERROR(INDEX(D$2:D$581,_xlfn.AGGREGATE(15,6,ROW(A$2:A$581)-1/((A$2:A$581='기인물 위험정보제공'!$C$5)*(B$2:B$581=7)),1)),"")</f>
        <v>2</v>
      </c>
      <c r="L8" cm="1">
        <f t="array" ref="L8">IFERROR(INDEX(E$2:E$581,_xlfn.AGGREGATE(15,6,ROW(A$2:A$581)-1/((A$2:A$581='기인물 위험정보제공'!$C$5)*(B$2:B$581=7)),1)),"")</f>
        <v>0</v>
      </c>
      <c r="M8" cm="1">
        <f t="array" ref="M8">IFERROR(INDEX(F$2:F$581,_xlfn.AGGREGATE(15,6,ROW(A$2:A$581)-1/((A$2:A$581='기인물 위험정보제공'!$C$5)*(B$2:B$581=7)),1)),"")</f>
        <v>0</v>
      </c>
    </row>
    <row r="9" spans="1:13" ht="238">
      <c r="A9" t="s">
        <v>173</v>
      </c>
      <c r="B9">
        <v>8</v>
      </c>
      <c r="C9" t="s">
        <v>276</v>
      </c>
      <c r="D9">
        <v>2</v>
      </c>
      <c r="G9" s="10" t="s">
        <v>224</v>
      </c>
      <c r="H9" t="str" cm="1">
        <f t="array" ref="H9">IF(OR(A9="",E9=""),"",SUMPRODUCT(($A$2:$A$581=A9)*($B$2:$B$581&lt;B9)*$I$2:$I$581))</f>
        <v/>
      </c>
      <c r="I9">
        <f t="shared" si="0"/>
        <v>0</v>
      </c>
      <c r="J9" t="str" cm="1">
        <f t="array" ref="J9">IFERROR(INDEX(C$2:C$581,_xlfn.AGGREGATE(15,6,ROW(A$2:A$581)-1/((A$2:A$581='기인물 위험정보제공'!$C$5)*(B$2:B$581=8)),1)),"")</f>
        <v>2.3 철근 작업</v>
      </c>
      <c r="K9" cm="1">
        <f t="array" ref="K9">IFERROR(INDEX(D$2:D$581,_xlfn.AGGREGATE(15,6,ROW(A$2:A$581)-1/((A$2:A$581='기인물 위험정보제공'!$C$5)*(B$2:B$581=8)),1)),"")</f>
        <v>1</v>
      </c>
      <c r="L9" cm="1">
        <f t="array" ref="L9">IFERROR(INDEX(E$2:E$581,_xlfn.AGGREGATE(15,6,ROW(A$2:A$581)-1/((A$2:A$581='기인물 위험정보제공'!$C$5)*(B$2:B$581=8)),1)),"")</f>
        <v>0</v>
      </c>
      <c r="M9" cm="1">
        <f t="array" ref="M9">IFERROR(INDEX(F$2:F$581,_xlfn.AGGREGATE(15,6,ROW(A$2:A$581)-1/((A$2:A$581='기인물 위험정보제공'!$C$5)*(B$2:B$581=8)),1)),"")</f>
        <v>0</v>
      </c>
    </row>
    <row r="10" spans="1:13" ht="280">
      <c r="A10" t="s">
        <v>173</v>
      </c>
      <c r="B10">
        <v>9</v>
      </c>
      <c r="C10" t="s">
        <v>339</v>
      </c>
      <c r="D10">
        <v>2</v>
      </c>
      <c r="G10" s="10" t="s">
        <v>229</v>
      </c>
      <c r="H10" t="str" cm="1">
        <f t="array" ref="H10">IF(OR(A10="",E10=""),"",SUMPRODUCT(($A$2:$A$581=A10)*($B$2:$B$581&lt;B10)*$I$2:$I$581))</f>
        <v/>
      </c>
      <c r="I10">
        <f t="shared" si="0"/>
        <v>0</v>
      </c>
      <c r="J10" t="str" cm="1">
        <f t="array" ref="J10">IFERROR(INDEX(C$2:C$581,_xlfn.AGGREGATE(15,6,ROW(A$2:A$581)-1/((A$2:A$581='기인물 위험정보제공'!$C$5)*(B$2:B$581=9)),1)),"")</f>
        <v>2.4 콘크리트 작업</v>
      </c>
      <c r="K10" cm="1">
        <f t="array" ref="K10">IFERROR(INDEX(D$2:D$581,_xlfn.AGGREGATE(15,6,ROW(A$2:A$581)-1/((A$2:A$581='기인물 위험정보제공'!$C$5)*(B$2:B$581=9)),1)),"")</f>
        <v>1</v>
      </c>
      <c r="L10" cm="1">
        <f t="array" ref="L10">IFERROR(INDEX(E$2:E$581,_xlfn.AGGREGATE(15,6,ROW(A$2:A$581)-1/((A$2:A$581='기인물 위험정보제공'!$C$5)*(B$2:B$581=9)),1)),"")</f>
        <v>0</v>
      </c>
      <c r="M10" cm="1">
        <f t="array" ref="M10">IFERROR(INDEX(F$2:F$581,_xlfn.AGGREGATE(15,6,ROW(A$2:A$581)-1/((A$2:A$581='기인물 위험정보제공'!$C$5)*(B$2:B$581=9)),1)),"")</f>
        <v>0</v>
      </c>
    </row>
    <row r="11" spans="1:13" ht="182">
      <c r="A11" t="s">
        <v>173</v>
      </c>
      <c r="B11">
        <v>10</v>
      </c>
      <c r="C11" t="s">
        <v>355</v>
      </c>
      <c r="D11">
        <v>2</v>
      </c>
      <c r="G11" s="10" t="s">
        <v>235</v>
      </c>
      <c r="H11" t="str" cm="1">
        <f t="array" ref="H11">IF(OR(A11="",E11=""),"",SUMPRODUCT(($A$2:$A$581=A11)*($B$2:$B$581&lt;B11)*$I$2:$I$581))</f>
        <v/>
      </c>
      <c r="I11">
        <f t="shared" si="0"/>
        <v>0</v>
      </c>
      <c r="J11" t="str" cm="1">
        <f t="array" ref="J11">IFERROR(INDEX(C$2:C$581,_xlfn.AGGREGATE(15,6,ROW(A$2:A$581)-1/((A$2:A$581='기인물 위험정보제공'!$C$5)*(B$2:B$581=10)),1)),"")</f>
        <v>4.2 방수 작업</v>
      </c>
      <c r="K11" cm="1">
        <f t="array" ref="K11">IFERROR(INDEX(D$2:D$581,_xlfn.AGGREGATE(15,6,ROW(A$2:A$581)-1/((A$2:A$581='기인물 위험정보제공'!$C$5)*(B$2:B$581=10)),1)),"")</f>
        <v>1</v>
      </c>
      <c r="L11" cm="1">
        <f t="array" ref="L11">IFERROR(INDEX(E$2:E$581,_xlfn.AGGREGATE(15,6,ROW(A$2:A$581)-1/((A$2:A$581='기인물 위험정보제공'!$C$5)*(B$2:B$581=10)),1)),"")</f>
        <v>0</v>
      </c>
      <c r="M11" cm="1">
        <f t="array" ref="M11">IFERROR(INDEX(F$2:F$581,_xlfn.AGGREGATE(15,6,ROW(A$2:A$581)-1/((A$2:A$581='기인물 위험정보제공'!$C$5)*(B$2:B$581=10)),1)),"")</f>
        <v>0</v>
      </c>
    </row>
    <row r="12" spans="1:13" ht="112">
      <c r="A12" t="s">
        <v>383</v>
      </c>
      <c r="B12">
        <v>1</v>
      </c>
      <c r="C12" t="s">
        <v>649</v>
      </c>
      <c r="D12">
        <v>8</v>
      </c>
      <c r="E12" t="s">
        <v>204</v>
      </c>
      <c r="F12">
        <v>67</v>
      </c>
      <c r="G12" s="10" t="s">
        <v>387</v>
      </c>
      <c r="H12" cm="1">
        <f t="array" ref="H12">IF(OR(A12="",E12=""),"",SUMPRODUCT(($A$2:$A$581=A12)*($B$2:$B$581&lt;B12)*$I$2:$I$581))</f>
        <v>0</v>
      </c>
      <c r="I12">
        <f t="shared" si="0"/>
        <v>5</v>
      </c>
    </row>
    <row r="13" spans="1:13" ht="293">
      <c r="A13" t="s">
        <v>383</v>
      </c>
      <c r="B13">
        <v>2</v>
      </c>
      <c r="C13" t="s">
        <v>230</v>
      </c>
      <c r="D13">
        <v>7</v>
      </c>
      <c r="G13" s="10" t="s">
        <v>400</v>
      </c>
      <c r="H13" t="str" cm="1">
        <f t="array" ref="H13">IF(OR(A13="",E13=""),"",SUMPRODUCT(($A$2:$A$581=A13)*($B$2:$B$581&lt;B13)*$I$2:$I$581))</f>
        <v/>
      </c>
      <c r="I13">
        <f t="shared" si="0"/>
        <v>0</v>
      </c>
    </row>
    <row r="14" spans="1:13" ht="224">
      <c r="A14" t="s">
        <v>383</v>
      </c>
      <c r="B14">
        <v>3</v>
      </c>
      <c r="C14" t="s">
        <v>202</v>
      </c>
      <c r="D14">
        <v>6</v>
      </c>
      <c r="G14" s="10" t="s">
        <v>404</v>
      </c>
      <c r="H14" t="str" cm="1">
        <f t="array" ref="H14">IF(OR(A14="",E14=""),"",SUMPRODUCT(($A$2:$A$581=A14)*($B$2:$B$581&lt;B14)*$I$2:$I$581))</f>
        <v/>
      </c>
      <c r="I14">
        <f t="shared" si="0"/>
        <v>0</v>
      </c>
    </row>
    <row r="15" spans="1:13" ht="182">
      <c r="A15" t="s">
        <v>383</v>
      </c>
      <c r="B15">
        <v>4</v>
      </c>
      <c r="C15" t="s">
        <v>241</v>
      </c>
      <c r="D15">
        <v>6</v>
      </c>
      <c r="G15" s="10" t="s">
        <v>408</v>
      </c>
      <c r="H15" t="str" cm="1">
        <f t="array" ref="H15">IF(OR(A15="",E15=""),"",SUMPRODUCT(($A$2:$A$581=A15)*($B$2:$B$581&lt;B15)*$I$2:$I$581))</f>
        <v/>
      </c>
      <c r="I15">
        <f t="shared" si="0"/>
        <v>0</v>
      </c>
    </row>
    <row r="16" spans="1:13" ht="196">
      <c r="A16" t="s">
        <v>383</v>
      </c>
      <c r="B16">
        <v>5</v>
      </c>
      <c r="C16" t="s">
        <v>276</v>
      </c>
      <c r="D16">
        <v>6</v>
      </c>
      <c r="G16" s="10" t="s">
        <v>414</v>
      </c>
      <c r="H16" t="str" cm="1">
        <f t="array" ref="H16">IF(OR(A16="",E16=""),"",SUMPRODUCT(($A$2:$A$581=A16)*($B$2:$B$581&lt;B16)*$I$2:$I$581))</f>
        <v/>
      </c>
      <c r="I16">
        <f t="shared" si="0"/>
        <v>0</v>
      </c>
    </row>
    <row r="17" spans="1:9" ht="319">
      <c r="A17" t="s">
        <v>383</v>
      </c>
      <c r="B17">
        <v>6</v>
      </c>
      <c r="C17" t="s">
        <v>355</v>
      </c>
      <c r="D17">
        <v>5</v>
      </c>
      <c r="G17" s="10" t="s">
        <v>423</v>
      </c>
      <c r="H17" t="str" cm="1">
        <f t="array" ref="H17">IF(OR(A17="",E17=""),"",SUMPRODUCT(($A$2:$A$581=A17)*($B$2:$B$581&lt;B17)*$I$2:$I$581))</f>
        <v/>
      </c>
      <c r="I17">
        <f t="shared" si="0"/>
        <v>0</v>
      </c>
    </row>
    <row r="18" spans="1:9" ht="224">
      <c r="A18" t="s">
        <v>383</v>
      </c>
      <c r="B18">
        <v>7</v>
      </c>
      <c r="C18" t="s">
        <v>196</v>
      </c>
      <c r="D18">
        <v>4</v>
      </c>
      <c r="G18" s="10" t="s">
        <v>440</v>
      </c>
      <c r="H18" t="str" cm="1">
        <f t="array" ref="H18">IF(OR(A18="",E18=""),"",SUMPRODUCT(($A$2:$A$581=A18)*($B$2:$B$581&lt;B18)*$I$2:$I$581))</f>
        <v/>
      </c>
      <c r="I18">
        <f t="shared" si="0"/>
        <v>0</v>
      </c>
    </row>
    <row r="19" spans="1:9" ht="210">
      <c r="A19" t="s">
        <v>383</v>
      </c>
      <c r="B19">
        <v>8</v>
      </c>
      <c r="C19" t="s">
        <v>287</v>
      </c>
      <c r="D19">
        <v>4</v>
      </c>
      <c r="G19" s="10" t="s">
        <v>448</v>
      </c>
      <c r="H19" t="str" cm="1">
        <f t="array" ref="H19">IF(OR(A19="",E19=""),"",SUMPRODUCT(($A$2:$A$581=A19)*($B$2:$B$581&lt;B19)*$I$2:$I$581))</f>
        <v/>
      </c>
      <c r="I19">
        <f t="shared" si="0"/>
        <v>0</v>
      </c>
    </row>
    <row r="20" spans="1:9" ht="293">
      <c r="A20" t="s">
        <v>383</v>
      </c>
      <c r="B20">
        <v>9</v>
      </c>
      <c r="C20" t="s">
        <v>307</v>
      </c>
      <c r="D20">
        <v>3</v>
      </c>
      <c r="G20" s="10" t="s">
        <v>452</v>
      </c>
      <c r="H20" t="str" cm="1">
        <f t="array" ref="H20">IF(OR(A20="",E20=""),"",SUMPRODUCT(($A$2:$A$581=A20)*($B$2:$B$581&lt;B20)*$I$2:$I$581))</f>
        <v/>
      </c>
      <c r="I20">
        <f t="shared" si="0"/>
        <v>0</v>
      </c>
    </row>
    <row r="21" spans="1:9" ht="319">
      <c r="A21" t="s">
        <v>383</v>
      </c>
      <c r="B21">
        <v>10</v>
      </c>
      <c r="C21" t="s">
        <v>333</v>
      </c>
      <c r="D21">
        <v>3</v>
      </c>
      <c r="G21" s="10" t="s">
        <v>459</v>
      </c>
      <c r="H21" t="str" cm="1">
        <f t="array" ref="H21">IF(OR(A21="",E21=""),"",SUMPRODUCT(($A$2:$A$581=A21)*($B$2:$B$581&lt;B21)*$I$2:$I$581))</f>
        <v/>
      </c>
      <c r="I21">
        <f t="shared" si="0"/>
        <v>0</v>
      </c>
    </row>
    <row r="22" spans="1:9" ht="345">
      <c r="A22" t="s">
        <v>390</v>
      </c>
      <c r="B22">
        <v>1</v>
      </c>
      <c r="C22" t="s">
        <v>241</v>
      </c>
      <c r="D22">
        <v>12</v>
      </c>
      <c r="E22" t="s">
        <v>204</v>
      </c>
      <c r="F22">
        <v>80</v>
      </c>
      <c r="G22" s="10" t="s">
        <v>394</v>
      </c>
      <c r="H22" cm="1">
        <f t="array" ref="H22">IF(OR(A22="",E22=""),"",SUMPRODUCT(($A$2:$A$581=A22)*($B$2:$B$581&lt;B22)*$I$2:$I$581))</f>
        <v>0</v>
      </c>
      <c r="I22">
        <f t="shared" si="0"/>
        <v>5</v>
      </c>
    </row>
    <row r="23" spans="1:9" ht="182">
      <c r="A23" t="s">
        <v>390</v>
      </c>
      <c r="B23">
        <v>2</v>
      </c>
      <c r="C23" t="s">
        <v>355</v>
      </c>
      <c r="D23">
        <v>9</v>
      </c>
      <c r="G23" s="10" t="s">
        <v>408</v>
      </c>
      <c r="H23" t="str" cm="1">
        <f t="array" ref="H23">IF(OR(A23="",E23=""),"",SUMPRODUCT(($A$2:$A$581=A23)*($B$2:$B$581&lt;B23)*$I$2:$I$581))</f>
        <v/>
      </c>
      <c r="I23">
        <f t="shared" si="0"/>
        <v>0</v>
      </c>
    </row>
    <row r="24" spans="1:9" ht="306">
      <c r="A24" t="s">
        <v>390</v>
      </c>
      <c r="B24">
        <v>3</v>
      </c>
      <c r="C24" t="s">
        <v>287</v>
      </c>
      <c r="D24">
        <v>8</v>
      </c>
      <c r="G24" s="10" t="s">
        <v>420</v>
      </c>
      <c r="H24" t="str" cm="1">
        <f t="array" ref="H24">IF(OR(A24="",E24=""),"",SUMPRODUCT(($A$2:$A$581=A24)*($B$2:$B$581&lt;B24)*$I$2:$I$581))</f>
        <v/>
      </c>
      <c r="I24">
        <f t="shared" si="0"/>
        <v>0</v>
      </c>
    </row>
    <row r="25" spans="1:9" ht="112">
      <c r="A25" t="s">
        <v>390</v>
      </c>
      <c r="B25">
        <v>4</v>
      </c>
      <c r="C25" t="s">
        <v>339</v>
      </c>
      <c r="D25">
        <v>8</v>
      </c>
      <c r="G25" s="10" t="s">
        <v>427</v>
      </c>
      <c r="H25" t="str" cm="1">
        <f t="array" ref="H25">IF(OR(A25="",E25=""),"",SUMPRODUCT(($A$2:$A$581=A25)*($B$2:$B$581&lt;B25)*$I$2:$I$581))</f>
        <v/>
      </c>
      <c r="I25">
        <f t="shared" si="0"/>
        <v>0</v>
      </c>
    </row>
    <row r="26" spans="1:9" ht="98">
      <c r="A26" t="s">
        <v>390</v>
      </c>
      <c r="B26">
        <v>5</v>
      </c>
      <c r="C26" t="s">
        <v>307</v>
      </c>
      <c r="D26">
        <v>7</v>
      </c>
      <c r="G26" s="10" t="s">
        <v>429</v>
      </c>
      <c r="H26" t="str" cm="1">
        <f t="array" ref="H26">IF(OR(A26="",E26=""),"",SUMPRODUCT(($A$2:$A$581=A26)*($B$2:$B$581&lt;B26)*$I$2:$I$581))</f>
        <v/>
      </c>
      <c r="I26">
        <f t="shared" si="0"/>
        <v>0</v>
      </c>
    </row>
    <row r="27" spans="1:9" ht="140">
      <c r="A27" t="s">
        <v>390</v>
      </c>
      <c r="B27">
        <v>6</v>
      </c>
      <c r="C27" t="s">
        <v>230</v>
      </c>
      <c r="D27">
        <v>6</v>
      </c>
      <c r="G27" s="10" t="s">
        <v>433</v>
      </c>
      <c r="H27" t="str" cm="1">
        <f t="array" ref="H27">IF(OR(A27="",E27=""),"",SUMPRODUCT(($A$2:$A$581=A27)*($B$2:$B$581&lt;B27)*$I$2:$I$581))</f>
        <v/>
      </c>
      <c r="I27">
        <f t="shared" si="0"/>
        <v>0</v>
      </c>
    </row>
    <row r="28" spans="1:9" ht="266">
      <c r="A28" t="s">
        <v>390</v>
      </c>
      <c r="B28">
        <v>7</v>
      </c>
      <c r="C28" t="s">
        <v>202</v>
      </c>
      <c r="D28">
        <v>5</v>
      </c>
      <c r="G28" s="10" t="s">
        <v>437</v>
      </c>
      <c r="H28" t="str" cm="1">
        <f t="array" ref="H28">IF(OR(A28="",E28=""),"",SUMPRODUCT(($A$2:$A$581=A28)*($B$2:$B$581&lt;B28)*$I$2:$I$581))</f>
        <v/>
      </c>
      <c r="I28">
        <f t="shared" si="0"/>
        <v>0</v>
      </c>
    </row>
    <row r="29" spans="1:9" ht="371">
      <c r="A29" t="s">
        <v>390</v>
      </c>
      <c r="B29">
        <v>8</v>
      </c>
      <c r="C29" t="s">
        <v>350</v>
      </c>
      <c r="D29">
        <v>5</v>
      </c>
      <c r="G29" s="10" t="s">
        <v>456</v>
      </c>
      <c r="H29" t="str" cm="1">
        <f t="array" ref="H29">IF(OR(A29="",E29=""),"",SUMPRODUCT(($A$2:$A$581=A29)*($B$2:$B$581&lt;B29)*$I$2:$I$581))</f>
        <v/>
      </c>
      <c r="I29">
        <f t="shared" si="0"/>
        <v>0</v>
      </c>
    </row>
    <row r="30" spans="1:9" ht="293">
      <c r="A30" t="s">
        <v>390</v>
      </c>
      <c r="B30">
        <v>9</v>
      </c>
      <c r="C30" t="s">
        <v>312</v>
      </c>
      <c r="D30">
        <v>3</v>
      </c>
      <c r="G30" s="10" t="s">
        <v>467</v>
      </c>
      <c r="H30" t="str" cm="1">
        <f t="array" ref="H30">IF(OR(A30="",E30=""),"",SUMPRODUCT(($A$2:$A$581=A30)*($B$2:$B$581&lt;B30)*$I$2:$I$581))</f>
        <v/>
      </c>
      <c r="I30">
        <f t="shared" si="0"/>
        <v>0</v>
      </c>
    </row>
    <row r="31" spans="1:9" ht="409.6">
      <c r="A31" t="s">
        <v>390</v>
      </c>
      <c r="B31">
        <v>10</v>
      </c>
      <c r="C31" t="s">
        <v>624</v>
      </c>
      <c r="D31">
        <v>3</v>
      </c>
      <c r="G31" s="10" t="s">
        <v>472</v>
      </c>
      <c r="H31" t="str" cm="1">
        <f t="array" ref="H31">IF(OR(A31="",E31=""),"",SUMPRODUCT(($A$2:$A$581=A31)*($B$2:$B$581&lt;B31)*$I$2:$I$581))</f>
        <v/>
      </c>
      <c r="I31">
        <f t="shared" si="0"/>
        <v>0</v>
      </c>
    </row>
    <row r="32" spans="1:9" ht="210">
      <c r="A32" t="s">
        <v>793</v>
      </c>
      <c r="B32">
        <v>1</v>
      </c>
      <c r="C32" t="s">
        <v>241</v>
      </c>
      <c r="D32">
        <v>60</v>
      </c>
      <c r="E32" t="s">
        <v>204</v>
      </c>
      <c r="F32">
        <v>50</v>
      </c>
      <c r="G32" s="10" t="s">
        <v>797</v>
      </c>
      <c r="H32" cm="1">
        <f t="array" ref="H32">IF(OR(A32="",E32=""),"",SUMPRODUCT(($A$2:$A$581=A32)*($B$2:$B$581&lt;B32)*$I$2:$I$581))</f>
        <v>0</v>
      </c>
      <c r="I32">
        <f t="shared" si="0"/>
        <v>5</v>
      </c>
    </row>
    <row r="33" spans="1:9" ht="266">
      <c r="A33" t="s">
        <v>793</v>
      </c>
      <c r="B33">
        <v>2</v>
      </c>
      <c r="C33" t="s">
        <v>915</v>
      </c>
      <c r="D33">
        <v>9</v>
      </c>
      <c r="E33" t="s">
        <v>185</v>
      </c>
      <c r="F33">
        <v>13</v>
      </c>
      <c r="G33" s="10" t="s">
        <v>800</v>
      </c>
      <c r="H33" cm="1">
        <f t="array" ref="H33">IF(OR(A33="",E33=""),"",SUMPRODUCT(($A$2:$A$581=A33)*($B$2:$B$581&lt;B33)*$I$2:$I$581))</f>
        <v>5</v>
      </c>
      <c r="I33">
        <f t="shared" si="0"/>
        <v>5</v>
      </c>
    </row>
    <row r="34" spans="1:9" ht="358">
      <c r="A34" t="s">
        <v>793</v>
      </c>
      <c r="B34">
        <v>3</v>
      </c>
      <c r="C34" t="s">
        <v>276</v>
      </c>
      <c r="D34">
        <v>5</v>
      </c>
      <c r="E34" t="s">
        <v>177</v>
      </c>
      <c r="F34">
        <v>9</v>
      </c>
      <c r="G34" s="10" t="s">
        <v>803</v>
      </c>
      <c r="H34" cm="1">
        <f t="array" ref="H34">IF(OR(A34="",E34=""),"",SUMPRODUCT(($A$2:$A$581=A34)*($B$2:$B$581&lt;B34)*$I$2:$I$581))</f>
        <v>10</v>
      </c>
      <c r="I34">
        <f t="shared" si="0"/>
        <v>5</v>
      </c>
    </row>
    <row r="35" spans="1:9" ht="224">
      <c r="A35" t="s">
        <v>793</v>
      </c>
      <c r="B35">
        <v>4</v>
      </c>
      <c r="C35" t="s">
        <v>202</v>
      </c>
      <c r="D35">
        <v>1</v>
      </c>
      <c r="E35" t="s">
        <v>272</v>
      </c>
      <c r="F35">
        <v>4</v>
      </c>
      <c r="G35" s="10" t="s">
        <v>806</v>
      </c>
      <c r="H35" cm="1">
        <f t="array" ref="H35">IF(OR(A35="",E35=""),"",SUMPRODUCT(($A$2:$A$581=A35)*($B$2:$B$581&lt;B35)*$I$2:$I$581))</f>
        <v>15</v>
      </c>
      <c r="I35">
        <f t="shared" si="0"/>
        <v>4</v>
      </c>
    </row>
    <row r="36" spans="1:9" ht="210">
      <c r="A36" t="s">
        <v>793</v>
      </c>
      <c r="B36">
        <v>5</v>
      </c>
      <c r="C36" t="s">
        <v>230</v>
      </c>
      <c r="D36">
        <v>1</v>
      </c>
      <c r="E36" t="s">
        <v>794</v>
      </c>
      <c r="F36">
        <v>3</v>
      </c>
      <c r="G36" s="10" t="s">
        <v>809</v>
      </c>
      <c r="H36" cm="1">
        <f t="array" ref="H36">IF(OR(A36="",E36=""),"",SUMPRODUCT(($A$2:$A$581=A36)*($B$2:$B$581&lt;B36)*$I$2:$I$581))</f>
        <v>19</v>
      </c>
      <c r="I36">
        <f t="shared" si="0"/>
        <v>3</v>
      </c>
    </row>
    <row r="37" spans="1:9" ht="266">
      <c r="A37" t="s">
        <v>793</v>
      </c>
      <c r="B37">
        <v>6</v>
      </c>
      <c r="C37" t="s">
        <v>307</v>
      </c>
      <c r="D37">
        <v>1</v>
      </c>
      <c r="E37" t="s">
        <v>953</v>
      </c>
      <c r="F37">
        <v>1</v>
      </c>
      <c r="G37" s="10" t="s">
        <v>812</v>
      </c>
      <c r="H37" cm="1">
        <f t="array" ref="H37">IF(OR(A37="",E37=""),"",SUMPRODUCT(($A$2:$A$581=A37)*($B$2:$B$581&lt;B37)*$I$2:$I$581))</f>
        <v>22</v>
      </c>
      <c r="I37">
        <f t="shared" si="0"/>
        <v>1</v>
      </c>
    </row>
    <row r="38" spans="1:9" ht="358">
      <c r="A38" t="s">
        <v>793</v>
      </c>
      <c r="B38">
        <v>7</v>
      </c>
      <c r="C38" t="s">
        <v>350</v>
      </c>
      <c r="D38">
        <v>1</v>
      </c>
      <c r="G38" s="10" t="s">
        <v>816</v>
      </c>
      <c r="H38" t="str" cm="1">
        <f t="array" ref="H38">IF(OR(A38="",E38=""),"",SUMPRODUCT(($A$2:$A$581=A38)*($B$2:$B$581&lt;B38)*$I$2:$I$581))</f>
        <v/>
      </c>
      <c r="I38">
        <f t="shared" si="0"/>
        <v>0</v>
      </c>
    </row>
    <row r="39" spans="1:9" ht="196">
      <c r="A39" t="s">
        <v>793</v>
      </c>
      <c r="B39">
        <v>8</v>
      </c>
      <c r="C39" t="s">
        <v>782</v>
      </c>
      <c r="D39">
        <v>1</v>
      </c>
      <c r="G39" s="10" t="s">
        <v>499</v>
      </c>
      <c r="H39" t="str" cm="1">
        <f t="array" ref="H39">IF(OR(A39="",E39=""),"",SUMPRODUCT(($A$2:$A$581=A39)*($B$2:$B$581&lt;B39)*$I$2:$I$581))</f>
        <v/>
      </c>
      <c r="I39">
        <f t="shared" si="0"/>
        <v>0</v>
      </c>
    </row>
    <row r="40" spans="1:9" ht="252">
      <c r="A40" t="s">
        <v>793</v>
      </c>
      <c r="B40">
        <v>9</v>
      </c>
      <c r="C40" t="s">
        <v>787</v>
      </c>
      <c r="D40">
        <v>1</v>
      </c>
      <c r="G40" s="10" t="s">
        <v>826</v>
      </c>
      <c r="H40" t="str" cm="1">
        <f t="array" ref="H40">IF(OR(A40="",E40=""),"",SUMPRODUCT(($A$2:$A$581=A40)*($B$2:$B$581&lt;B40)*$I$2:$I$581))</f>
        <v/>
      </c>
      <c r="I40">
        <f t="shared" si="0"/>
        <v>0</v>
      </c>
    </row>
    <row r="41" spans="1:9" ht="409.6">
      <c r="A41" t="s">
        <v>793</v>
      </c>
      <c r="B41">
        <v>10</v>
      </c>
      <c r="G41" s="10" t="s">
        <v>831</v>
      </c>
      <c r="H41" t="str" cm="1">
        <f t="array" ref="H41">IF(OR(A41="",E41=""),"",SUMPRODUCT(($A$2:$A$581=A41)*($B$2:$B$581&lt;B41)*$I$2:$I$581))</f>
        <v/>
      </c>
      <c r="I41">
        <f t="shared" si="0"/>
        <v>0</v>
      </c>
    </row>
    <row r="42" spans="1:9" ht="252">
      <c r="A42" t="s">
        <v>970</v>
      </c>
      <c r="B42">
        <v>1</v>
      </c>
      <c r="C42" t="s">
        <v>181</v>
      </c>
      <c r="D42">
        <v>19</v>
      </c>
      <c r="E42" t="s">
        <v>185</v>
      </c>
      <c r="F42">
        <v>36</v>
      </c>
      <c r="G42" s="10" t="s">
        <v>974</v>
      </c>
      <c r="H42" cm="1">
        <f t="array" ref="H42">IF(OR(A42="",E42=""),"",SUMPRODUCT(($A$2:$A$581=A42)*($B$2:$B$581&lt;B42)*$I$2:$I$581))</f>
        <v>0</v>
      </c>
      <c r="I42">
        <f t="shared" si="0"/>
        <v>5</v>
      </c>
    </row>
    <row r="43" spans="1:9" ht="409.6">
      <c r="A43" t="s">
        <v>970</v>
      </c>
      <c r="B43">
        <v>2</v>
      </c>
      <c r="C43" t="s">
        <v>388</v>
      </c>
      <c r="D43">
        <v>13</v>
      </c>
      <c r="E43" t="s">
        <v>1060</v>
      </c>
      <c r="F43">
        <v>25</v>
      </c>
      <c r="G43" s="10" t="s">
        <v>981</v>
      </c>
      <c r="H43" cm="1">
        <f t="array" ref="H43">IF(OR(A43="",E43=""),"",SUMPRODUCT(($A$2:$A$581=A43)*($B$2:$B$581&lt;B43)*$I$2:$I$581))</f>
        <v>5</v>
      </c>
      <c r="I43">
        <f t="shared" si="0"/>
        <v>5</v>
      </c>
    </row>
    <row r="44" spans="1:9" ht="319">
      <c r="A44" t="s">
        <v>970</v>
      </c>
      <c r="B44">
        <v>3</v>
      </c>
      <c r="C44" t="s">
        <v>170</v>
      </c>
      <c r="D44">
        <v>9</v>
      </c>
      <c r="E44" t="s">
        <v>177</v>
      </c>
      <c r="F44">
        <v>13</v>
      </c>
      <c r="G44" s="10" t="s">
        <v>985</v>
      </c>
      <c r="H44" cm="1">
        <f t="array" ref="H44">IF(OR(A44="",E44=""),"",SUMPRODUCT(($A$2:$A$581=A44)*($B$2:$B$581&lt;B44)*$I$2:$I$581))</f>
        <v>10</v>
      </c>
      <c r="I44">
        <f t="shared" si="0"/>
        <v>5</v>
      </c>
    </row>
    <row r="45" spans="1:9" ht="224">
      <c r="A45" t="s">
        <v>970</v>
      </c>
      <c r="B45">
        <v>4</v>
      </c>
      <c r="C45" t="s">
        <v>196</v>
      </c>
      <c r="D45">
        <v>9</v>
      </c>
      <c r="E45" t="s">
        <v>794</v>
      </c>
      <c r="F45">
        <v>11</v>
      </c>
      <c r="G45" s="10" t="s">
        <v>990</v>
      </c>
      <c r="H45" cm="1">
        <f t="array" ref="H45">IF(OR(A45="",E45=""),"",SUMPRODUCT(($A$2:$A$581=A45)*($B$2:$B$581&lt;B45)*$I$2:$I$581))</f>
        <v>15</v>
      </c>
      <c r="I45">
        <f t="shared" si="0"/>
        <v>5</v>
      </c>
    </row>
    <row r="46" spans="1:9" ht="358">
      <c r="A46" t="s">
        <v>970</v>
      </c>
      <c r="B46">
        <v>5</v>
      </c>
      <c r="C46" t="s">
        <v>366</v>
      </c>
      <c r="D46">
        <v>9</v>
      </c>
      <c r="E46" t="s">
        <v>204</v>
      </c>
      <c r="F46">
        <v>10</v>
      </c>
      <c r="G46" s="10" t="s">
        <v>998</v>
      </c>
      <c r="H46" cm="1">
        <f t="array" ref="H46">IF(OR(A46="",E46=""),"",SUMPRODUCT(($A$2:$A$581=A46)*($B$2:$B$581&lt;B46)*$I$2:$I$581))</f>
        <v>20</v>
      </c>
      <c r="I46">
        <f t="shared" si="0"/>
        <v>5</v>
      </c>
    </row>
    <row r="47" spans="1:9" ht="224">
      <c r="A47" t="s">
        <v>970</v>
      </c>
      <c r="B47">
        <v>6</v>
      </c>
      <c r="C47" t="s">
        <v>395</v>
      </c>
      <c r="D47">
        <v>7</v>
      </c>
      <c r="E47" t="s">
        <v>244</v>
      </c>
      <c r="F47">
        <v>8</v>
      </c>
      <c r="G47" s="10" t="s">
        <v>1006</v>
      </c>
      <c r="H47" cm="1">
        <f t="array" ref="H47">IF(OR(A47="",E47=""),"",SUMPRODUCT(($A$2:$A$581=A47)*($B$2:$B$581&lt;B47)*$I$2:$I$581))</f>
        <v>25</v>
      </c>
      <c r="I47">
        <f t="shared" si="0"/>
        <v>5</v>
      </c>
    </row>
    <row r="48" spans="1:9" ht="371">
      <c r="A48" t="s">
        <v>970</v>
      </c>
      <c r="B48">
        <v>7</v>
      </c>
      <c r="C48" t="s">
        <v>1048</v>
      </c>
      <c r="D48">
        <v>6</v>
      </c>
      <c r="E48" t="s">
        <v>272</v>
      </c>
      <c r="F48">
        <v>1</v>
      </c>
      <c r="G48" s="10" t="s">
        <v>1052</v>
      </c>
      <c r="H48" cm="1">
        <f t="array" ref="H48">IF(OR(A48="",E48=""),"",SUMPRODUCT(($A$2:$A$581=A48)*($B$2:$B$581&lt;B48)*$I$2:$I$581))</f>
        <v>30</v>
      </c>
      <c r="I48">
        <f t="shared" si="0"/>
        <v>1</v>
      </c>
    </row>
    <row r="49" spans="1:9" ht="224">
      <c r="A49" t="s">
        <v>970</v>
      </c>
      <c r="B49">
        <v>8</v>
      </c>
      <c r="C49" t="s">
        <v>261</v>
      </c>
      <c r="D49">
        <v>4</v>
      </c>
      <c r="G49" s="10" t="s">
        <v>978</v>
      </c>
      <c r="H49" t="str" cm="1">
        <f t="array" ref="H49">IF(OR(A49="",E49=""),"",SUMPRODUCT(($A$2:$A$581=A49)*($B$2:$B$581&lt;B49)*$I$2:$I$581))</f>
        <v/>
      </c>
      <c r="I49">
        <f t="shared" si="0"/>
        <v>0</v>
      </c>
    </row>
    <row r="50" spans="1:9" ht="238">
      <c r="A50" t="s">
        <v>970</v>
      </c>
      <c r="B50">
        <v>9</v>
      </c>
      <c r="C50" t="s">
        <v>350</v>
      </c>
      <c r="D50">
        <v>4</v>
      </c>
      <c r="G50" s="10" t="s">
        <v>1059</v>
      </c>
      <c r="H50" t="str" cm="1">
        <f t="array" ref="H50">IF(OR(A50="",E50=""),"",SUMPRODUCT(($A$2:$A$581=A50)*($B$2:$B$581&lt;B50)*$I$2:$I$581))</f>
        <v/>
      </c>
      <c r="I50">
        <f t="shared" si="0"/>
        <v>0</v>
      </c>
    </row>
    <row r="51" spans="1:9" ht="293">
      <c r="A51" t="s">
        <v>970</v>
      </c>
      <c r="B51">
        <v>10</v>
      </c>
      <c r="C51" t="s">
        <v>1280</v>
      </c>
      <c r="D51">
        <v>3</v>
      </c>
      <c r="G51" s="10" t="s">
        <v>1063</v>
      </c>
      <c r="H51" t="str" cm="1">
        <f t="array" ref="H51">IF(OR(A51="",E51=""),"",SUMPRODUCT(($A$2:$A$581=A51)*($B$2:$B$581&lt;B51)*$I$2:$I$581))</f>
        <v/>
      </c>
      <c r="I51">
        <f t="shared" si="0"/>
        <v>0</v>
      </c>
    </row>
    <row r="52" spans="1:9" ht="224">
      <c r="A52" t="s">
        <v>975</v>
      </c>
      <c r="B52">
        <v>1</v>
      </c>
      <c r="C52" t="s">
        <v>225</v>
      </c>
      <c r="D52">
        <v>9</v>
      </c>
      <c r="E52" t="s">
        <v>204</v>
      </c>
      <c r="F52">
        <v>18</v>
      </c>
      <c r="G52" s="10" t="s">
        <v>978</v>
      </c>
      <c r="H52" cm="1">
        <f t="array" ref="H52">IF(OR(A52="",E52=""),"",SUMPRODUCT(($A$2:$A$581=A52)*($B$2:$B$581&lt;B52)*$I$2:$I$581))</f>
        <v>0</v>
      </c>
      <c r="I52">
        <f t="shared" si="0"/>
        <v>5</v>
      </c>
    </row>
    <row r="53" spans="1:9" ht="196">
      <c r="A53" t="s">
        <v>975</v>
      </c>
      <c r="B53">
        <v>2</v>
      </c>
      <c r="C53" t="s">
        <v>395</v>
      </c>
      <c r="D53">
        <v>7</v>
      </c>
      <c r="E53" t="s">
        <v>177</v>
      </c>
      <c r="F53">
        <v>16</v>
      </c>
      <c r="G53" s="10" t="s">
        <v>1013</v>
      </c>
      <c r="H53" cm="1">
        <f t="array" ref="H53">IF(OR(A53="",E53=""),"",SUMPRODUCT(($A$2:$A$581=A53)*($B$2:$B$581&lt;B53)*$I$2:$I$581))</f>
        <v>5</v>
      </c>
      <c r="I53">
        <f t="shared" si="0"/>
        <v>5</v>
      </c>
    </row>
    <row r="54" spans="1:9" ht="252">
      <c r="A54" t="s">
        <v>975</v>
      </c>
      <c r="B54">
        <v>3</v>
      </c>
      <c r="C54" t="s">
        <v>1484</v>
      </c>
      <c r="D54">
        <v>5</v>
      </c>
      <c r="E54" t="s">
        <v>244</v>
      </c>
      <c r="F54">
        <v>9</v>
      </c>
      <c r="G54" s="10" t="s">
        <v>1056</v>
      </c>
      <c r="H54" cm="1">
        <f t="array" ref="H54">IF(OR(A54="",E54=""),"",SUMPRODUCT(($A$2:$A$581=A54)*($B$2:$B$581&lt;B54)*$I$2:$I$581))</f>
        <v>10</v>
      </c>
      <c r="I54">
        <f t="shared" si="0"/>
        <v>5</v>
      </c>
    </row>
    <row r="55" spans="1:9" ht="293">
      <c r="A55" t="s">
        <v>975</v>
      </c>
      <c r="B55">
        <v>4</v>
      </c>
      <c r="C55" t="s">
        <v>261</v>
      </c>
      <c r="D55">
        <v>5</v>
      </c>
      <c r="E55" t="s">
        <v>185</v>
      </c>
      <c r="F55">
        <v>7</v>
      </c>
      <c r="G55" s="10" t="s">
        <v>1063</v>
      </c>
      <c r="H55" cm="1">
        <f t="array" ref="H55">IF(OR(A55="",E55=""),"",SUMPRODUCT(($A$2:$A$581=A55)*($B$2:$B$581&lt;B55)*$I$2:$I$581))</f>
        <v>15</v>
      </c>
      <c r="I55">
        <f t="shared" si="0"/>
        <v>5</v>
      </c>
    </row>
    <row r="56" spans="1:9" ht="224">
      <c r="A56" t="s">
        <v>975</v>
      </c>
      <c r="B56">
        <v>5</v>
      </c>
      <c r="C56" t="s">
        <v>339</v>
      </c>
      <c r="D56">
        <v>5</v>
      </c>
      <c r="E56" t="s">
        <v>794</v>
      </c>
      <c r="F56">
        <v>7</v>
      </c>
      <c r="G56" s="10" t="s">
        <v>1077</v>
      </c>
      <c r="H56" cm="1">
        <f t="array" ref="H56">IF(OR(A56="",E56=""),"",SUMPRODUCT(($A$2:$A$581=A56)*($B$2:$B$581&lt;B56)*$I$2:$I$581))</f>
        <v>20</v>
      </c>
      <c r="I56">
        <f t="shared" si="0"/>
        <v>5</v>
      </c>
    </row>
    <row r="57" spans="1:9" ht="384">
      <c r="A57" t="s">
        <v>975</v>
      </c>
      <c r="B57">
        <v>6</v>
      </c>
      <c r="C57" t="s">
        <v>202</v>
      </c>
      <c r="D57">
        <v>4</v>
      </c>
      <c r="E57" t="s">
        <v>1060</v>
      </c>
      <c r="F57">
        <v>4</v>
      </c>
      <c r="G57" s="10" t="s">
        <v>1088</v>
      </c>
      <c r="H57" cm="1">
        <f t="array" ref="H57">IF(OR(A57="",E57=""),"",SUMPRODUCT(($A$2:$A$581=A57)*($B$2:$B$581&lt;B57)*$I$2:$I$581))</f>
        <v>25</v>
      </c>
      <c r="I57">
        <f t="shared" si="0"/>
        <v>4</v>
      </c>
    </row>
    <row r="58" spans="1:9" ht="293">
      <c r="A58" t="s">
        <v>975</v>
      </c>
      <c r="B58">
        <v>7</v>
      </c>
      <c r="C58" t="s">
        <v>1048</v>
      </c>
      <c r="D58">
        <v>3</v>
      </c>
      <c r="G58" s="10" t="s">
        <v>1095</v>
      </c>
      <c r="H58" t="str" cm="1">
        <f t="array" ref="H58">IF(OR(A58="",E58=""),"",SUMPRODUCT(($A$2:$A$581=A58)*($B$2:$B$581&lt;B58)*$I$2:$I$581))</f>
        <v/>
      </c>
      <c r="I58">
        <f t="shared" si="0"/>
        <v>0</v>
      </c>
    </row>
    <row r="59" spans="1:9" ht="358">
      <c r="A59" t="s">
        <v>975</v>
      </c>
      <c r="B59">
        <v>8</v>
      </c>
      <c r="C59" t="s">
        <v>196</v>
      </c>
      <c r="D59">
        <v>3</v>
      </c>
      <c r="G59" s="10" t="s">
        <v>1111</v>
      </c>
      <c r="H59" t="str" cm="1">
        <f t="array" ref="H59">IF(OR(A59="",E59=""),"",SUMPRODUCT(($A$2:$A$581=A59)*($B$2:$B$581&lt;B59)*$I$2:$I$581))</f>
        <v/>
      </c>
      <c r="I59">
        <f t="shared" si="0"/>
        <v>0</v>
      </c>
    </row>
    <row r="60" spans="1:9" ht="332">
      <c r="A60" t="s">
        <v>975</v>
      </c>
      <c r="B60">
        <v>9</v>
      </c>
      <c r="C60" t="s">
        <v>287</v>
      </c>
      <c r="D60">
        <v>3</v>
      </c>
      <c r="G60" s="10" t="s">
        <v>1085</v>
      </c>
      <c r="H60" t="str" cm="1">
        <f t="array" ref="H60">IF(OR(A60="",E60=""),"",SUMPRODUCT(($A$2:$A$581=A60)*($B$2:$B$581&lt;B60)*$I$2:$I$581))</f>
        <v/>
      </c>
      <c r="I60">
        <f t="shared" si="0"/>
        <v>0</v>
      </c>
    </row>
    <row r="61" spans="1:9" ht="196">
      <c r="A61" t="s">
        <v>975</v>
      </c>
      <c r="B61">
        <v>10</v>
      </c>
      <c r="C61" t="s">
        <v>350</v>
      </c>
      <c r="D61">
        <v>3</v>
      </c>
      <c r="G61" s="10" t="s">
        <v>1132</v>
      </c>
      <c r="H61" t="str" cm="1">
        <f t="array" ref="H61">IF(OR(A61="",E61=""),"",SUMPRODUCT(($A$2:$A$581=A61)*($B$2:$B$581&lt;B61)*$I$2:$I$581))</f>
        <v/>
      </c>
      <c r="I61">
        <f t="shared" si="0"/>
        <v>0</v>
      </c>
    </row>
    <row r="62" spans="1:9" ht="409.6">
      <c r="A62" t="s">
        <v>1000</v>
      </c>
      <c r="B62">
        <v>1</v>
      </c>
      <c r="C62" t="s">
        <v>388</v>
      </c>
      <c r="D62">
        <v>13</v>
      </c>
      <c r="E62" t="s">
        <v>185</v>
      </c>
      <c r="F62">
        <v>36</v>
      </c>
      <c r="G62" s="10" t="s">
        <v>1003</v>
      </c>
      <c r="H62" cm="1">
        <f t="array" ref="H62">IF(OR(A62="",E62=""),"",SUMPRODUCT(($A$2:$A$581=A62)*($B$2:$B$581&lt;B62)*$I$2:$I$581))</f>
        <v>0</v>
      </c>
      <c r="I62">
        <f t="shared" si="0"/>
        <v>5</v>
      </c>
    </row>
    <row r="63" spans="1:9" ht="293">
      <c r="A63" t="s">
        <v>1000</v>
      </c>
      <c r="B63">
        <v>2</v>
      </c>
      <c r="C63" t="s">
        <v>777</v>
      </c>
      <c r="D63">
        <v>13</v>
      </c>
      <c r="E63" t="s">
        <v>1060</v>
      </c>
      <c r="F63">
        <v>15</v>
      </c>
      <c r="G63" s="10" t="s">
        <v>1022</v>
      </c>
      <c r="H63" cm="1">
        <f t="array" ref="H63">IF(OR(A63="",E63=""),"",SUMPRODUCT(($A$2:$A$581=A63)*($B$2:$B$581&lt;B63)*$I$2:$I$581))</f>
        <v>5</v>
      </c>
      <c r="I63">
        <f t="shared" si="0"/>
        <v>5</v>
      </c>
    </row>
    <row r="64" spans="1:9" ht="293">
      <c r="A64" t="s">
        <v>1000</v>
      </c>
      <c r="B64">
        <v>3</v>
      </c>
      <c r="C64" t="s">
        <v>230</v>
      </c>
      <c r="D64">
        <v>9</v>
      </c>
      <c r="E64" t="s">
        <v>204</v>
      </c>
      <c r="F64">
        <v>14</v>
      </c>
      <c r="G64" s="10" t="s">
        <v>1025</v>
      </c>
      <c r="H64" cm="1">
        <f t="array" ref="H64">IF(OR(A64="",E64=""),"",SUMPRODUCT(($A$2:$A$581=A64)*($B$2:$B$581&lt;B64)*$I$2:$I$581))</f>
        <v>10</v>
      </c>
      <c r="I64">
        <f t="shared" si="0"/>
        <v>5</v>
      </c>
    </row>
    <row r="65" spans="1:9" ht="409.6">
      <c r="A65" t="s">
        <v>1000</v>
      </c>
      <c r="B65">
        <v>4</v>
      </c>
      <c r="C65" t="s">
        <v>181</v>
      </c>
      <c r="D65">
        <v>8</v>
      </c>
      <c r="E65" t="s">
        <v>794</v>
      </c>
      <c r="F65">
        <v>8</v>
      </c>
      <c r="G65" s="10" t="s">
        <v>1030</v>
      </c>
      <c r="H65" cm="1">
        <f t="array" ref="H65">IF(OR(A65="",E65=""),"",SUMPRODUCT(($A$2:$A$581=A65)*($B$2:$B$581&lt;B65)*$I$2:$I$581))</f>
        <v>15</v>
      </c>
      <c r="I65">
        <f t="shared" si="0"/>
        <v>5</v>
      </c>
    </row>
    <row r="66" spans="1:9" ht="196">
      <c r="A66" t="s">
        <v>1000</v>
      </c>
      <c r="B66">
        <v>5</v>
      </c>
      <c r="C66" t="s">
        <v>1484</v>
      </c>
      <c r="D66">
        <v>6</v>
      </c>
      <c r="E66" t="s">
        <v>177</v>
      </c>
      <c r="F66">
        <v>1</v>
      </c>
      <c r="G66" s="10" t="s">
        <v>1037</v>
      </c>
      <c r="H66" cm="1">
        <f t="array" ref="H66">IF(OR(A66="",E66=""),"",SUMPRODUCT(($A$2:$A$581=A66)*($B$2:$B$581&lt;B66)*$I$2:$I$581))</f>
        <v>20</v>
      </c>
      <c r="I66">
        <f t="shared" si="0"/>
        <v>1</v>
      </c>
    </row>
    <row r="67" spans="1:9" ht="358">
      <c r="A67" t="s">
        <v>1000</v>
      </c>
      <c r="B67">
        <v>6</v>
      </c>
      <c r="C67" t="s">
        <v>1946</v>
      </c>
      <c r="D67">
        <v>6</v>
      </c>
      <c r="E67" t="s">
        <v>244</v>
      </c>
      <c r="F67">
        <v>1</v>
      </c>
      <c r="G67" s="10" t="s">
        <v>1045</v>
      </c>
      <c r="H67" cm="1">
        <f t="array" ref="H67">IF(OR(A67="",E67=""),"",SUMPRODUCT(($A$2:$A$581=A67)*($B$2:$B$581&lt;B67)*$I$2:$I$581))</f>
        <v>21</v>
      </c>
      <c r="I67">
        <f t="shared" ref="I67:I130" si="1">IF(OR(A67="",E67="",NOT(ISNUMBER(F67))),0,MIN(F67,5))</f>
        <v>1</v>
      </c>
    </row>
    <row r="68" spans="1:9" ht="332">
      <c r="A68" t="s">
        <v>1000</v>
      </c>
      <c r="B68">
        <v>7</v>
      </c>
      <c r="C68" t="s">
        <v>1193</v>
      </c>
      <c r="D68">
        <v>4</v>
      </c>
      <c r="E68" t="s">
        <v>953</v>
      </c>
      <c r="F68">
        <v>1</v>
      </c>
      <c r="G68" s="10" t="s">
        <v>1197</v>
      </c>
      <c r="H68" cm="1">
        <f t="array" ref="H68">IF(OR(A68="",E68=""),"",SUMPRODUCT(($A$2:$A$581=A68)*($B$2:$B$581&lt;B68)*$I$2:$I$581))</f>
        <v>22</v>
      </c>
      <c r="I68">
        <f t="shared" si="1"/>
        <v>1</v>
      </c>
    </row>
    <row r="69" spans="1:9" ht="224">
      <c r="A69" t="s">
        <v>1000</v>
      </c>
      <c r="B69">
        <v>8</v>
      </c>
      <c r="C69" t="s">
        <v>366</v>
      </c>
      <c r="D69">
        <v>4</v>
      </c>
      <c r="G69" s="10" t="s">
        <v>1200</v>
      </c>
      <c r="H69" t="str" cm="1">
        <f t="array" ref="H69">IF(OR(A69="",E69=""),"",SUMPRODUCT(($A$2:$A$581=A69)*($B$2:$B$581&lt;B69)*$I$2:$I$581))</f>
        <v/>
      </c>
      <c r="I69">
        <f t="shared" si="1"/>
        <v>0</v>
      </c>
    </row>
    <row r="70" spans="1:9" ht="196">
      <c r="A70" t="s">
        <v>1000</v>
      </c>
      <c r="B70">
        <v>9</v>
      </c>
      <c r="C70" t="s">
        <v>170</v>
      </c>
      <c r="D70">
        <v>2</v>
      </c>
      <c r="G70" s="10" t="s">
        <v>1220</v>
      </c>
      <c r="H70" t="str" cm="1">
        <f t="array" ref="H70">IF(OR(A70="",E70=""),"",SUMPRODUCT(($A$2:$A$581=A70)*($B$2:$B$581&lt;B70)*$I$2:$I$581))</f>
        <v/>
      </c>
      <c r="I70">
        <f t="shared" si="1"/>
        <v>0</v>
      </c>
    </row>
    <row r="71" spans="1:9" ht="196">
      <c r="A71" t="s">
        <v>1000</v>
      </c>
      <c r="B71">
        <v>10</v>
      </c>
      <c r="C71" t="s">
        <v>355</v>
      </c>
      <c r="D71">
        <v>2</v>
      </c>
      <c r="G71" s="10" t="s">
        <v>1257</v>
      </c>
      <c r="H71" t="str" cm="1">
        <f t="array" ref="H71">IF(OR(A71="",E71=""),"",SUMPRODUCT(($A$2:$A$581=A71)*($B$2:$B$581&lt;B71)*$I$2:$I$581))</f>
        <v/>
      </c>
      <c r="I71">
        <f t="shared" si="1"/>
        <v>0</v>
      </c>
    </row>
    <row r="72" spans="1:9" ht="280">
      <c r="A72" t="s">
        <v>1007</v>
      </c>
      <c r="B72">
        <v>1</v>
      </c>
      <c r="C72" t="s">
        <v>777</v>
      </c>
      <c r="D72">
        <v>5</v>
      </c>
      <c r="E72" t="s">
        <v>185</v>
      </c>
      <c r="F72">
        <v>11</v>
      </c>
      <c r="G72" s="10" t="s">
        <v>1010</v>
      </c>
      <c r="H72" cm="1">
        <f t="array" ref="H72">IF(OR(A72="",E72=""),"",SUMPRODUCT(($A$2:$A$581=A72)*($B$2:$B$581&lt;B72)*$I$2:$I$581))</f>
        <v>0</v>
      </c>
      <c r="I72">
        <f t="shared" si="1"/>
        <v>5</v>
      </c>
    </row>
    <row r="73" spans="1:9" ht="196">
      <c r="A73" t="s">
        <v>1007</v>
      </c>
      <c r="B73">
        <v>2</v>
      </c>
      <c r="C73" t="s">
        <v>230</v>
      </c>
      <c r="D73">
        <v>3</v>
      </c>
      <c r="E73" t="s">
        <v>204</v>
      </c>
      <c r="F73">
        <v>8</v>
      </c>
      <c r="G73" s="10" t="s">
        <v>1013</v>
      </c>
      <c r="H73" cm="1">
        <f t="array" ref="H73">IF(OR(A73="",E73=""),"",SUMPRODUCT(($A$2:$A$581=A73)*($B$2:$B$581&lt;B73)*$I$2:$I$581))</f>
        <v>5</v>
      </c>
      <c r="I73">
        <f t="shared" si="1"/>
        <v>5</v>
      </c>
    </row>
    <row r="74" spans="1:9" ht="182">
      <c r="A74" t="s">
        <v>1007</v>
      </c>
      <c r="B74">
        <v>3</v>
      </c>
      <c r="C74" t="s">
        <v>1946</v>
      </c>
      <c r="D74">
        <v>3</v>
      </c>
      <c r="E74" t="s">
        <v>177</v>
      </c>
      <c r="F74">
        <v>4</v>
      </c>
      <c r="G74" s="10" t="s">
        <v>1210</v>
      </c>
      <c r="H74" cm="1">
        <f t="array" ref="H74">IF(OR(A74="",E74=""),"",SUMPRODUCT(($A$2:$A$581=A74)*($B$2:$B$581&lt;B74)*$I$2:$I$581))</f>
        <v>10</v>
      </c>
      <c r="I74">
        <f t="shared" si="1"/>
        <v>4</v>
      </c>
    </row>
    <row r="75" spans="1:9" ht="293">
      <c r="A75" t="s">
        <v>1007</v>
      </c>
      <c r="B75">
        <v>4</v>
      </c>
      <c r="C75" t="s">
        <v>388</v>
      </c>
      <c r="D75">
        <v>2</v>
      </c>
      <c r="E75" t="s">
        <v>794</v>
      </c>
      <c r="F75">
        <v>4</v>
      </c>
      <c r="G75" s="10" t="s">
        <v>1214</v>
      </c>
      <c r="H75" cm="1">
        <f t="array" ref="H75">IF(OR(A75="",E75=""),"",SUMPRODUCT(($A$2:$A$581=A75)*($B$2:$B$581&lt;B75)*$I$2:$I$581))</f>
        <v>14</v>
      </c>
      <c r="I75">
        <f t="shared" si="1"/>
        <v>4</v>
      </c>
    </row>
    <row r="76" spans="1:9" ht="84">
      <c r="A76" t="s">
        <v>1007</v>
      </c>
      <c r="B76">
        <v>5</v>
      </c>
      <c r="C76" t="s">
        <v>1206</v>
      </c>
      <c r="D76">
        <v>2</v>
      </c>
      <c r="E76" t="s">
        <v>244</v>
      </c>
      <c r="F76">
        <v>2</v>
      </c>
      <c r="G76" s="10" t="s">
        <v>1231</v>
      </c>
      <c r="H76" cm="1">
        <f t="array" ref="H76">IF(OR(A76="",E76=""),"",SUMPRODUCT(($A$2:$A$581=A76)*($B$2:$B$581&lt;B76)*$I$2:$I$581))</f>
        <v>18</v>
      </c>
      <c r="I76">
        <f t="shared" si="1"/>
        <v>2</v>
      </c>
    </row>
    <row r="77" spans="1:9" ht="409.6">
      <c r="A77" t="s">
        <v>1007</v>
      </c>
      <c r="B77">
        <v>6</v>
      </c>
      <c r="C77" t="s">
        <v>241</v>
      </c>
      <c r="D77">
        <v>2</v>
      </c>
      <c r="E77" t="s">
        <v>1060</v>
      </c>
      <c r="F77">
        <v>2</v>
      </c>
      <c r="G77" s="10" t="s">
        <v>1265</v>
      </c>
      <c r="H77" cm="1">
        <f t="array" ref="H77">IF(OR(A77="",E77=""),"",SUMPRODUCT(($A$2:$A$581=A77)*($B$2:$B$581&lt;B77)*$I$2:$I$581))</f>
        <v>20</v>
      </c>
      <c r="I77">
        <f t="shared" si="1"/>
        <v>2</v>
      </c>
    </row>
    <row r="78" spans="1:9" ht="266">
      <c r="A78" t="s">
        <v>1007</v>
      </c>
      <c r="B78">
        <v>7</v>
      </c>
      <c r="C78" t="s">
        <v>276</v>
      </c>
      <c r="D78">
        <v>2</v>
      </c>
      <c r="E78" t="s">
        <v>953</v>
      </c>
      <c r="F78">
        <v>1</v>
      </c>
      <c r="G78" s="10" t="s">
        <v>1401</v>
      </c>
      <c r="H78" cm="1">
        <f t="array" ref="H78">IF(OR(A78="",E78=""),"",SUMPRODUCT(($A$2:$A$581=A78)*($B$2:$B$581&lt;B78)*$I$2:$I$581))</f>
        <v>22</v>
      </c>
      <c r="I78">
        <f t="shared" si="1"/>
        <v>1</v>
      </c>
    </row>
    <row r="79" spans="1:9" ht="384">
      <c r="A79" t="s">
        <v>1007</v>
      </c>
      <c r="B79">
        <v>8</v>
      </c>
      <c r="C79" t="s">
        <v>366</v>
      </c>
      <c r="D79">
        <v>2</v>
      </c>
      <c r="G79" s="10" t="s">
        <v>1555</v>
      </c>
      <c r="H79" t="str" cm="1">
        <f t="array" ref="H79">IF(OR(A79="",E79=""),"",SUMPRODUCT(($A$2:$A$581=A79)*($B$2:$B$581&lt;B79)*$I$2:$I$581))</f>
        <v/>
      </c>
      <c r="I79">
        <f t="shared" si="1"/>
        <v>0</v>
      </c>
    </row>
    <row r="80" spans="1:9" ht="293">
      <c r="A80" t="s">
        <v>1007</v>
      </c>
      <c r="B80">
        <v>9</v>
      </c>
      <c r="C80" t="s">
        <v>1221</v>
      </c>
      <c r="D80">
        <v>1</v>
      </c>
      <c r="G80" s="10" t="s">
        <v>1591</v>
      </c>
      <c r="H80" t="str" cm="1">
        <f t="array" ref="H80">IF(OR(A80="",E80=""),"",SUMPRODUCT(($A$2:$A$581=A80)*($B$2:$B$581&lt;B80)*$I$2:$I$581))</f>
        <v/>
      </c>
      <c r="I80">
        <f t="shared" si="1"/>
        <v>0</v>
      </c>
    </row>
    <row r="81" spans="1:9">
      <c r="A81" t="s">
        <v>1007</v>
      </c>
      <c r="B81">
        <v>10</v>
      </c>
      <c r="C81" t="s">
        <v>170</v>
      </c>
      <c r="D81">
        <v>1</v>
      </c>
      <c r="G81" t="s">
        <v>1596</v>
      </c>
      <c r="H81" t="str" cm="1">
        <f t="array" ref="H81">IF(OR(A81="",E81=""),"",SUMPRODUCT(($A$2:$A$581=A81)*($B$2:$B$581&lt;B81)*$I$2:$I$581))</f>
        <v/>
      </c>
      <c r="I81">
        <f t="shared" si="1"/>
        <v>0</v>
      </c>
    </row>
    <row r="82" spans="1:9" ht="196">
      <c r="A82" t="s">
        <v>1064</v>
      </c>
      <c r="B82">
        <v>1</v>
      </c>
      <c r="C82" t="s">
        <v>395</v>
      </c>
      <c r="D82">
        <v>28</v>
      </c>
      <c r="E82" t="s">
        <v>177</v>
      </c>
      <c r="F82">
        <v>13</v>
      </c>
      <c r="G82" s="10" t="s">
        <v>1067</v>
      </c>
      <c r="H82" cm="1">
        <f t="array" ref="H82">IF(OR(A82="",E82=""),"",SUMPRODUCT(($A$2:$A$581=A82)*($B$2:$B$581&lt;B82)*$I$2:$I$581))</f>
        <v>0</v>
      </c>
      <c r="I82">
        <f t="shared" si="1"/>
        <v>5</v>
      </c>
    </row>
    <row r="83" spans="1:9" ht="238">
      <c r="A83" t="s">
        <v>1064</v>
      </c>
      <c r="B83">
        <v>2</v>
      </c>
      <c r="C83" t="s">
        <v>1048</v>
      </c>
      <c r="D83">
        <v>2</v>
      </c>
      <c r="E83" t="s">
        <v>794</v>
      </c>
      <c r="F83">
        <v>6</v>
      </c>
      <c r="G83" s="10" t="s">
        <v>1059</v>
      </c>
      <c r="H83" cm="1">
        <f t="array" ref="H83">IF(OR(A83="",E83=""),"",SUMPRODUCT(($A$2:$A$581=A83)*($B$2:$B$581&lt;B83)*$I$2:$I$581))</f>
        <v>5</v>
      </c>
      <c r="I83">
        <f t="shared" si="1"/>
        <v>5</v>
      </c>
    </row>
    <row r="84" spans="1:9" ht="332">
      <c r="A84" t="s">
        <v>1064</v>
      </c>
      <c r="B84">
        <v>3</v>
      </c>
      <c r="E84" t="s">
        <v>185</v>
      </c>
      <c r="F84">
        <v>6</v>
      </c>
      <c r="G84" s="10" t="s">
        <v>1085</v>
      </c>
      <c r="H84" cm="1">
        <f t="array" ref="H84">IF(OR(A84="",E84=""),"",SUMPRODUCT(($A$2:$A$581=A84)*($B$2:$B$581&lt;B84)*$I$2:$I$581))</f>
        <v>10</v>
      </c>
      <c r="I84">
        <f t="shared" si="1"/>
        <v>5</v>
      </c>
    </row>
    <row r="85" spans="1:9" ht="266">
      <c r="A85" t="s">
        <v>1064</v>
      </c>
      <c r="B85">
        <v>4</v>
      </c>
      <c r="E85" t="s">
        <v>204</v>
      </c>
      <c r="F85">
        <v>3</v>
      </c>
      <c r="G85" s="10" t="s">
        <v>1104</v>
      </c>
      <c r="H85" cm="1">
        <f t="array" ref="H85">IF(OR(A85="",E85=""),"",SUMPRODUCT(($A$2:$A$581=A85)*($B$2:$B$581&lt;B85)*$I$2:$I$581))</f>
        <v>15</v>
      </c>
      <c r="I85">
        <f t="shared" si="1"/>
        <v>3</v>
      </c>
    </row>
    <row r="86" spans="1:9" ht="319">
      <c r="A86" t="s">
        <v>1064</v>
      </c>
      <c r="B86">
        <v>5</v>
      </c>
      <c r="E86" t="s">
        <v>244</v>
      </c>
      <c r="F86">
        <v>1</v>
      </c>
      <c r="G86" s="10" t="s">
        <v>1107</v>
      </c>
      <c r="H86" cm="1">
        <f t="array" ref="H86">IF(OR(A86="",E86=""),"",SUMPRODUCT(($A$2:$A$581=A86)*($B$2:$B$581&lt;B86)*$I$2:$I$581))</f>
        <v>18</v>
      </c>
      <c r="I86">
        <f t="shared" si="1"/>
        <v>1</v>
      </c>
    </row>
    <row r="87" spans="1:9" ht="196">
      <c r="A87" t="s">
        <v>1064</v>
      </c>
      <c r="B87">
        <v>6</v>
      </c>
      <c r="E87" t="s">
        <v>272</v>
      </c>
      <c r="F87">
        <v>1</v>
      </c>
      <c r="G87" s="10" t="s">
        <v>1117</v>
      </c>
      <c r="H87" cm="1">
        <f t="array" ref="H87">IF(OR(A87="",E87=""),"",SUMPRODUCT(($A$2:$A$581=A87)*($B$2:$B$581&lt;B87)*$I$2:$I$581))</f>
        <v>19</v>
      </c>
      <c r="I87">
        <f t="shared" si="1"/>
        <v>1</v>
      </c>
    </row>
    <row r="88" spans="1:9" ht="252">
      <c r="A88" t="s">
        <v>1064</v>
      </c>
      <c r="B88">
        <v>7</v>
      </c>
      <c r="G88" s="10" t="s">
        <v>1120</v>
      </c>
      <c r="H88" t="str" cm="1">
        <f t="array" ref="H88">IF(OR(A88="",E88=""),"",SUMPRODUCT(($A$2:$A$581=A88)*($B$2:$B$581&lt;B88)*$I$2:$I$581))</f>
        <v/>
      </c>
      <c r="I88">
        <f t="shared" si="1"/>
        <v>0</v>
      </c>
    </row>
    <row r="89" spans="1:9" ht="332">
      <c r="A89" t="s">
        <v>1064</v>
      </c>
      <c r="B89">
        <v>8</v>
      </c>
      <c r="G89" s="10" t="s">
        <v>1123</v>
      </c>
      <c r="H89" t="str" cm="1">
        <f t="array" ref="H89">IF(OR(A89="",E89=""),"",SUMPRODUCT(($A$2:$A$581=A89)*($B$2:$B$581&lt;B89)*$I$2:$I$581))</f>
        <v/>
      </c>
      <c r="I89">
        <f t="shared" si="1"/>
        <v>0</v>
      </c>
    </row>
    <row r="90" spans="1:9" ht="397">
      <c r="A90" t="s">
        <v>1064</v>
      </c>
      <c r="B90">
        <v>9</v>
      </c>
      <c r="G90" s="10" t="s">
        <v>1129</v>
      </c>
      <c r="H90" t="str" cm="1">
        <f t="array" ref="H90">IF(OR(A90="",E90=""),"",SUMPRODUCT(($A$2:$A$581=A90)*($B$2:$B$581&lt;B90)*$I$2:$I$581))</f>
        <v/>
      </c>
      <c r="I90">
        <f t="shared" si="1"/>
        <v>0</v>
      </c>
    </row>
    <row r="91" spans="1:9" ht="332">
      <c r="A91" t="s">
        <v>1064</v>
      </c>
      <c r="B91">
        <v>10</v>
      </c>
      <c r="G91" s="10" t="s">
        <v>1139</v>
      </c>
      <c r="H91" t="str" cm="1">
        <f t="array" ref="H91">IF(OR(A91="",E91=""),"",SUMPRODUCT(($A$2:$A$581=A91)*($B$2:$B$581&lt;B91)*$I$2:$I$581))</f>
        <v/>
      </c>
      <c r="I91">
        <f t="shared" si="1"/>
        <v>0</v>
      </c>
    </row>
    <row r="92" spans="1:9" ht="409.6">
      <c r="A92" t="s">
        <v>1235</v>
      </c>
      <c r="B92">
        <v>1</v>
      </c>
      <c r="C92" t="s">
        <v>276</v>
      </c>
      <c r="D92">
        <v>21</v>
      </c>
      <c r="E92" t="s">
        <v>177</v>
      </c>
      <c r="F92">
        <v>13</v>
      </c>
      <c r="G92" s="10" t="s">
        <v>1238</v>
      </c>
      <c r="H92" cm="1">
        <f t="array" ref="H92">IF(OR(A92="",E92=""),"",SUMPRODUCT(($A$2:$A$581=A92)*($B$2:$B$581&lt;B92)*$I$2:$I$581))</f>
        <v>0</v>
      </c>
      <c r="I92">
        <f t="shared" si="1"/>
        <v>5</v>
      </c>
    </row>
    <row r="93" spans="1:9">
      <c r="A93" t="s">
        <v>1235</v>
      </c>
      <c r="B93">
        <v>2</v>
      </c>
      <c r="C93" t="s">
        <v>170</v>
      </c>
      <c r="D93">
        <v>1</v>
      </c>
      <c r="E93" t="s">
        <v>794</v>
      </c>
      <c r="F93">
        <v>4</v>
      </c>
      <c r="G93" t="s">
        <v>1673</v>
      </c>
      <c r="H93" cm="1">
        <f t="array" ref="H93">IF(OR(A93="",E93=""),"",SUMPRODUCT(($A$2:$A$581=A93)*($B$2:$B$581&lt;B93)*$I$2:$I$581))</f>
        <v>5</v>
      </c>
      <c r="I93">
        <f t="shared" si="1"/>
        <v>4</v>
      </c>
    </row>
    <row r="94" spans="1:9" ht="196">
      <c r="A94" t="s">
        <v>1235</v>
      </c>
      <c r="B94">
        <v>3</v>
      </c>
      <c r="E94" t="s">
        <v>204</v>
      </c>
      <c r="F94">
        <v>2</v>
      </c>
      <c r="G94" s="10" t="s">
        <v>1679</v>
      </c>
      <c r="H94" cm="1">
        <f t="array" ref="H94">IF(OR(A94="",E94=""),"",SUMPRODUCT(($A$2:$A$581=A94)*($B$2:$B$581&lt;B94)*$I$2:$I$581))</f>
        <v>9</v>
      </c>
      <c r="I94">
        <f t="shared" si="1"/>
        <v>2</v>
      </c>
    </row>
    <row r="95" spans="1:9">
      <c r="A95" t="s">
        <v>1235</v>
      </c>
      <c r="B95">
        <v>4</v>
      </c>
      <c r="E95" t="s">
        <v>185</v>
      </c>
      <c r="F95">
        <v>2</v>
      </c>
      <c r="G95" t="s">
        <v>1682</v>
      </c>
      <c r="H95" cm="1">
        <f t="array" ref="H95">IF(OR(A95="",E95=""),"",SUMPRODUCT(($A$2:$A$581=A95)*($B$2:$B$581&lt;B95)*$I$2:$I$581))</f>
        <v>11</v>
      </c>
      <c r="I95">
        <f t="shared" si="1"/>
        <v>2</v>
      </c>
    </row>
    <row r="96" spans="1:9" ht="210">
      <c r="A96" t="s">
        <v>1235</v>
      </c>
      <c r="B96">
        <v>5</v>
      </c>
      <c r="E96" t="s">
        <v>1060</v>
      </c>
      <c r="F96">
        <v>1</v>
      </c>
      <c r="G96" s="10" t="s">
        <v>1685</v>
      </c>
      <c r="H96" cm="1">
        <f t="array" ref="H96">IF(OR(A96="",E96=""),"",SUMPRODUCT(($A$2:$A$581=A96)*($B$2:$B$581&lt;B96)*$I$2:$I$581))</f>
        <v>13</v>
      </c>
      <c r="I96">
        <f t="shared" si="1"/>
        <v>1</v>
      </c>
    </row>
    <row r="97" spans="1:9" ht="371">
      <c r="A97" t="s">
        <v>1235</v>
      </c>
      <c r="B97">
        <v>6</v>
      </c>
      <c r="G97" s="10" t="s">
        <v>1691</v>
      </c>
      <c r="H97" t="str" cm="1">
        <f t="array" ref="H97">IF(OR(A97="",E97=""),"",SUMPRODUCT(($A$2:$A$581=A97)*($B$2:$B$581&lt;B97)*$I$2:$I$581))</f>
        <v/>
      </c>
      <c r="I97">
        <f t="shared" si="1"/>
        <v>0</v>
      </c>
    </row>
    <row r="98" spans="1:9" ht="409.6">
      <c r="A98" t="s">
        <v>1235</v>
      </c>
      <c r="B98">
        <v>7</v>
      </c>
      <c r="G98" s="10" t="s">
        <v>1709</v>
      </c>
      <c r="H98" t="str" cm="1">
        <f t="array" ref="H98">IF(OR(A98="",E98=""),"",SUMPRODUCT(($A$2:$A$581=A98)*($B$2:$B$581&lt;B98)*$I$2:$I$581))</f>
        <v/>
      </c>
      <c r="I98">
        <f t="shared" si="1"/>
        <v>0</v>
      </c>
    </row>
    <row r="99" spans="1:9" ht="358">
      <c r="A99" t="s">
        <v>1235</v>
      </c>
      <c r="B99">
        <v>8</v>
      </c>
      <c r="G99" s="10" t="s">
        <v>1714</v>
      </c>
      <c r="H99" t="str" cm="1">
        <f t="array" ref="H99">IF(OR(A99="",E99=""),"",SUMPRODUCT(($A$2:$A$581=A99)*($B$2:$B$581&lt;B99)*$I$2:$I$581))</f>
        <v/>
      </c>
      <c r="I99">
        <f t="shared" si="1"/>
        <v>0</v>
      </c>
    </row>
    <row r="100" spans="1:9" ht="266">
      <c r="A100" t="s">
        <v>1235</v>
      </c>
      <c r="B100">
        <v>9</v>
      </c>
      <c r="G100" s="10" t="s">
        <v>1724</v>
      </c>
      <c r="H100" t="str" cm="1">
        <f t="array" ref="H100">IF(OR(A100="",E100=""),"",SUMPRODUCT(($A$2:$A$581=A100)*($B$2:$B$581&lt;B100)*$I$2:$I$581))</f>
        <v/>
      </c>
      <c r="I100">
        <f t="shared" si="1"/>
        <v>0</v>
      </c>
    </row>
    <row r="101" spans="1:9" ht="140">
      <c r="A101" t="s">
        <v>1235</v>
      </c>
      <c r="B101">
        <v>10</v>
      </c>
      <c r="G101" s="10" t="s">
        <v>1730</v>
      </c>
      <c r="H101" t="str" cm="1">
        <f t="array" ref="H101">IF(OR(A101="",E101=""),"",SUMPRODUCT(($A$2:$A$581=A101)*($B$2:$B$581&lt;B101)*$I$2:$I$581))</f>
        <v/>
      </c>
      <c r="I101">
        <f t="shared" si="1"/>
        <v>0</v>
      </c>
    </row>
    <row r="102" spans="1:9" ht="332">
      <c r="A102" t="s">
        <v>1246</v>
      </c>
      <c r="B102">
        <v>1</v>
      </c>
      <c r="C102" t="s">
        <v>777</v>
      </c>
      <c r="D102">
        <v>6</v>
      </c>
      <c r="E102" t="s">
        <v>185</v>
      </c>
      <c r="F102">
        <v>12</v>
      </c>
      <c r="G102" s="10" t="s">
        <v>1249</v>
      </c>
      <c r="H102" cm="1">
        <f t="array" ref="H102">IF(OR(A102="",E102=""),"",SUMPRODUCT(($A$2:$A$581=A102)*($B$2:$B$581&lt;B102)*$I$2:$I$581))</f>
        <v>0</v>
      </c>
      <c r="I102">
        <f t="shared" si="1"/>
        <v>5</v>
      </c>
    </row>
    <row r="103" spans="1:9" ht="371">
      <c r="A103" t="s">
        <v>1246</v>
      </c>
      <c r="B103">
        <v>2</v>
      </c>
      <c r="C103" t="s">
        <v>1946</v>
      </c>
      <c r="D103">
        <v>6</v>
      </c>
      <c r="E103" t="s">
        <v>204</v>
      </c>
      <c r="F103">
        <v>3</v>
      </c>
      <c r="G103" s="10" t="s">
        <v>1279</v>
      </c>
      <c r="H103" cm="1">
        <f t="array" ref="H103">IF(OR(A103="",E103=""),"",SUMPRODUCT(($A$2:$A$581=A103)*($B$2:$B$581&lt;B103)*$I$2:$I$581))</f>
        <v>5</v>
      </c>
      <c r="I103">
        <f t="shared" si="1"/>
        <v>3</v>
      </c>
    </row>
    <row r="104" spans="1:9" ht="409.6">
      <c r="A104" t="s">
        <v>1246</v>
      </c>
      <c r="B104">
        <v>3</v>
      </c>
      <c r="C104" t="s">
        <v>170</v>
      </c>
      <c r="D104">
        <v>1</v>
      </c>
      <c r="G104" s="10" t="s">
        <v>1294</v>
      </c>
      <c r="H104" t="str" cm="1">
        <f t="array" ref="H104">IF(OR(A104="",E104=""),"",SUMPRODUCT(($A$2:$A$581=A104)*($B$2:$B$581&lt;B104)*$I$2:$I$581))</f>
        <v/>
      </c>
      <c r="I104">
        <f t="shared" si="1"/>
        <v>0</v>
      </c>
    </row>
    <row r="105" spans="1:9" ht="409.6">
      <c r="A105" t="s">
        <v>1246</v>
      </c>
      <c r="B105">
        <v>4</v>
      </c>
      <c r="C105" t="s">
        <v>1271</v>
      </c>
      <c r="D105">
        <v>1</v>
      </c>
      <c r="G105" s="10" t="s">
        <v>1265</v>
      </c>
      <c r="H105" t="str" cm="1">
        <f t="array" ref="H105">IF(OR(A105="",E105=""),"",SUMPRODUCT(($A$2:$A$581=A105)*($B$2:$B$581&lt;B105)*$I$2:$I$581))</f>
        <v/>
      </c>
      <c r="I105">
        <f t="shared" si="1"/>
        <v>0</v>
      </c>
    </row>
    <row r="106" spans="1:9" ht="409.6">
      <c r="A106" t="s">
        <v>1246</v>
      </c>
      <c r="B106">
        <v>5</v>
      </c>
      <c r="C106" t="s">
        <v>202</v>
      </c>
      <c r="D106">
        <v>1</v>
      </c>
      <c r="G106" s="10" t="s">
        <v>1958</v>
      </c>
      <c r="H106" t="str" cm="1">
        <f t="array" ref="H106">IF(OR(A106="",E106=""),"",SUMPRODUCT(($A$2:$A$581=A106)*($B$2:$B$581&lt;B106)*$I$2:$I$581))</f>
        <v/>
      </c>
      <c r="I106">
        <f t="shared" si="1"/>
        <v>0</v>
      </c>
    </row>
    <row r="107" spans="1:9" ht="266">
      <c r="A107" t="s">
        <v>1246</v>
      </c>
      <c r="B107">
        <v>6</v>
      </c>
      <c r="G107" s="10" t="s">
        <v>1982</v>
      </c>
      <c r="H107" t="str" cm="1">
        <f t="array" ref="H107">IF(OR(A107="",E107=""),"",SUMPRODUCT(($A$2:$A$581=A107)*($B$2:$B$581&lt;B107)*$I$2:$I$581))</f>
        <v/>
      </c>
      <c r="I107">
        <f t="shared" si="1"/>
        <v>0</v>
      </c>
    </row>
    <row r="108" spans="1:9">
      <c r="A108" t="s">
        <v>1246</v>
      </c>
      <c r="B108">
        <v>7</v>
      </c>
      <c r="H108" t="str" cm="1">
        <f t="array" ref="H108">IF(OR(A108="",E108=""),"",SUMPRODUCT(($A$2:$A$581=A108)*($B$2:$B$581&lt;B108)*$I$2:$I$581))</f>
        <v/>
      </c>
      <c r="I108">
        <f t="shared" si="1"/>
        <v>0</v>
      </c>
    </row>
    <row r="109" spans="1:9">
      <c r="A109" t="s">
        <v>1246</v>
      </c>
      <c r="B109">
        <v>8</v>
      </c>
      <c r="H109" t="str" cm="1">
        <f t="array" ref="H109">IF(OR(A109="",E109=""),"",SUMPRODUCT(($A$2:$A$581=A109)*($B$2:$B$581&lt;B109)*$I$2:$I$581))</f>
        <v/>
      </c>
      <c r="I109">
        <f t="shared" si="1"/>
        <v>0</v>
      </c>
    </row>
    <row r="110" spans="1:9">
      <c r="A110" t="s">
        <v>1246</v>
      </c>
      <c r="B110">
        <v>9</v>
      </c>
      <c r="H110" t="str" cm="1">
        <f t="array" ref="H110">IF(OR(A110="",E110=""),"",SUMPRODUCT(($A$2:$A$581=A110)*($B$2:$B$581&lt;B110)*$I$2:$I$581))</f>
        <v/>
      </c>
      <c r="I110">
        <f t="shared" si="1"/>
        <v>0</v>
      </c>
    </row>
    <row r="111" spans="1:9">
      <c r="A111" t="s">
        <v>1246</v>
      </c>
      <c r="B111">
        <v>10</v>
      </c>
      <c r="H111" t="str" cm="1">
        <f t="array" ref="H111">IF(OR(A111="",E111=""),"",SUMPRODUCT(($A$2:$A$581=A111)*($B$2:$B$581&lt;B111)*$I$2:$I$581))</f>
        <v/>
      </c>
      <c r="I111">
        <f t="shared" si="1"/>
        <v>0</v>
      </c>
    </row>
    <row r="112" spans="1:9" ht="384">
      <c r="A112" t="s">
        <v>1335</v>
      </c>
      <c r="B112">
        <v>1</v>
      </c>
      <c r="C112" t="s">
        <v>230</v>
      </c>
      <c r="D112">
        <v>6</v>
      </c>
      <c r="E112" t="s">
        <v>1060</v>
      </c>
      <c r="F112">
        <v>11</v>
      </c>
      <c r="G112" s="10" t="s">
        <v>1338</v>
      </c>
      <c r="H112" cm="1">
        <f t="array" ref="H112">IF(OR(A112="",E112=""),"",SUMPRODUCT(($A$2:$A$581=A112)*($B$2:$B$581&lt;B112)*$I$2:$I$581))</f>
        <v>0</v>
      </c>
      <c r="I112">
        <f t="shared" si="1"/>
        <v>5</v>
      </c>
    </row>
    <row r="113" spans="1:9" ht="140">
      <c r="A113" t="s">
        <v>1335</v>
      </c>
      <c r="B113">
        <v>2</v>
      </c>
      <c r="C113" t="s">
        <v>1484</v>
      </c>
      <c r="D113">
        <v>2</v>
      </c>
      <c r="E113" t="s">
        <v>185</v>
      </c>
      <c r="F113">
        <v>1</v>
      </c>
      <c r="G113" s="10" t="s">
        <v>1531</v>
      </c>
      <c r="H113" cm="1">
        <f t="array" ref="H113">IF(OR(A113="",E113=""),"",SUMPRODUCT(($A$2:$A$581=A113)*($B$2:$B$581&lt;B113)*$I$2:$I$581))</f>
        <v>5</v>
      </c>
      <c r="I113">
        <f t="shared" si="1"/>
        <v>1</v>
      </c>
    </row>
    <row r="114" spans="1:9" ht="182">
      <c r="A114" t="s">
        <v>1335</v>
      </c>
      <c r="B114">
        <v>3</v>
      </c>
      <c r="C114" t="s">
        <v>181</v>
      </c>
      <c r="D114">
        <v>1</v>
      </c>
      <c r="E114" t="s">
        <v>794</v>
      </c>
      <c r="F114">
        <v>1</v>
      </c>
      <c r="G114" s="10" t="s">
        <v>1545</v>
      </c>
      <c r="H114" cm="1">
        <f t="array" ref="H114">IF(OR(A114="",E114=""),"",SUMPRODUCT(($A$2:$A$581=A114)*($B$2:$B$581&lt;B114)*$I$2:$I$581))</f>
        <v>6</v>
      </c>
      <c r="I114">
        <f t="shared" si="1"/>
        <v>1</v>
      </c>
    </row>
    <row r="115" spans="1:9" ht="224">
      <c r="A115" t="s">
        <v>1335</v>
      </c>
      <c r="B115">
        <v>4</v>
      </c>
      <c r="C115" t="s">
        <v>307</v>
      </c>
      <c r="D115">
        <v>1</v>
      </c>
      <c r="E115" t="s">
        <v>204</v>
      </c>
      <c r="F115">
        <v>1</v>
      </c>
      <c r="G115" s="10" t="s">
        <v>1560</v>
      </c>
      <c r="H115" cm="1">
        <f t="array" ref="H115">IF(OR(A115="",E115=""),"",SUMPRODUCT(($A$2:$A$581=A115)*($B$2:$B$581&lt;B115)*$I$2:$I$581))</f>
        <v>7</v>
      </c>
      <c r="I115">
        <f t="shared" si="1"/>
        <v>1</v>
      </c>
    </row>
    <row r="116" spans="1:9" ht="182">
      <c r="A116" t="s">
        <v>1335</v>
      </c>
      <c r="B116">
        <v>5</v>
      </c>
      <c r="C116" t="s">
        <v>318</v>
      </c>
      <c r="D116">
        <v>1</v>
      </c>
      <c r="G116" s="10" t="s">
        <v>1568</v>
      </c>
      <c r="H116" t="str" cm="1">
        <f t="array" ref="H116">IF(OR(A116="",E116=""),"",SUMPRODUCT(($A$2:$A$581=A116)*($B$2:$B$581&lt;B116)*$I$2:$I$581))</f>
        <v/>
      </c>
      <c r="I116">
        <f t="shared" si="1"/>
        <v>0</v>
      </c>
    </row>
    <row r="117" spans="1:9" ht="224">
      <c r="A117" t="s">
        <v>1335</v>
      </c>
      <c r="B117">
        <v>6</v>
      </c>
      <c r="C117" t="s">
        <v>350</v>
      </c>
      <c r="D117">
        <v>1</v>
      </c>
      <c r="G117" s="10" t="s">
        <v>1769</v>
      </c>
      <c r="H117" t="str" cm="1">
        <f t="array" ref="H117">IF(OR(A117="",E117=""),"",SUMPRODUCT(($A$2:$A$581=A117)*($B$2:$B$581&lt;B117)*$I$2:$I$581))</f>
        <v/>
      </c>
      <c r="I117">
        <f t="shared" si="1"/>
        <v>0</v>
      </c>
    </row>
    <row r="118" spans="1:9" ht="384">
      <c r="A118" t="s">
        <v>1335</v>
      </c>
      <c r="B118">
        <v>7</v>
      </c>
      <c r="C118" t="s">
        <v>1946</v>
      </c>
      <c r="D118">
        <v>1</v>
      </c>
      <c r="G118" s="10" t="s">
        <v>1789</v>
      </c>
      <c r="H118" t="str" cm="1">
        <f t="array" ref="H118">IF(OR(A118="",E118=""),"",SUMPRODUCT(($A$2:$A$581=A118)*($B$2:$B$581&lt;B118)*$I$2:$I$581))</f>
        <v/>
      </c>
      <c r="I118">
        <f t="shared" si="1"/>
        <v>0</v>
      </c>
    </row>
    <row r="119" spans="1:9" ht="238">
      <c r="A119" t="s">
        <v>1335</v>
      </c>
      <c r="B119">
        <v>8</v>
      </c>
      <c r="C119" t="s">
        <v>787</v>
      </c>
      <c r="D119">
        <v>1</v>
      </c>
      <c r="G119" s="10" t="s">
        <v>1841</v>
      </c>
      <c r="H119" t="str" cm="1">
        <f t="array" ref="H119">IF(OR(A119="",E119=""),"",SUMPRODUCT(($A$2:$A$581=A119)*($B$2:$B$581&lt;B119)*$I$2:$I$581))</f>
        <v/>
      </c>
      <c r="I119">
        <f t="shared" si="1"/>
        <v>0</v>
      </c>
    </row>
    <row r="120" spans="1:9" ht="154">
      <c r="A120" t="s">
        <v>1335</v>
      </c>
      <c r="B120">
        <v>9</v>
      </c>
      <c r="G120" s="10" t="s">
        <v>1991</v>
      </c>
      <c r="H120" t="str" cm="1">
        <f t="array" ref="H120">IF(OR(A120="",E120=""),"",SUMPRODUCT(($A$2:$A$581=A120)*($B$2:$B$581&lt;B120)*$I$2:$I$581))</f>
        <v/>
      </c>
      <c r="I120">
        <f t="shared" si="1"/>
        <v>0</v>
      </c>
    </row>
    <row r="121" spans="1:9">
      <c r="A121" t="s">
        <v>1335</v>
      </c>
      <c r="B121">
        <v>10</v>
      </c>
      <c r="H121" t="str" cm="1">
        <f t="array" ref="H121">IF(OR(A121="",E121=""),"",SUMPRODUCT(($A$2:$A$581=A121)*($B$2:$B$581&lt;B121)*$I$2:$I$581))</f>
        <v/>
      </c>
      <c r="I121">
        <f t="shared" si="1"/>
        <v>0</v>
      </c>
    </row>
    <row r="122" spans="1:9" ht="168">
      <c r="A122" t="s">
        <v>1364</v>
      </c>
      <c r="B122">
        <v>1</v>
      </c>
      <c r="C122" t="s">
        <v>225</v>
      </c>
      <c r="D122">
        <v>23</v>
      </c>
      <c r="E122" t="s">
        <v>204</v>
      </c>
      <c r="F122">
        <v>19</v>
      </c>
      <c r="G122" s="10" t="s">
        <v>1367</v>
      </c>
      <c r="H122" cm="1">
        <f t="array" ref="H122">IF(OR(A122="",E122=""),"",SUMPRODUCT(($A$2:$A$581=A122)*($B$2:$B$581&lt;B122)*$I$2:$I$581))</f>
        <v>0</v>
      </c>
      <c r="I122">
        <f t="shared" si="1"/>
        <v>5</v>
      </c>
    </row>
    <row r="123" spans="1:9" ht="332">
      <c r="A123" t="s">
        <v>1364</v>
      </c>
      <c r="B123">
        <v>2</v>
      </c>
      <c r="C123" t="s">
        <v>241</v>
      </c>
      <c r="D123">
        <v>3</v>
      </c>
      <c r="E123" t="s">
        <v>185</v>
      </c>
      <c r="F123">
        <v>4</v>
      </c>
      <c r="G123" s="10" t="s">
        <v>247</v>
      </c>
      <c r="H123" cm="1">
        <f t="array" ref="H123">IF(OR(A123="",E123=""),"",SUMPRODUCT(($A$2:$A$581=A123)*($B$2:$B$581&lt;B123)*$I$2:$I$581))</f>
        <v>5</v>
      </c>
      <c r="I123">
        <f t="shared" si="1"/>
        <v>4</v>
      </c>
    </row>
    <row r="124" spans="1:9" ht="252">
      <c r="A124" t="s">
        <v>1364</v>
      </c>
      <c r="B124">
        <v>3</v>
      </c>
      <c r="C124" t="s">
        <v>915</v>
      </c>
      <c r="D124">
        <v>3</v>
      </c>
      <c r="E124" t="s">
        <v>177</v>
      </c>
      <c r="F124">
        <v>4</v>
      </c>
      <c r="G124" s="10" t="s">
        <v>1405</v>
      </c>
      <c r="H124" cm="1">
        <f t="array" ref="H124">IF(OR(A124="",E124=""),"",SUMPRODUCT(($A$2:$A$581=A124)*($B$2:$B$581&lt;B124)*$I$2:$I$581))</f>
        <v>9</v>
      </c>
      <c r="I124">
        <f t="shared" si="1"/>
        <v>4</v>
      </c>
    </row>
    <row r="125" spans="1:9" ht="306">
      <c r="A125" t="s">
        <v>1364</v>
      </c>
      <c r="B125">
        <v>4</v>
      </c>
      <c r="C125" t="s">
        <v>196</v>
      </c>
      <c r="D125">
        <v>1</v>
      </c>
      <c r="E125" t="s">
        <v>244</v>
      </c>
      <c r="F125">
        <v>2</v>
      </c>
      <c r="G125" s="10" t="s">
        <v>1408</v>
      </c>
      <c r="H125" cm="1">
        <f t="array" ref="H125">IF(OR(A125="",E125=""),"",SUMPRODUCT(($A$2:$A$581=A125)*($B$2:$B$581&lt;B125)*$I$2:$I$581))</f>
        <v>13</v>
      </c>
      <c r="I125">
        <f t="shared" si="1"/>
        <v>2</v>
      </c>
    </row>
    <row r="126" spans="1:9" ht="224">
      <c r="A126" t="s">
        <v>1364</v>
      </c>
      <c r="B126">
        <v>5</v>
      </c>
      <c r="C126" t="s">
        <v>261</v>
      </c>
      <c r="D126">
        <v>1</v>
      </c>
      <c r="E126" t="s">
        <v>794</v>
      </c>
      <c r="F126">
        <v>1</v>
      </c>
      <c r="G126" s="10" t="s">
        <v>1411</v>
      </c>
      <c r="H126" cm="1">
        <f t="array" ref="H126">IF(OR(A126="",E126=""),"",SUMPRODUCT(($A$2:$A$581=A126)*($B$2:$B$581&lt;B126)*$I$2:$I$581))</f>
        <v>15</v>
      </c>
      <c r="I126">
        <f t="shared" si="1"/>
        <v>1</v>
      </c>
    </row>
    <row r="127" spans="1:9" ht="409.6">
      <c r="A127" t="s">
        <v>1364</v>
      </c>
      <c r="B127">
        <v>6</v>
      </c>
      <c r="C127" t="s">
        <v>355</v>
      </c>
      <c r="D127">
        <v>1</v>
      </c>
      <c r="E127" t="s">
        <v>953</v>
      </c>
      <c r="F127">
        <v>1</v>
      </c>
      <c r="G127" s="10" t="s">
        <v>1415</v>
      </c>
      <c r="H127" cm="1">
        <f t="array" ref="H127">IF(OR(A127="",E127=""),"",SUMPRODUCT(($A$2:$A$581=A127)*($B$2:$B$581&lt;B127)*$I$2:$I$581))</f>
        <v>16</v>
      </c>
      <c r="I127">
        <f t="shared" si="1"/>
        <v>1</v>
      </c>
    </row>
    <row r="128" spans="1:9" ht="319">
      <c r="A128" t="s">
        <v>1364</v>
      </c>
      <c r="B128">
        <v>7</v>
      </c>
      <c r="E128" t="s">
        <v>1060</v>
      </c>
      <c r="F128">
        <v>1</v>
      </c>
      <c r="G128" s="10" t="s">
        <v>1418</v>
      </c>
      <c r="H128" cm="1">
        <f t="array" ref="H128">IF(OR(A128="",E128=""),"",SUMPRODUCT(($A$2:$A$581=A128)*($B$2:$B$581&lt;B128)*$I$2:$I$581))</f>
        <v>17</v>
      </c>
      <c r="I128">
        <f t="shared" si="1"/>
        <v>1</v>
      </c>
    </row>
    <row r="129" spans="1:9" ht="345">
      <c r="A129" t="s">
        <v>1364</v>
      </c>
      <c r="B129">
        <v>8</v>
      </c>
      <c r="G129" s="10" t="s">
        <v>1421</v>
      </c>
      <c r="H129" t="str" cm="1">
        <f t="array" ref="H129">IF(OR(A129="",E129=""),"",SUMPRODUCT(($A$2:$A$581=A129)*($B$2:$B$581&lt;B129)*$I$2:$I$581))</f>
        <v/>
      </c>
      <c r="I129">
        <f t="shared" si="1"/>
        <v>0</v>
      </c>
    </row>
    <row r="130" spans="1:9" ht="280">
      <c r="A130" t="s">
        <v>1364</v>
      </c>
      <c r="B130">
        <v>9</v>
      </c>
      <c r="G130" s="10" t="s">
        <v>1424</v>
      </c>
      <c r="H130" t="str" cm="1">
        <f t="array" ref="H130">IF(OR(A130="",E130=""),"",SUMPRODUCT(($A$2:$A$581=A130)*($B$2:$B$581&lt;B130)*$I$2:$I$581))</f>
        <v/>
      </c>
      <c r="I130">
        <f t="shared" si="1"/>
        <v>0</v>
      </c>
    </row>
    <row r="131" spans="1:9" ht="397">
      <c r="A131" t="s">
        <v>1364</v>
      </c>
      <c r="B131">
        <v>10</v>
      </c>
      <c r="G131" s="10" t="s">
        <v>1428</v>
      </c>
      <c r="H131" t="str" cm="1">
        <f t="array" ref="H131">IF(OR(A131="",E131=""),"",SUMPRODUCT(($A$2:$A$581=A131)*($B$2:$B$581&lt;B131)*$I$2:$I$581))</f>
        <v/>
      </c>
      <c r="I131">
        <f t="shared" ref="I131:I194" si="2">IF(OR(A131="",E131="",NOT(ISNUMBER(F131))),0,MIN(F131,5))</f>
        <v>0</v>
      </c>
    </row>
    <row r="132" spans="1:9" ht="409.6">
      <c r="A132" t="s">
        <v>1380</v>
      </c>
      <c r="B132">
        <v>1</v>
      </c>
      <c r="C132" t="s">
        <v>1484</v>
      </c>
      <c r="D132">
        <v>6</v>
      </c>
      <c r="E132" t="s">
        <v>794</v>
      </c>
      <c r="F132">
        <v>6</v>
      </c>
      <c r="G132" s="10" t="s">
        <v>1383</v>
      </c>
      <c r="H132" cm="1">
        <f t="array" ref="H132">IF(OR(A132="",E132=""),"",SUMPRODUCT(($A$2:$A$581=A132)*($B$2:$B$581&lt;B132)*$I$2:$I$581))</f>
        <v>0</v>
      </c>
      <c r="I132">
        <f t="shared" si="2"/>
        <v>5</v>
      </c>
    </row>
    <row r="133" spans="1:9" ht="224">
      <c r="A133" t="s">
        <v>1380</v>
      </c>
      <c r="B133">
        <v>2</v>
      </c>
      <c r="C133" t="s">
        <v>307</v>
      </c>
      <c r="D133">
        <v>3</v>
      </c>
      <c r="E133" t="s">
        <v>1060</v>
      </c>
      <c r="F133">
        <v>5</v>
      </c>
      <c r="G133" s="10" t="s">
        <v>1488</v>
      </c>
      <c r="H133" cm="1">
        <f t="array" ref="H133">IF(OR(A133="",E133=""),"",SUMPRODUCT(($A$2:$A$581=A133)*($B$2:$B$581&lt;B133)*$I$2:$I$581))</f>
        <v>5</v>
      </c>
      <c r="I133">
        <f t="shared" si="2"/>
        <v>5</v>
      </c>
    </row>
    <row r="134" spans="1:9" ht="224">
      <c r="A134" t="s">
        <v>1380</v>
      </c>
      <c r="B134">
        <v>3</v>
      </c>
      <c r="C134" t="s">
        <v>230</v>
      </c>
      <c r="D134">
        <v>2</v>
      </c>
      <c r="E134" t="s">
        <v>185</v>
      </c>
      <c r="F134">
        <v>5</v>
      </c>
      <c r="G134" s="10" t="s">
        <v>1491</v>
      </c>
      <c r="H134" cm="1">
        <f t="array" ref="H134">IF(OR(A134="",E134=""),"",SUMPRODUCT(($A$2:$A$581=A134)*($B$2:$B$581&lt;B134)*$I$2:$I$581))</f>
        <v>10</v>
      </c>
      <c r="I134">
        <f t="shared" si="2"/>
        <v>5</v>
      </c>
    </row>
    <row r="135" spans="1:9" ht="266">
      <c r="A135" t="s">
        <v>1380</v>
      </c>
      <c r="B135">
        <v>4</v>
      </c>
      <c r="C135" t="s">
        <v>261</v>
      </c>
      <c r="D135">
        <v>2</v>
      </c>
      <c r="E135" t="s">
        <v>204</v>
      </c>
      <c r="F135">
        <v>2</v>
      </c>
      <c r="G135" s="10" t="s">
        <v>1494</v>
      </c>
      <c r="H135" cm="1">
        <f t="array" ref="H135">IF(OR(A135="",E135=""),"",SUMPRODUCT(($A$2:$A$581=A135)*($B$2:$B$581&lt;B135)*$I$2:$I$581))</f>
        <v>15</v>
      </c>
      <c r="I135">
        <f t="shared" si="2"/>
        <v>2</v>
      </c>
    </row>
    <row r="136" spans="1:9" ht="140">
      <c r="A136" t="s">
        <v>1380</v>
      </c>
      <c r="B136">
        <v>5</v>
      </c>
      <c r="C136" t="s">
        <v>333</v>
      </c>
      <c r="D136">
        <v>2</v>
      </c>
      <c r="E136" t="s">
        <v>177</v>
      </c>
      <c r="F136">
        <v>2</v>
      </c>
      <c r="G136" s="10" t="s">
        <v>1500</v>
      </c>
      <c r="H136" cm="1">
        <f t="array" ref="H136">IF(OR(A136="",E136=""),"",SUMPRODUCT(($A$2:$A$581=A136)*($B$2:$B$581&lt;B136)*$I$2:$I$581))</f>
        <v>17</v>
      </c>
      <c r="I136">
        <f t="shared" si="2"/>
        <v>2</v>
      </c>
    </row>
    <row r="137" spans="1:9">
      <c r="A137" t="s">
        <v>1380</v>
      </c>
      <c r="B137">
        <v>6</v>
      </c>
      <c r="C137" t="s">
        <v>355</v>
      </c>
      <c r="D137">
        <v>2</v>
      </c>
      <c r="E137" t="s">
        <v>244</v>
      </c>
      <c r="F137">
        <v>1</v>
      </c>
      <c r="G137" t="s">
        <v>1525</v>
      </c>
      <c r="H137" cm="1">
        <f t="array" ref="H137">IF(OR(A137="",E137=""),"",SUMPRODUCT(($A$2:$A$581=A137)*($B$2:$B$581&lt;B137)*$I$2:$I$581))</f>
        <v>19</v>
      </c>
      <c r="I137">
        <f t="shared" si="2"/>
        <v>1</v>
      </c>
    </row>
    <row r="138" spans="1:9" ht="224">
      <c r="A138" t="s">
        <v>1380</v>
      </c>
      <c r="B138">
        <v>7</v>
      </c>
      <c r="C138" t="s">
        <v>202</v>
      </c>
      <c r="D138">
        <v>1</v>
      </c>
      <c r="G138" s="10" t="s">
        <v>1537</v>
      </c>
      <c r="H138" t="str" cm="1">
        <f t="array" ref="H138">IF(OR(A138="",E138=""),"",SUMPRODUCT(($A$2:$A$581=A138)*($B$2:$B$581&lt;B138)*$I$2:$I$581))</f>
        <v/>
      </c>
      <c r="I138">
        <f t="shared" si="2"/>
        <v>0</v>
      </c>
    </row>
    <row r="139" spans="1:9" ht="126">
      <c r="A139" t="s">
        <v>1380</v>
      </c>
      <c r="B139">
        <v>8</v>
      </c>
      <c r="C139" t="s">
        <v>241</v>
      </c>
      <c r="D139">
        <v>1</v>
      </c>
      <c r="G139" s="10" t="s">
        <v>1512</v>
      </c>
      <c r="H139" t="str" cm="1">
        <f t="array" ref="H139">IF(OR(A139="",E139=""),"",SUMPRODUCT(($A$2:$A$581=A139)*($B$2:$B$581&lt;B139)*$I$2:$I$581))</f>
        <v/>
      </c>
      <c r="I139">
        <f t="shared" si="2"/>
        <v>0</v>
      </c>
    </row>
    <row r="140" spans="1:9" ht="397">
      <c r="A140" t="s">
        <v>1380</v>
      </c>
      <c r="B140">
        <v>9</v>
      </c>
      <c r="C140" t="s">
        <v>1776</v>
      </c>
      <c r="D140">
        <v>1</v>
      </c>
      <c r="G140" s="10" t="s">
        <v>1599</v>
      </c>
      <c r="H140" t="str" cm="1">
        <f t="array" ref="H140">IF(OR(A140="",E140=""),"",SUMPRODUCT(($A$2:$A$581=A140)*($B$2:$B$581&lt;B140)*$I$2:$I$581))</f>
        <v/>
      </c>
      <c r="I140">
        <f t="shared" si="2"/>
        <v>0</v>
      </c>
    </row>
    <row r="141" spans="1:9" ht="306">
      <c r="A141" t="s">
        <v>1380</v>
      </c>
      <c r="B141">
        <v>10</v>
      </c>
      <c r="C141" t="s">
        <v>366</v>
      </c>
      <c r="D141">
        <v>1</v>
      </c>
      <c r="G141" s="10" t="s">
        <v>1639</v>
      </c>
      <c r="H141" t="str" cm="1">
        <f t="array" ref="H141">IF(OR(A141="",E141=""),"",SUMPRODUCT(($A$2:$A$581=A141)*($B$2:$B$581&lt;B141)*$I$2:$I$581))</f>
        <v/>
      </c>
      <c r="I141">
        <f t="shared" si="2"/>
        <v>0</v>
      </c>
    </row>
    <row r="142" spans="1:9" ht="319">
      <c r="A142" t="s">
        <v>1666</v>
      </c>
      <c r="B142">
        <v>1</v>
      </c>
      <c r="C142" t="s">
        <v>276</v>
      </c>
      <c r="D142">
        <v>7</v>
      </c>
      <c r="E142" t="s">
        <v>185</v>
      </c>
      <c r="F142">
        <v>4</v>
      </c>
      <c r="G142" s="10" t="s">
        <v>1669</v>
      </c>
      <c r="H142" cm="1">
        <f t="array" ref="H142">IF(OR(A142="",E142=""),"",SUMPRODUCT(($A$2:$A$581=A142)*($B$2:$B$581&lt;B142)*$I$2:$I$581))</f>
        <v>0</v>
      </c>
      <c r="I142">
        <f t="shared" si="2"/>
        <v>4</v>
      </c>
    </row>
    <row r="143" spans="1:9" ht="168">
      <c r="A143" t="s">
        <v>1666</v>
      </c>
      <c r="B143">
        <v>2</v>
      </c>
      <c r="E143" t="s">
        <v>794</v>
      </c>
      <c r="F143">
        <v>3</v>
      </c>
      <c r="G143" s="10" t="s">
        <v>1676</v>
      </c>
      <c r="H143" cm="1">
        <f t="array" ref="H143">IF(OR(A143="",E143=""),"",SUMPRODUCT(($A$2:$A$581=A143)*($B$2:$B$581&lt;B143)*$I$2:$I$581))</f>
        <v>4</v>
      </c>
      <c r="I143">
        <f t="shared" si="2"/>
        <v>3</v>
      </c>
    </row>
    <row r="144" spans="1:9" ht="280">
      <c r="A144" t="s">
        <v>1666</v>
      </c>
      <c r="B144">
        <v>3</v>
      </c>
      <c r="G144" s="10" t="s">
        <v>1688</v>
      </c>
      <c r="H144" t="str" cm="1">
        <f t="array" ref="H144">IF(OR(A144="",E144=""),"",SUMPRODUCT(($A$2:$A$581=A144)*($B$2:$B$581&lt;B144)*$I$2:$I$581))</f>
        <v/>
      </c>
      <c r="I144">
        <f t="shared" si="2"/>
        <v>0</v>
      </c>
    </row>
    <row r="145" spans="1:9" ht="384">
      <c r="A145" t="s">
        <v>1666</v>
      </c>
      <c r="B145">
        <v>4</v>
      </c>
      <c r="G145" s="10" t="s">
        <v>1695</v>
      </c>
      <c r="H145" t="str" cm="1">
        <f t="array" ref="H145">IF(OR(A145="",E145=""),"",SUMPRODUCT(($A$2:$A$581=A145)*($B$2:$B$581&lt;B145)*$I$2:$I$581))</f>
        <v/>
      </c>
      <c r="I145">
        <f t="shared" si="2"/>
        <v>0</v>
      </c>
    </row>
    <row r="146" spans="1:9">
      <c r="A146" t="s">
        <v>1666</v>
      </c>
      <c r="B146">
        <v>5</v>
      </c>
      <c r="H146" t="str" cm="1">
        <f t="array" ref="H146">IF(OR(A146="",E146=""),"",SUMPRODUCT(($A$2:$A$581=A146)*($B$2:$B$581&lt;B146)*$I$2:$I$581))</f>
        <v/>
      </c>
      <c r="I146">
        <f t="shared" si="2"/>
        <v>0</v>
      </c>
    </row>
    <row r="147" spans="1:9">
      <c r="A147" t="s">
        <v>1666</v>
      </c>
      <c r="B147">
        <v>6</v>
      </c>
      <c r="H147" t="str" cm="1">
        <f t="array" ref="H147">IF(OR(A147="",E147=""),"",SUMPRODUCT(($A$2:$A$581=A147)*($B$2:$B$581&lt;B147)*$I$2:$I$581))</f>
        <v/>
      </c>
      <c r="I147">
        <f t="shared" si="2"/>
        <v>0</v>
      </c>
    </row>
    <row r="148" spans="1:9">
      <c r="A148" t="s">
        <v>1666</v>
      </c>
      <c r="B148">
        <v>7</v>
      </c>
      <c r="H148" t="str" cm="1">
        <f t="array" ref="H148">IF(OR(A148="",E148=""),"",SUMPRODUCT(($A$2:$A$581=A148)*($B$2:$B$581&lt;B148)*$I$2:$I$581))</f>
        <v/>
      </c>
      <c r="I148">
        <f t="shared" si="2"/>
        <v>0</v>
      </c>
    </row>
    <row r="149" spans="1:9">
      <c r="A149" t="s">
        <v>1666</v>
      </c>
      <c r="B149">
        <v>8</v>
      </c>
      <c r="H149" t="str" cm="1">
        <f t="array" ref="H149">IF(OR(A149="",E149=""),"",SUMPRODUCT(($A$2:$A$581=A149)*($B$2:$B$581&lt;B149)*$I$2:$I$581))</f>
        <v/>
      </c>
      <c r="I149">
        <f t="shared" si="2"/>
        <v>0</v>
      </c>
    </row>
    <row r="150" spans="1:9">
      <c r="A150" t="s">
        <v>1666</v>
      </c>
      <c r="B150">
        <v>9</v>
      </c>
      <c r="H150" t="str" cm="1">
        <f t="array" ref="H150">IF(OR(A150="",E150=""),"",SUMPRODUCT(($A$2:$A$581=A150)*($B$2:$B$581&lt;B150)*$I$2:$I$581))</f>
        <v/>
      </c>
      <c r="I150">
        <f t="shared" si="2"/>
        <v>0</v>
      </c>
    </row>
    <row r="151" spans="1:9">
      <c r="A151" t="s">
        <v>1666</v>
      </c>
      <c r="B151">
        <v>10</v>
      </c>
      <c r="H151" t="str" cm="1">
        <f t="array" ref="H151">IF(OR(A151="",E151=""),"",SUMPRODUCT(($A$2:$A$581=A151)*($B$2:$B$581&lt;B151)*$I$2:$I$581))</f>
        <v/>
      </c>
      <c r="I151">
        <f t="shared" si="2"/>
        <v>0</v>
      </c>
    </row>
    <row r="152" spans="1:9" ht="224">
      <c r="A152" t="s">
        <v>2010</v>
      </c>
      <c r="B152">
        <v>1</v>
      </c>
      <c r="C152" t="s">
        <v>395</v>
      </c>
      <c r="D152">
        <v>3</v>
      </c>
      <c r="E152" t="s">
        <v>794</v>
      </c>
      <c r="F152">
        <v>2</v>
      </c>
      <c r="G152" s="10" t="s">
        <v>978</v>
      </c>
      <c r="H152" cm="1">
        <f t="array" ref="H152">IF(OR(A152="",E152=""),"",SUMPRODUCT(($A$2:$A$581=A152)*($B$2:$B$581&lt;B152)*$I$2:$I$581))</f>
        <v>0</v>
      </c>
      <c r="I152">
        <f t="shared" si="2"/>
        <v>2</v>
      </c>
    </row>
    <row r="153" spans="1:9" ht="168">
      <c r="A153" t="s">
        <v>2010</v>
      </c>
      <c r="B153">
        <v>2</v>
      </c>
      <c r="C153" t="s">
        <v>1048</v>
      </c>
      <c r="D153">
        <v>1</v>
      </c>
      <c r="E153" t="s">
        <v>204</v>
      </c>
      <c r="F153">
        <v>1</v>
      </c>
      <c r="G153" s="10" t="s">
        <v>2019</v>
      </c>
      <c r="H153" cm="1">
        <f t="array" ref="H153">IF(OR(A153="",E153=""),"",SUMPRODUCT(($A$2:$A$581=A153)*($B$2:$B$581&lt;B153)*$I$2:$I$581))</f>
        <v>2</v>
      </c>
      <c r="I153">
        <f t="shared" si="2"/>
        <v>1</v>
      </c>
    </row>
    <row r="154" spans="1:9" ht="384">
      <c r="A154" t="s">
        <v>2010</v>
      </c>
      <c r="B154">
        <v>3</v>
      </c>
      <c r="E154" t="s">
        <v>177</v>
      </c>
      <c r="F154">
        <v>1</v>
      </c>
      <c r="G154" s="10" t="s">
        <v>2022</v>
      </c>
      <c r="H154" cm="1">
        <f t="array" ref="H154">IF(OR(A154="",E154=""),"",SUMPRODUCT(($A$2:$A$581=A154)*($B$2:$B$581&lt;B154)*$I$2:$I$581))</f>
        <v>3</v>
      </c>
      <c r="I154">
        <f t="shared" si="2"/>
        <v>1</v>
      </c>
    </row>
    <row r="155" spans="1:9" ht="332">
      <c r="A155" t="s">
        <v>2010</v>
      </c>
      <c r="B155">
        <v>4</v>
      </c>
      <c r="G155" s="10" t="s">
        <v>1085</v>
      </c>
      <c r="H155" t="str" cm="1">
        <f t="array" ref="H155">IF(OR(A155="",E155=""),"",SUMPRODUCT(($A$2:$A$581=A155)*($B$2:$B$581&lt;B155)*$I$2:$I$581))</f>
        <v/>
      </c>
      <c r="I155">
        <f t="shared" si="2"/>
        <v>0</v>
      </c>
    </row>
    <row r="156" spans="1:9">
      <c r="A156" t="s">
        <v>2010</v>
      </c>
      <c r="B156">
        <v>5</v>
      </c>
      <c r="H156" t="str" cm="1">
        <f t="array" ref="H156">IF(OR(A156="",E156=""),"",SUMPRODUCT(($A$2:$A$581=A156)*($B$2:$B$581&lt;B156)*$I$2:$I$581))</f>
        <v/>
      </c>
      <c r="I156">
        <f t="shared" si="2"/>
        <v>0</v>
      </c>
    </row>
    <row r="157" spans="1:9">
      <c r="A157" t="s">
        <v>2010</v>
      </c>
      <c r="B157">
        <v>6</v>
      </c>
      <c r="H157" t="str" cm="1">
        <f t="array" ref="H157">IF(OR(A157="",E157=""),"",SUMPRODUCT(($A$2:$A$581=A157)*($B$2:$B$581&lt;B157)*$I$2:$I$581))</f>
        <v/>
      </c>
      <c r="I157">
        <f t="shared" si="2"/>
        <v>0</v>
      </c>
    </row>
    <row r="158" spans="1:9">
      <c r="A158" t="s">
        <v>2010</v>
      </c>
      <c r="B158">
        <v>7</v>
      </c>
      <c r="H158" t="str" cm="1">
        <f t="array" ref="H158">IF(OR(A158="",E158=""),"",SUMPRODUCT(($A$2:$A$581=A158)*($B$2:$B$581&lt;B158)*$I$2:$I$581))</f>
        <v/>
      </c>
      <c r="I158">
        <f t="shared" si="2"/>
        <v>0</v>
      </c>
    </row>
    <row r="159" spans="1:9">
      <c r="A159" t="s">
        <v>2010</v>
      </c>
      <c r="B159">
        <v>8</v>
      </c>
      <c r="H159" t="str" cm="1">
        <f t="array" ref="H159">IF(OR(A159="",E159=""),"",SUMPRODUCT(($A$2:$A$581=A159)*($B$2:$B$581&lt;B159)*$I$2:$I$581))</f>
        <v/>
      </c>
      <c r="I159">
        <f t="shared" si="2"/>
        <v>0</v>
      </c>
    </row>
    <row r="160" spans="1:9">
      <c r="A160" t="s">
        <v>2010</v>
      </c>
      <c r="B160">
        <v>9</v>
      </c>
      <c r="H160" t="str" cm="1">
        <f t="array" ref="H160">IF(OR(A160="",E160=""),"",SUMPRODUCT(($A$2:$A$581=A160)*($B$2:$B$581&lt;B160)*$I$2:$I$581))</f>
        <v/>
      </c>
      <c r="I160">
        <f t="shared" si="2"/>
        <v>0</v>
      </c>
    </row>
    <row r="161" spans="1:9">
      <c r="A161" t="s">
        <v>2010</v>
      </c>
      <c r="B161">
        <v>10</v>
      </c>
      <c r="H161" t="str" cm="1">
        <f t="array" ref="H161">IF(OR(A161="",E161=""),"",SUMPRODUCT(($A$2:$A$581=A161)*($B$2:$B$581&lt;B161)*$I$2:$I$581))</f>
        <v/>
      </c>
      <c r="I161">
        <f t="shared" si="2"/>
        <v>0</v>
      </c>
    </row>
    <row r="162" spans="1:9" ht="168">
      <c r="A162" t="s">
        <v>2013</v>
      </c>
      <c r="B162">
        <v>1</v>
      </c>
      <c r="C162" t="s">
        <v>287</v>
      </c>
      <c r="D162">
        <v>26</v>
      </c>
      <c r="E162" t="s">
        <v>204</v>
      </c>
      <c r="F162">
        <v>18</v>
      </c>
      <c r="G162" s="10" t="s">
        <v>2016</v>
      </c>
      <c r="H162" cm="1">
        <f t="array" ref="H162">IF(OR(A162="",E162=""),"",SUMPRODUCT(($A$2:$A$581=A162)*($B$2:$B$581&lt;B162)*$I$2:$I$581))</f>
        <v>0</v>
      </c>
      <c r="I162">
        <f t="shared" si="2"/>
        <v>5</v>
      </c>
    </row>
    <row r="163" spans="1:9" ht="224">
      <c r="A163" t="s">
        <v>2013</v>
      </c>
      <c r="B163">
        <v>2</v>
      </c>
      <c r="C163" t="s">
        <v>1193</v>
      </c>
      <c r="D163">
        <v>2</v>
      </c>
      <c r="E163" t="s">
        <v>244</v>
      </c>
      <c r="F163">
        <v>7</v>
      </c>
      <c r="G163" s="10" t="s">
        <v>1200</v>
      </c>
      <c r="H163" cm="1">
        <f t="array" ref="H163">IF(OR(A163="",E163=""),"",SUMPRODUCT(($A$2:$A$581=A163)*($B$2:$B$581&lt;B163)*$I$2:$I$581))</f>
        <v>5</v>
      </c>
      <c r="I163">
        <f t="shared" si="2"/>
        <v>5</v>
      </c>
    </row>
    <row r="164" spans="1:9" ht="358">
      <c r="A164" t="s">
        <v>2013</v>
      </c>
      <c r="B164">
        <v>3</v>
      </c>
      <c r="C164" t="s">
        <v>202</v>
      </c>
      <c r="D164">
        <v>2</v>
      </c>
      <c r="E164" t="s">
        <v>177</v>
      </c>
      <c r="F164">
        <v>5</v>
      </c>
      <c r="G164" s="10" t="s">
        <v>2027</v>
      </c>
      <c r="H164" cm="1">
        <f t="array" ref="H164">IF(OR(A164="",E164=""),"",SUMPRODUCT(($A$2:$A$581=A164)*($B$2:$B$581&lt;B164)*$I$2:$I$581))</f>
        <v>10</v>
      </c>
      <c r="I164">
        <f t="shared" si="2"/>
        <v>5</v>
      </c>
    </row>
    <row r="165" spans="1:9" ht="182">
      <c r="A165" t="s">
        <v>2013</v>
      </c>
      <c r="B165">
        <v>4</v>
      </c>
      <c r="C165" t="s">
        <v>339</v>
      </c>
      <c r="D165">
        <v>2</v>
      </c>
      <c r="E165" t="s">
        <v>185</v>
      </c>
      <c r="F165">
        <v>4</v>
      </c>
      <c r="G165" s="10" t="s">
        <v>2090</v>
      </c>
      <c r="H165" cm="1">
        <f t="array" ref="H165">IF(OR(A165="",E165=""),"",SUMPRODUCT(($A$2:$A$581=A165)*($B$2:$B$581&lt;B165)*$I$2:$I$581))</f>
        <v>15</v>
      </c>
      <c r="I165">
        <f t="shared" si="2"/>
        <v>4</v>
      </c>
    </row>
    <row r="166" spans="1:9" ht="210">
      <c r="A166" t="s">
        <v>2013</v>
      </c>
      <c r="B166">
        <v>5</v>
      </c>
      <c r="C166" t="s">
        <v>1048</v>
      </c>
      <c r="D166">
        <v>1</v>
      </c>
      <c r="E166" t="s">
        <v>794</v>
      </c>
      <c r="F166">
        <v>3</v>
      </c>
      <c r="G166" s="10" t="s">
        <v>2093</v>
      </c>
      <c r="H166" cm="1">
        <f t="array" ref="H166">IF(OR(A166="",E166=""),"",SUMPRODUCT(($A$2:$A$581=A166)*($B$2:$B$581&lt;B166)*$I$2:$I$581))</f>
        <v>19</v>
      </c>
      <c r="I166">
        <f t="shared" si="2"/>
        <v>3</v>
      </c>
    </row>
    <row r="167" spans="1:9" ht="210">
      <c r="A167" t="s">
        <v>2013</v>
      </c>
      <c r="B167">
        <v>6</v>
      </c>
      <c r="C167" t="s">
        <v>241</v>
      </c>
      <c r="D167">
        <v>1</v>
      </c>
      <c r="E167" t="s">
        <v>1060</v>
      </c>
      <c r="F167">
        <v>1</v>
      </c>
      <c r="G167" s="10" t="s">
        <v>2156</v>
      </c>
      <c r="H167" cm="1">
        <f t="array" ref="H167">IF(OR(A167="",E167=""),"",SUMPRODUCT(($A$2:$A$581=A167)*($B$2:$B$581&lt;B167)*$I$2:$I$581))</f>
        <v>22</v>
      </c>
      <c r="I167">
        <f t="shared" si="2"/>
        <v>1</v>
      </c>
    </row>
    <row r="168" spans="1:9">
      <c r="A168" t="s">
        <v>2013</v>
      </c>
      <c r="B168">
        <v>7</v>
      </c>
      <c r="C168" t="s">
        <v>350</v>
      </c>
      <c r="D168">
        <v>1</v>
      </c>
      <c r="G168" t="s">
        <v>2226</v>
      </c>
      <c r="H168" t="str" cm="1">
        <f t="array" ref="H168">IF(OR(A168="",E168=""),"",SUMPRODUCT(($A$2:$A$581=A168)*($B$2:$B$581&lt;B168)*$I$2:$I$581))</f>
        <v/>
      </c>
      <c r="I168">
        <f t="shared" si="2"/>
        <v>0</v>
      </c>
    </row>
    <row r="169" spans="1:9" ht="293">
      <c r="A169" t="s">
        <v>2013</v>
      </c>
      <c r="B169">
        <v>8</v>
      </c>
      <c r="C169" t="s">
        <v>355</v>
      </c>
      <c r="D169">
        <v>1</v>
      </c>
      <c r="G169" s="10" t="s">
        <v>2235</v>
      </c>
      <c r="H169" t="str" cm="1">
        <f t="array" ref="H169">IF(OR(A169="",E169=""),"",SUMPRODUCT(($A$2:$A$581=A169)*($B$2:$B$581&lt;B169)*$I$2:$I$581))</f>
        <v/>
      </c>
      <c r="I169">
        <f t="shared" si="2"/>
        <v>0</v>
      </c>
    </row>
    <row r="170" spans="1:9" ht="384">
      <c r="A170" t="s">
        <v>2013</v>
      </c>
      <c r="B170">
        <v>9</v>
      </c>
      <c r="C170" t="s">
        <v>366</v>
      </c>
      <c r="D170">
        <v>1</v>
      </c>
      <c r="G170" s="10" t="s">
        <v>2241</v>
      </c>
      <c r="H170" t="str" cm="1">
        <f t="array" ref="H170">IF(OR(A170="",E170=""),"",SUMPRODUCT(($A$2:$A$581=A170)*($B$2:$B$581&lt;B170)*$I$2:$I$581))</f>
        <v/>
      </c>
      <c r="I170">
        <f t="shared" si="2"/>
        <v>0</v>
      </c>
    </row>
    <row r="171" spans="1:9" ht="306">
      <c r="A171" t="s">
        <v>2013</v>
      </c>
      <c r="B171">
        <v>10</v>
      </c>
      <c r="C171" t="s">
        <v>2612</v>
      </c>
      <c r="D171">
        <v>1</v>
      </c>
      <c r="G171" s="10" t="s">
        <v>2244</v>
      </c>
      <c r="H171" t="str" cm="1">
        <f t="array" ref="H171">IF(OR(A171="",E171=""),"",SUMPRODUCT(($A$2:$A$581=A171)*($B$2:$B$581&lt;B171)*$I$2:$I$581))</f>
        <v/>
      </c>
      <c r="I171">
        <f t="shared" si="2"/>
        <v>0</v>
      </c>
    </row>
    <row r="172" spans="1:9" ht="384">
      <c r="A172" t="s">
        <v>2028</v>
      </c>
      <c r="B172">
        <v>1</v>
      </c>
      <c r="C172" t="s">
        <v>355</v>
      </c>
      <c r="D172">
        <v>9</v>
      </c>
      <c r="E172" t="s">
        <v>204</v>
      </c>
      <c r="F172">
        <v>23</v>
      </c>
      <c r="G172" s="10" t="s">
        <v>2031</v>
      </c>
      <c r="H172" cm="1">
        <f t="array" ref="H172">IF(OR(A172="",E172=""),"",SUMPRODUCT(($A$2:$A$581=A172)*($B$2:$B$581&lt;B172)*$I$2:$I$581))</f>
        <v>0</v>
      </c>
      <c r="I172">
        <f t="shared" si="2"/>
        <v>5</v>
      </c>
    </row>
    <row r="173" spans="1:9" ht="358">
      <c r="A173" t="s">
        <v>2028</v>
      </c>
      <c r="B173">
        <v>2</v>
      </c>
      <c r="C173" t="s">
        <v>196</v>
      </c>
      <c r="D173">
        <v>8</v>
      </c>
      <c r="E173" t="s">
        <v>177</v>
      </c>
      <c r="F173">
        <v>16</v>
      </c>
      <c r="G173" s="10" t="s">
        <v>2034</v>
      </c>
      <c r="H173" cm="1">
        <f t="array" ref="H173">IF(OR(A173="",E173=""),"",SUMPRODUCT(($A$2:$A$581=A173)*($B$2:$B$581&lt;B173)*$I$2:$I$581))</f>
        <v>5</v>
      </c>
      <c r="I173">
        <f t="shared" si="2"/>
        <v>5</v>
      </c>
    </row>
    <row r="174" spans="1:9" ht="224">
      <c r="A174" t="s">
        <v>2028</v>
      </c>
      <c r="B174">
        <v>3</v>
      </c>
      <c r="C174" t="s">
        <v>230</v>
      </c>
      <c r="D174">
        <v>8</v>
      </c>
      <c r="E174" t="s">
        <v>185</v>
      </c>
      <c r="F174">
        <v>10</v>
      </c>
      <c r="G174" s="10" t="s">
        <v>2042</v>
      </c>
      <c r="H174" cm="1">
        <f t="array" ref="H174">IF(OR(A174="",E174=""),"",SUMPRODUCT(($A$2:$A$581=A174)*($B$2:$B$581&lt;B174)*$I$2:$I$581))</f>
        <v>10</v>
      </c>
      <c r="I174">
        <f t="shared" si="2"/>
        <v>5</v>
      </c>
    </row>
    <row r="175" spans="1:9" ht="252">
      <c r="A175" t="s">
        <v>2028</v>
      </c>
      <c r="B175">
        <v>4</v>
      </c>
      <c r="C175" t="s">
        <v>333</v>
      </c>
      <c r="D175">
        <v>6</v>
      </c>
      <c r="E175" t="s">
        <v>794</v>
      </c>
      <c r="F175">
        <v>6</v>
      </c>
      <c r="G175" s="10" t="s">
        <v>2045</v>
      </c>
      <c r="H175" cm="1">
        <f t="array" ref="H175">IF(OR(A175="",E175=""),"",SUMPRODUCT(($A$2:$A$581=A175)*($B$2:$B$581&lt;B175)*$I$2:$I$581))</f>
        <v>15</v>
      </c>
      <c r="I175">
        <f t="shared" si="2"/>
        <v>5</v>
      </c>
    </row>
    <row r="176" spans="1:9" ht="371">
      <c r="A176" t="s">
        <v>2028</v>
      </c>
      <c r="B176">
        <v>5</v>
      </c>
      <c r="C176" t="s">
        <v>350</v>
      </c>
      <c r="D176">
        <v>5</v>
      </c>
      <c r="E176" t="s">
        <v>2054</v>
      </c>
      <c r="F176">
        <v>3</v>
      </c>
      <c r="G176" s="10" t="s">
        <v>2053</v>
      </c>
      <c r="H176" cm="1">
        <f t="array" ref="H176">IF(OR(A176="",E176=""),"",SUMPRODUCT(($A$2:$A$581=A176)*($B$2:$B$581&lt;B176)*$I$2:$I$581))</f>
        <v>20</v>
      </c>
      <c r="I176">
        <f t="shared" si="2"/>
        <v>3</v>
      </c>
    </row>
    <row r="177" spans="1:9" ht="224">
      <c r="A177" t="s">
        <v>2028</v>
      </c>
      <c r="B177">
        <v>6</v>
      </c>
      <c r="C177" t="s">
        <v>181</v>
      </c>
      <c r="D177">
        <v>3</v>
      </c>
      <c r="E177" t="s">
        <v>1060</v>
      </c>
      <c r="F177">
        <v>2</v>
      </c>
      <c r="G177" s="10" t="s">
        <v>2057</v>
      </c>
      <c r="H177" cm="1">
        <f t="array" ref="H177">IF(OR(A177="",E177=""),"",SUMPRODUCT(($A$2:$A$581=A177)*($B$2:$B$581&lt;B177)*$I$2:$I$581))</f>
        <v>23</v>
      </c>
      <c r="I177">
        <f t="shared" si="2"/>
        <v>2</v>
      </c>
    </row>
    <row r="178" spans="1:9" ht="168">
      <c r="A178" t="s">
        <v>2028</v>
      </c>
      <c r="B178">
        <v>7</v>
      </c>
      <c r="C178" t="s">
        <v>307</v>
      </c>
      <c r="D178">
        <v>3</v>
      </c>
      <c r="E178" t="s">
        <v>329</v>
      </c>
      <c r="F178">
        <v>1</v>
      </c>
      <c r="G178" s="10" t="s">
        <v>2060</v>
      </c>
      <c r="H178" cm="1">
        <f t="array" ref="H178">IF(OR(A178="",E178=""),"",SUMPRODUCT(($A$2:$A$581=A178)*($B$2:$B$581&lt;B178)*$I$2:$I$581))</f>
        <v>25</v>
      </c>
      <c r="I178">
        <f t="shared" si="2"/>
        <v>1</v>
      </c>
    </row>
    <row r="179" spans="1:9" ht="210">
      <c r="A179" t="s">
        <v>2028</v>
      </c>
      <c r="B179">
        <v>8</v>
      </c>
      <c r="C179" t="s">
        <v>318</v>
      </c>
      <c r="D179">
        <v>3</v>
      </c>
      <c r="E179" t="s">
        <v>953</v>
      </c>
      <c r="F179">
        <v>1</v>
      </c>
      <c r="G179" s="10" t="s">
        <v>2063</v>
      </c>
      <c r="H179" cm="1">
        <f t="array" ref="H179">IF(OR(A179="",E179=""),"",SUMPRODUCT(($A$2:$A$581=A179)*($B$2:$B$581&lt;B179)*$I$2:$I$581))</f>
        <v>26</v>
      </c>
      <c r="I179">
        <f t="shared" si="2"/>
        <v>1</v>
      </c>
    </row>
    <row r="180" spans="1:9" ht="266">
      <c r="A180" t="s">
        <v>2028</v>
      </c>
      <c r="B180">
        <v>9</v>
      </c>
      <c r="C180" t="s">
        <v>241</v>
      </c>
      <c r="D180">
        <v>2</v>
      </c>
      <c r="E180" t="s">
        <v>2537</v>
      </c>
      <c r="F180">
        <v>1</v>
      </c>
      <c r="G180" s="10" t="s">
        <v>2076</v>
      </c>
      <c r="H180" cm="1">
        <f t="array" ref="H180">IF(OR(A180="",E180=""),"",SUMPRODUCT(($A$2:$A$581=A180)*($B$2:$B$581&lt;B180)*$I$2:$I$581))</f>
        <v>27</v>
      </c>
      <c r="I180">
        <f t="shared" si="2"/>
        <v>1</v>
      </c>
    </row>
    <row r="181" spans="1:9" ht="196">
      <c r="A181" t="s">
        <v>2028</v>
      </c>
      <c r="B181">
        <v>10</v>
      </c>
      <c r="C181" t="s">
        <v>276</v>
      </c>
      <c r="D181">
        <v>2</v>
      </c>
      <c r="G181" s="10" t="s">
        <v>2096</v>
      </c>
      <c r="H181" t="str" cm="1">
        <f t="array" ref="H181">IF(OR(A181="",E181=""),"",SUMPRODUCT(($A$2:$A$581=A181)*($B$2:$B$581&lt;B181)*$I$2:$I$581))</f>
        <v/>
      </c>
      <c r="I181">
        <f t="shared" si="2"/>
        <v>0</v>
      </c>
    </row>
    <row r="182" spans="1:9" ht="238">
      <c r="A182" t="s">
        <v>2035</v>
      </c>
      <c r="B182">
        <v>1</v>
      </c>
      <c r="C182" t="s">
        <v>261</v>
      </c>
      <c r="D182">
        <v>13</v>
      </c>
      <c r="E182" t="s">
        <v>185</v>
      </c>
      <c r="F182">
        <v>10</v>
      </c>
      <c r="G182" s="10" t="s">
        <v>188</v>
      </c>
      <c r="H182" cm="1">
        <f t="array" ref="H182">IF(OR(A182="",E182=""),"",SUMPRODUCT(($A$2:$A$581=A182)*($B$2:$B$581&lt;B182)*$I$2:$I$581))</f>
        <v>0</v>
      </c>
      <c r="I182">
        <f t="shared" si="2"/>
        <v>5</v>
      </c>
    </row>
    <row r="183" spans="1:9" ht="280">
      <c r="A183" t="s">
        <v>2035</v>
      </c>
      <c r="B183">
        <v>2</v>
      </c>
      <c r="C183" t="s">
        <v>241</v>
      </c>
      <c r="D183">
        <v>4</v>
      </c>
      <c r="E183" t="s">
        <v>177</v>
      </c>
      <c r="F183">
        <v>8</v>
      </c>
      <c r="G183" s="10" t="s">
        <v>1326</v>
      </c>
      <c r="H183" cm="1">
        <f t="array" ref="H183">IF(OR(A183="",E183=""),"",SUMPRODUCT(($A$2:$A$581=A183)*($B$2:$B$581&lt;B183)*$I$2:$I$581))</f>
        <v>5</v>
      </c>
      <c r="I183">
        <f t="shared" si="2"/>
        <v>5</v>
      </c>
    </row>
    <row r="184" spans="1:9" ht="224">
      <c r="A184" t="s">
        <v>2035</v>
      </c>
      <c r="B184">
        <v>3</v>
      </c>
      <c r="C184" t="s">
        <v>276</v>
      </c>
      <c r="D184">
        <v>4</v>
      </c>
      <c r="E184" t="s">
        <v>204</v>
      </c>
      <c r="F184">
        <v>7</v>
      </c>
      <c r="G184" s="10" t="s">
        <v>2079</v>
      </c>
      <c r="H184" cm="1">
        <f t="array" ref="H184">IF(OR(A184="",E184=""),"",SUMPRODUCT(($A$2:$A$581=A184)*($B$2:$B$581&lt;B184)*$I$2:$I$581))</f>
        <v>10</v>
      </c>
      <c r="I184">
        <f t="shared" si="2"/>
        <v>5</v>
      </c>
    </row>
    <row r="185" spans="1:9" ht="306">
      <c r="A185" t="s">
        <v>2035</v>
      </c>
      <c r="B185">
        <v>4</v>
      </c>
      <c r="C185" t="s">
        <v>181</v>
      </c>
      <c r="D185">
        <v>2</v>
      </c>
      <c r="E185" t="s">
        <v>272</v>
      </c>
      <c r="F185">
        <v>4</v>
      </c>
      <c r="G185" s="10" t="s">
        <v>2099</v>
      </c>
      <c r="H185" cm="1">
        <f t="array" ref="H185">IF(OR(A185="",E185=""),"",SUMPRODUCT(($A$2:$A$581=A185)*($B$2:$B$581&lt;B185)*$I$2:$I$581))</f>
        <v>15</v>
      </c>
      <c r="I185">
        <f t="shared" si="2"/>
        <v>4</v>
      </c>
    </row>
    <row r="186" spans="1:9" ht="126">
      <c r="A186" t="s">
        <v>2035</v>
      </c>
      <c r="B186">
        <v>5</v>
      </c>
      <c r="C186" t="s">
        <v>307</v>
      </c>
      <c r="D186">
        <v>2</v>
      </c>
      <c r="E186" t="s">
        <v>244</v>
      </c>
      <c r="F186">
        <v>1</v>
      </c>
      <c r="G186" s="10" t="s">
        <v>2121</v>
      </c>
      <c r="H186" cm="1">
        <f t="array" ref="H186">IF(OR(A186="",E186=""),"",SUMPRODUCT(($A$2:$A$581=A186)*($B$2:$B$581&lt;B186)*$I$2:$I$581))</f>
        <v>19</v>
      </c>
      <c r="I186">
        <f t="shared" si="2"/>
        <v>1</v>
      </c>
    </row>
    <row r="187" spans="1:9" ht="210">
      <c r="A187" t="s">
        <v>2035</v>
      </c>
      <c r="B187">
        <v>6</v>
      </c>
      <c r="C187" t="s">
        <v>196</v>
      </c>
      <c r="D187">
        <v>1</v>
      </c>
      <c r="E187" t="s">
        <v>794</v>
      </c>
      <c r="F187">
        <v>1</v>
      </c>
      <c r="G187" s="10" t="s">
        <v>2137</v>
      </c>
      <c r="H187" cm="1">
        <f t="array" ref="H187">IF(OR(A187="",E187=""),"",SUMPRODUCT(($A$2:$A$581=A187)*($B$2:$B$581&lt;B187)*$I$2:$I$581))</f>
        <v>20</v>
      </c>
      <c r="I187">
        <f t="shared" si="2"/>
        <v>1</v>
      </c>
    </row>
    <row r="188" spans="1:9" ht="196">
      <c r="A188" t="s">
        <v>2035</v>
      </c>
      <c r="B188">
        <v>7</v>
      </c>
      <c r="C188" t="s">
        <v>225</v>
      </c>
      <c r="D188">
        <v>1</v>
      </c>
      <c r="G188" s="10" t="s">
        <v>2140</v>
      </c>
      <c r="H188" t="str" cm="1">
        <f t="array" ref="H188">IF(OR(A188="",E188=""),"",SUMPRODUCT(($A$2:$A$581=A188)*($B$2:$B$581&lt;B188)*$I$2:$I$581))</f>
        <v/>
      </c>
      <c r="I188">
        <f t="shared" si="2"/>
        <v>0</v>
      </c>
    </row>
    <row r="189" spans="1:9" ht="293">
      <c r="A189" t="s">
        <v>2035</v>
      </c>
      <c r="B189">
        <v>8</v>
      </c>
      <c r="C189" t="s">
        <v>230</v>
      </c>
      <c r="D189">
        <v>1</v>
      </c>
      <c r="G189" s="10" t="s">
        <v>2150</v>
      </c>
      <c r="H189" t="str" cm="1">
        <f t="array" ref="H189">IF(OR(A189="",E189=""),"",SUMPRODUCT(($A$2:$A$581=A189)*($B$2:$B$581&lt;B189)*$I$2:$I$581))</f>
        <v/>
      </c>
      <c r="I189">
        <f t="shared" si="2"/>
        <v>0</v>
      </c>
    </row>
    <row r="190" spans="1:9" ht="371">
      <c r="A190" t="s">
        <v>2035</v>
      </c>
      <c r="B190">
        <v>9</v>
      </c>
      <c r="C190" t="s">
        <v>339</v>
      </c>
      <c r="D190">
        <v>1</v>
      </c>
      <c r="G190" s="10" t="s">
        <v>2153</v>
      </c>
      <c r="H190" t="str" cm="1">
        <f t="array" ref="H190">IF(OR(A190="",E190=""),"",SUMPRODUCT(($A$2:$A$581=A190)*($B$2:$B$581&lt;B190)*$I$2:$I$581))</f>
        <v/>
      </c>
      <c r="I190">
        <f t="shared" si="2"/>
        <v>0</v>
      </c>
    </row>
    <row r="191" spans="1:9" ht="224">
      <c r="A191" t="s">
        <v>2035</v>
      </c>
      <c r="B191">
        <v>10</v>
      </c>
      <c r="C191" t="s">
        <v>787</v>
      </c>
      <c r="D191">
        <v>1</v>
      </c>
      <c r="G191" s="10" t="s">
        <v>2159</v>
      </c>
      <c r="H191" t="str" cm="1">
        <f t="array" ref="H191">IF(OR(A191="",E191=""),"",SUMPRODUCT(($A$2:$A$581=A191)*($B$2:$B$581&lt;B191)*$I$2:$I$581))</f>
        <v/>
      </c>
      <c r="I191">
        <f t="shared" si="2"/>
        <v>0</v>
      </c>
    </row>
    <row r="192" spans="1:9" ht="168">
      <c r="A192" t="s">
        <v>2046</v>
      </c>
      <c r="B192">
        <v>1</v>
      </c>
      <c r="C192" t="s">
        <v>287</v>
      </c>
      <c r="D192">
        <v>78</v>
      </c>
      <c r="E192" t="s">
        <v>204</v>
      </c>
      <c r="F192">
        <v>103</v>
      </c>
      <c r="G192" s="10" t="s">
        <v>2049</v>
      </c>
      <c r="H192" cm="1">
        <f t="array" ref="H192">IF(OR(A192="",E192=""),"",SUMPRODUCT(($A$2:$A$581=A192)*($B$2:$B$581&lt;B192)*$I$2:$I$581))</f>
        <v>0</v>
      </c>
      <c r="I192">
        <f t="shared" si="2"/>
        <v>5</v>
      </c>
    </row>
    <row r="193" spans="1:9">
      <c r="A193" t="s">
        <v>2046</v>
      </c>
      <c r="B193">
        <v>2</v>
      </c>
      <c r="C193" t="s">
        <v>339</v>
      </c>
      <c r="D193">
        <v>9</v>
      </c>
      <c r="E193" t="s">
        <v>953</v>
      </c>
      <c r="F193">
        <v>7</v>
      </c>
      <c r="G193" t="s">
        <v>2066</v>
      </c>
      <c r="H193" cm="1">
        <f t="array" ref="H193">IF(OR(A193="",E193=""),"",SUMPRODUCT(($A$2:$A$581=A193)*($B$2:$B$581&lt;B193)*$I$2:$I$581))</f>
        <v>5</v>
      </c>
      <c r="I193">
        <f t="shared" si="2"/>
        <v>5</v>
      </c>
    </row>
    <row r="194" spans="1:9" ht="98">
      <c r="A194" t="s">
        <v>2046</v>
      </c>
      <c r="B194">
        <v>3</v>
      </c>
      <c r="C194" t="s">
        <v>196</v>
      </c>
      <c r="D194">
        <v>8</v>
      </c>
      <c r="E194" t="s">
        <v>185</v>
      </c>
      <c r="F194">
        <v>2</v>
      </c>
      <c r="G194" s="10" t="s">
        <v>2072</v>
      </c>
      <c r="H194" cm="1">
        <f t="array" ref="H194">IF(OR(A194="",E194=""),"",SUMPRODUCT(($A$2:$A$581=A194)*($B$2:$B$581&lt;B194)*$I$2:$I$581))</f>
        <v>10</v>
      </c>
      <c r="I194">
        <f t="shared" si="2"/>
        <v>2</v>
      </c>
    </row>
    <row r="195" spans="1:9" ht="224">
      <c r="A195" t="s">
        <v>2046</v>
      </c>
      <c r="B195">
        <v>4</v>
      </c>
      <c r="C195" t="s">
        <v>276</v>
      </c>
      <c r="D195">
        <v>7</v>
      </c>
      <c r="E195" t="s">
        <v>794</v>
      </c>
      <c r="F195">
        <v>2</v>
      </c>
      <c r="G195" s="10" t="s">
        <v>1819</v>
      </c>
      <c r="H195" cm="1">
        <f t="array" ref="H195">IF(OR(A195="",E195=""),"",SUMPRODUCT(($A$2:$A$581=A195)*($B$2:$B$581&lt;B195)*$I$2:$I$581))</f>
        <v>12</v>
      </c>
      <c r="I195">
        <f t="shared" ref="I195:I258" si="3">IF(OR(A195="",E195="",NOT(ISNUMBER(F195))),0,MIN(F195,5))</f>
        <v>2</v>
      </c>
    </row>
    <row r="196" spans="1:9" ht="182">
      <c r="A196" t="s">
        <v>2046</v>
      </c>
      <c r="B196">
        <v>5</v>
      </c>
      <c r="C196" t="s">
        <v>318</v>
      </c>
      <c r="D196">
        <v>6</v>
      </c>
      <c r="E196" t="s">
        <v>177</v>
      </c>
      <c r="F196">
        <v>1</v>
      </c>
      <c r="G196" s="10" t="s">
        <v>2082</v>
      </c>
      <c r="H196" cm="1">
        <f t="array" ref="H196">IF(OR(A196="",E196=""),"",SUMPRODUCT(($A$2:$A$581=A196)*($B$2:$B$581&lt;B196)*$I$2:$I$581))</f>
        <v>14</v>
      </c>
      <c r="I196">
        <f t="shared" si="3"/>
        <v>1</v>
      </c>
    </row>
    <row r="197" spans="1:9" ht="154">
      <c r="A197" t="s">
        <v>2046</v>
      </c>
      <c r="B197">
        <v>6</v>
      </c>
      <c r="C197" t="s">
        <v>230</v>
      </c>
      <c r="D197">
        <v>2</v>
      </c>
      <c r="E197" t="s">
        <v>329</v>
      </c>
      <c r="F197">
        <v>1</v>
      </c>
      <c r="G197" s="10" t="s">
        <v>2086</v>
      </c>
      <c r="H197" cm="1">
        <f t="array" ref="H197">IF(OR(A197="",E197=""),"",SUMPRODUCT(($A$2:$A$581=A197)*($B$2:$B$581&lt;B197)*$I$2:$I$581))</f>
        <v>15</v>
      </c>
      <c r="I197">
        <f t="shared" si="3"/>
        <v>1</v>
      </c>
    </row>
    <row r="198" spans="1:9" ht="168">
      <c r="A198" t="s">
        <v>2046</v>
      </c>
      <c r="B198">
        <v>7</v>
      </c>
      <c r="C198" t="s">
        <v>624</v>
      </c>
      <c r="D198">
        <v>2</v>
      </c>
      <c r="E198" t="s">
        <v>244</v>
      </c>
      <c r="F198">
        <v>1</v>
      </c>
      <c r="G198" s="10" t="s">
        <v>2112</v>
      </c>
      <c r="H198" cm="1">
        <f t="array" ref="H198">IF(OR(A198="",E198=""),"",SUMPRODUCT(($A$2:$A$581=A198)*($B$2:$B$581&lt;B198)*$I$2:$I$581))</f>
        <v>16</v>
      </c>
      <c r="I198">
        <f t="shared" si="3"/>
        <v>1</v>
      </c>
    </row>
    <row r="199" spans="1:9" ht="140">
      <c r="A199" t="s">
        <v>2046</v>
      </c>
      <c r="B199">
        <v>8</v>
      </c>
      <c r="C199" t="s">
        <v>355</v>
      </c>
      <c r="D199">
        <v>2</v>
      </c>
      <c r="E199" t="s">
        <v>1060</v>
      </c>
      <c r="F199">
        <v>1</v>
      </c>
      <c r="G199" s="10" t="s">
        <v>2115</v>
      </c>
      <c r="H199" cm="1">
        <f t="array" ref="H199">IF(OR(A199="",E199=""),"",SUMPRODUCT(($A$2:$A$581=A199)*($B$2:$B$581&lt;B199)*$I$2:$I$581))</f>
        <v>17</v>
      </c>
      <c r="I199">
        <f t="shared" si="3"/>
        <v>1</v>
      </c>
    </row>
    <row r="200" spans="1:9" ht="210">
      <c r="A200" t="s">
        <v>2046</v>
      </c>
      <c r="B200">
        <v>9</v>
      </c>
      <c r="C200" t="s">
        <v>241</v>
      </c>
      <c r="D200">
        <v>1</v>
      </c>
      <c r="G200" s="10" t="s">
        <v>2146</v>
      </c>
      <c r="H200" t="str" cm="1">
        <f t="array" ref="H200">IF(OR(A200="",E200=""),"",SUMPRODUCT(($A$2:$A$581=A200)*($B$2:$B$581&lt;B200)*$I$2:$I$581))</f>
        <v/>
      </c>
      <c r="I200">
        <f t="shared" si="3"/>
        <v>0</v>
      </c>
    </row>
    <row r="201" spans="1:9" ht="345">
      <c r="A201" t="s">
        <v>2046</v>
      </c>
      <c r="B201">
        <v>10</v>
      </c>
      <c r="C201" t="s">
        <v>649</v>
      </c>
      <c r="D201">
        <v>1</v>
      </c>
      <c r="G201" s="10" t="s">
        <v>2202</v>
      </c>
      <c r="H201" t="str" cm="1">
        <f t="array" ref="H201">IF(OR(A201="",E201=""),"",SUMPRODUCT(($A$2:$A$581=A201)*($B$2:$B$581&lt;B201)*$I$2:$I$581))</f>
        <v/>
      </c>
      <c r="I201">
        <f t="shared" si="3"/>
        <v>0</v>
      </c>
    </row>
    <row r="202" spans="1:9" ht="409.6">
      <c r="A202" t="s">
        <v>2617</v>
      </c>
      <c r="B202">
        <v>1</v>
      </c>
      <c r="C202" t="s">
        <v>307</v>
      </c>
      <c r="D202">
        <v>6</v>
      </c>
      <c r="E202" t="s">
        <v>204</v>
      </c>
      <c r="F202">
        <v>28</v>
      </c>
      <c r="G202" s="10" t="s">
        <v>2620</v>
      </c>
      <c r="H202" cm="1">
        <f t="array" ref="H202">IF(OR(A202="",E202=""),"",SUMPRODUCT(($A$2:$A$581=A202)*($B$2:$B$581&lt;B202)*$I$2:$I$581))</f>
        <v>0</v>
      </c>
      <c r="I202">
        <f t="shared" si="3"/>
        <v>5</v>
      </c>
    </row>
    <row r="203" spans="1:9" ht="182">
      <c r="A203" t="s">
        <v>2617</v>
      </c>
      <c r="B203">
        <v>2</v>
      </c>
      <c r="C203" t="s">
        <v>1776</v>
      </c>
      <c r="D203">
        <v>6</v>
      </c>
      <c r="E203" t="s">
        <v>1060</v>
      </c>
      <c r="F203">
        <v>2</v>
      </c>
      <c r="G203" s="10" t="s">
        <v>2623</v>
      </c>
      <c r="H203" cm="1">
        <f t="array" ref="H203">IF(OR(A203="",E203=""),"",SUMPRODUCT(($A$2:$A$581=A203)*($B$2:$B$581&lt;B203)*$I$2:$I$581))</f>
        <v>5</v>
      </c>
      <c r="I203">
        <f t="shared" si="3"/>
        <v>2</v>
      </c>
    </row>
    <row r="204" spans="1:9" ht="409.6">
      <c r="A204" t="s">
        <v>2617</v>
      </c>
      <c r="B204">
        <v>3</v>
      </c>
      <c r="C204" t="s">
        <v>241</v>
      </c>
      <c r="D204">
        <v>4</v>
      </c>
      <c r="E204" t="s">
        <v>185</v>
      </c>
      <c r="F204">
        <v>1</v>
      </c>
      <c r="G204" s="10" t="s">
        <v>512</v>
      </c>
      <c r="H204" cm="1">
        <f t="array" ref="H204">IF(OR(A204="",E204=""),"",SUMPRODUCT(($A$2:$A$581=A204)*($B$2:$B$581&lt;B204)*$I$2:$I$581))</f>
        <v>7</v>
      </c>
      <c r="I204">
        <f t="shared" si="3"/>
        <v>1</v>
      </c>
    </row>
    <row r="205" spans="1:9" ht="384">
      <c r="A205" t="s">
        <v>2617</v>
      </c>
      <c r="B205">
        <v>4</v>
      </c>
      <c r="C205" t="s">
        <v>287</v>
      </c>
      <c r="D205">
        <v>3</v>
      </c>
      <c r="E205" t="s">
        <v>329</v>
      </c>
      <c r="F205">
        <v>1</v>
      </c>
      <c r="G205" s="10" t="s">
        <v>2627</v>
      </c>
      <c r="H205" cm="1">
        <f t="array" ref="H205">IF(OR(A205="",E205=""),"",SUMPRODUCT(($A$2:$A$581=A205)*($B$2:$B$581&lt;B205)*$I$2:$I$581))</f>
        <v>8</v>
      </c>
      <c r="I205">
        <f t="shared" si="3"/>
        <v>1</v>
      </c>
    </row>
    <row r="206" spans="1:9" ht="238">
      <c r="A206" t="s">
        <v>2617</v>
      </c>
      <c r="B206">
        <v>5</v>
      </c>
      <c r="C206" t="s">
        <v>230</v>
      </c>
      <c r="D206">
        <v>2</v>
      </c>
      <c r="G206" s="10" t="s">
        <v>885</v>
      </c>
      <c r="H206" t="str" cm="1">
        <f t="array" ref="H206">IF(OR(A206="",E206=""),"",SUMPRODUCT(($A$2:$A$581=A206)*($B$2:$B$581&lt;B206)*$I$2:$I$581))</f>
        <v/>
      </c>
      <c r="I206">
        <f t="shared" si="3"/>
        <v>0</v>
      </c>
    </row>
    <row r="207" spans="1:9" ht="293">
      <c r="A207" t="s">
        <v>2617</v>
      </c>
      <c r="B207">
        <v>6</v>
      </c>
      <c r="C207" t="s">
        <v>624</v>
      </c>
      <c r="D207">
        <v>2</v>
      </c>
      <c r="G207" s="10" t="s">
        <v>2631</v>
      </c>
      <c r="H207" t="str" cm="1">
        <f t="array" ref="H207">IF(OR(A207="",E207=""),"",SUMPRODUCT(($A$2:$A$581=A207)*($B$2:$B$581&lt;B207)*$I$2:$I$581))</f>
        <v/>
      </c>
      <c r="I207">
        <f t="shared" si="3"/>
        <v>0</v>
      </c>
    </row>
    <row r="208" spans="1:9" ht="319">
      <c r="A208" t="s">
        <v>2617</v>
      </c>
      <c r="B208">
        <v>7</v>
      </c>
      <c r="C208" t="s">
        <v>355</v>
      </c>
      <c r="D208">
        <v>2</v>
      </c>
      <c r="G208" s="10" t="s">
        <v>535</v>
      </c>
      <c r="H208" t="str" cm="1">
        <f t="array" ref="H208">IF(OR(A208="",E208=""),"",SUMPRODUCT(($A$2:$A$581=A208)*($B$2:$B$581&lt;B208)*$I$2:$I$581))</f>
        <v/>
      </c>
      <c r="I208">
        <f t="shared" si="3"/>
        <v>0</v>
      </c>
    </row>
    <row r="209" spans="1:9" ht="306">
      <c r="A209" t="s">
        <v>2617</v>
      </c>
      <c r="B209">
        <v>8</v>
      </c>
      <c r="C209" t="s">
        <v>261</v>
      </c>
      <c r="D209">
        <v>1</v>
      </c>
      <c r="G209" s="10" t="s">
        <v>2636</v>
      </c>
      <c r="H209" t="str" cm="1">
        <f t="array" ref="H209">IF(OR(A209="",E209=""),"",SUMPRODUCT(($A$2:$A$581=A209)*($B$2:$B$581&lt;B209)*$I$2:$I$581))</f>
        <v/>
      </c>
      <c r="I209">
        <f t="shared" si="3"/>
        <v>0</v>
      </c>
    </row>
    <row r="210" spans="1:9" ht="210">
      <c r="A210" t="s">
        <v>2617</v>
      </c>
      <c r="B210">
        <v>9</v>
      </c>
      <c r="C210" t="s">
        <v>276</v>
      </c>
      <c r="D210">
        <v>1</v>
      </c>
      <c r="G210" s="10" t="s">
        <v>2639</v>
      </c>
      <c r="H210" t="str" cm="1">
        <f t="array" ref="H210">IF(OR(A210="",E210=""),"",SUMPRODUCT(($A$2:$A$581=A210)*($B$2:$B$581&lt;B210)*$I$2:$I$581))</f>
        <v/>
      </c>
      <c r="I210">
        <f t="shared" si="3"/>
        <v>0</v>
      </c>
    </row>
    <row r="211" spans="1:9" ht="266">
      <c r="A211" t="s">
        <v>2617</v>
      </c>
      <c r="B211">
        <v>10</v>
      </c>
      <c r="C211" t="s">
        <v>312</v>
      </c>
      <c r="D211">
        <v>1</v>
      </c>
      <c r="G211" s="10" t="s">
        <v>2643</v>
      </c>
      <c r="H211" t="str" cm="1">
        <f t="array" ref="H211">IF(OR(A211="",E211=""),"",SUMPRODUCT(($A$2:$A$581=A211)*($B$2:$B$581&lt;B211)*$I$2:$I$581))</f>
        <v/>
      </c>
      <c r="I211">
        <f t="shared" si="3"/>
        <v>0</v>
      </c>
    </row>
    <row r="212" spans="1:9" ht="345">
      <c r="A212" t="s">
        <v>2694</v>
      </c>
      <c r="B212">
        <v>1</v>
      </c>
      <c r="C212" t="s">
        <v>287</v>
      </c>
      <c r="D212">
        <v>16</v>
      </c>
      <c r="E212" t="s">
        <v>204</v>
      </c>
      <c r="F212">
        <v>86</v>
      </c>
      <c r="G212" s="10" t="s">
        <v>2697</v>
      </c>
      <c r="H212" cm="1">
        <f t="array" ref="H212">IF(OR(A212="",E212=""),"",SUMPRODUCT(($A$2:$A$581=A212)*($B$2:$B$581&lt;B212)*$I$2:$I$581))</f>
        <v>0</v>
      </c>
      <c r="I212">
        <f t="shared" si="3"/>
        <v>5</v>
      </c>
    </row>
    <row r="213" spans="1:9" ht="224">
      <c r="A213" t="s">
        <v>2694</v>
      </c>
      <c r="B213">
        <v>2</v>
      </c>
      <c r="C213" t="s">
        <v>339</v>
      </c>
      <c r="D213">
        <v>16</v>
      </c>
      <c r="E213" t="s">
        <v>794</v>
      </c>
      <c r="F213">
        <v>21</v>
      </c>
      <c r="G213" s="10" t="s">
        <v>2701</v>
      </c>
      <c r="H213" cm="1">
        <f t="array" ref="H213">IF(OR(A213="",E213=""),"",SUMPRODUCT(($A$2:$A$581=A213)*($B$2:$B$581&lt;B213)*$I$2:$I$581))</f>
        <v>5</v>
      </c>
      <c r="I213">
        <f t="shared" si="3"/>
        <v>5</v>
      </c>
    </row>
    <row r="214" spans="1:9" ht="182">
      <c r="A214" t="s">
        <v>2694</v>
      </c>
      <c r="B214">
        <v>3</v>
      </c>
      <c r="C214" t="s">
        <v>355</v>
      </c>
      <c r="D214">
        <v>16</v>
      </c>
      <c r="E214" t="s">
        <v>244</v>
      </c>
      <c r="F214">
        <v>2</v>
      </c>
      <c r="G214" s="10" t="s">
        <v>2704</v>
      </c>
      <c r="H214" cm="1">
        <f t="array" ref="H214">IF(OR(A214="",E214=""),"",SUMPRODUCT(($A$2:$A$581=A214)*($B$2:$B$581&lt;B214)*$I$2:$I$581))</f>
        <v>10</v>
      </c>
      <c r="I214">
        <f t="shared" si="3"/>
        <v>2</v>
      </c>
    </row>
    <row r="215" spans="1:9" ht="182">
      <c r="A215" t="s">
        <v>2694</v>
      </c>
      <c r="B215">
        <v>4</v>
      </c>
      <c r="C215" t="s">
        <v>624</v>
      </c>
      <c r="D215">
        <v>12</v>
      </c>
      <c r="E215" t="s">
        <v>185</v>
      </c>
      <c r="F215">
        <v>2</v>
      </c>
      <c r="G215" s="10" t="s">
        <v>2707</v>
      </c>
      <c r="H215" cm="1">
        <f t="array" ref="H215">IF(OR(A215="",E215=""),"",SUMPRODUCT(($A$2:$A$581=A215)*($B$2:$B$581&lt;B215)*$I$2:$I$581))</f>
        <v>12</v>
      </c>
      <c r="I215">
        <f t="shared" si="3"/>
        <v>2</v>
      </c>
    </row>
    <row r="216" spans="1:9" ht="196">
      <c r="A216" t="s">
        <v>2694</v>
      </c>
      <c r="B216">
        <v>5</v>
      </c>
      <c r="C216" t="s">
        <v>649</v>
      </c>
      <c r="D216">
        <v>11</v>
      </c>
      <c r="E216" t="s">
        <v>1060</v>
      </c>
      <c r="F216">
        <v>2</v>
      </c>
      <c r="G216" s="10" t="s">
        <v>2711</v>
      </c>
      <c r="H216" cm="1">
        <f t="array" ref="H216">IF(OR(A216="",E216=""),"",SUMPRODUCT(($A$2:$A$581=A216)*($B$2:$B$581&lt;B216)*$I$2:$I$581))</f>
        <v>14</v>
      </c>
      <c r="I216">
        <f t="shared" si="3"/>
        <v>2</v>
      </c>
    </row>
    <row r="217" spans="1:9" ht="409.6">
      <c r="A217" t="s">
        <v>2694</v>
      </c>
      <c r="B217">
        <v>6</v>
      </c>
      <c r="C217" t="s">
        <v>350</v>
      </c>
      <c r="D217">
        <v>8</v>
      </c>
      <c r="E217" t="s">
        <v>272</v>
      </c>
      <c r="F217">
        <v>1</v>
      </c>
      <c r="G217" s="10" t="s">
        <v>2715</v>
      </c>
      <c r="H217" cm="1">
        <f t="array" ref="H217">IF(OR(A217="",E217=""),"",SUMPRODUCT(($A$2:$A$581=A217)*($B$2:$B$581&lt;B217)*$I$2:$I$581))</f>
        <v>16</v>
      </c>
      <c r="I217">
        <f t="shared" si="3"/>
        <v>1</v>
      </c>
    </row>
    <row r="218" spans="1:9" ht="196">
      <c r="A218" t="s">
        <v>2694</v>
      </c>
      <c r="B218">
        <v>7</v>
      </c>
      <c r="C218" t="s">
        <v>307</v>
      </c>
      <c r="D218">
        <v>6</v>
      </c>
      <c r="G218" s="10" t="s">
        <v>2718</v>
      </c>
      <c r="H218" t="str" cm="1">
        <f t="array" ref="H218">IF(OR(A218="",E218=""),"",SUMPRODUCT(($A$2:$A$581=A218)*($B$2:$B$581&lt;B218)*$I$2:$I$581))</f>
        <v/>
      </c>
      <c r="I218">
        <f t="shared" si="3"/>
        <v>0</v>
      </c>
    </row>
    <row r="219" spans="1:9" ht="196">
      <c r="A219" t="s">
        <v>2694</v>
      </c>
      <c r="B219">
        <v>8</v>
      </c>
      <c r="C219" t="s">
        <v>318</v>
      </c>
      <c r="D219">
        <v>6</v>
      </c>
      <c r="G219" s="10" t="s">
        <v>2721</v>
      </c>
      <c r="H219" t="str" cm="1">
        <f t="array" ref="H219">IF(OR(A219="",E219=""),"",SUMPRODUCT(($A$2:$A$581=A219)*($B$2:$B$581&lt;B219)*$I$2:$I$581))</f>
        <v/>
      </c>
      <c r="I219">
        <f t="shared" si="3"/>
        <v>0</v>
      </c>
    </row>
    <row r="220" spans="1:9" ht="154">
      <c r="A220" t="s">
        <v>2694</v>
      </c>
      <c r="B220">
        <v>9</v>
      </c>
      <c r="C220" t="s">
        <v>333</v>
      </c>
      <c r="D220">
        <v>5</v>
      </c>
      <c r="G220" s="10" t="s">
        <v>2724</v>
      </c>
      <c r="H220" t="str" cm="1">
        <f t="array" ref="H220">IF(OR(A220="",E220=""),"",SUMPRODUCT(($A$2:$A$581=A220)*($B$2:$B$581&lt;B220)*$I$2:$I$581))</f>
        <v/>
      </c>
      <c r="I220">
        <f t="shared" si="3"/>
        <v>0</v>
      </c>
    </row>
    <row r="221" spans="1:9">
      <c r="A221" t="s">
        <v>2694</v>
      </c>
      <c r="B221">
        <v>10</v>
      </c>
      <c r="C221" t="s">
        <v>225</v>
      </c>
      <c r="D221">
        <v>3</v>
      </c>
      <c r="G221" t="s">
        <v>2727</v>
      </c>
      <c r="H221" t="str" cm="1">
        <f t="array" ref="H221">IF(OR(A221="",E221=""),"",SUMPRODUCT(($A$2:$A$581=A221)*($B$2:$B$581&lt;B221)*$I$2:$I$581))</f>
        <v/>
      </c>
      <c r="I221">
        <f t="shared" si="3"/>
        <v>0</v>
      </c>
    </row>
    <row r="222" spans="1:9">
      <c r="A222" t="s">
        <v>2951</v>
      </c>
      <c r="B222">
        <v>1</v>
      </c>
      <c r="C222" t="s">
        <v>355</v>
      </c>
      <c r="D222">
        <v>39</v>
      </c>
      <c r="E222" t="s">
        <v>204</v>
      </c>
      <c r="F222">
        <v>34</v>
      </c>
      <c r="G222" t="s">
        <v>2954</v>
      </c>
      <c r="H222" cm="1">
        <f t="array" ref="H222">IF(OR(A222="",E222=""),"",SUMPRODUCT(($A$2:$A$581=A222)*($B$2:$B$581&lt;B222)*$I$2:$I$581))</f>
        <v>0</v>
      </c>
      <c r="I222">
        <f t="shared" si="3"/>
        <v>5</v>
      </c>
    </row>
    <row r="223" spans="1:9" ht="168">
      <c r="A223" t="s">
        <v>2951</v>
      </c>
      <c r="B223">
        <v>2</v>
      </c>
      <c r="C223" t="s">
        <v>761</v>
      </c>
      <c r="D223">
        <v>12</v>
      </c>
      <c r="E223" t="s">
        <v>794</v>
      </c>
      <c r="F223">
        <v>24</v>
      </c>
      <c r="G223" s="10" t="s">
        <v>201</v>
      </c>
      <c r="H223" cm="1">
        <f t="array" ref="H223">IF(OR(A223="",E223=""),"",SUMPRODUCT(($A$2:$A$581=A223)*($B$2:$B$581&lt;B223)*$I$2:$I$581))</f>
        <v>5</v>
      </c>
      <c r="I223">
        <f t="shared" si="3"/>
        <v>5</v>
      </c>
    </row>
    <row r="224" spans="1:9" ht="70">
      <c r="A224" t="s">
        <v>2951</v>
      </c>
      <c r="B224">
        <v>3</v>
      </c>
      <c r="C224" t="s">
        <v>230</v>
      </c>
      <c r="D224">
        <v>8</v>
      </c>
      <c r="E224" t="s">
        <v>185</v>
      </c>
      <c r="F224">
        <v>8</v>
      </c>
      <c r="G224" s="10" t="s">
        <v>2958</v>
      </c>
      <c r="H224" cm="1">
        <f t="array" ref="H224">IF(OR(A224="",E224=""),"",SUMPRODUCT(($A$2:$A$581=A224)*($B$2:$B$581&lt;B224)*$I$2:$I$581))</f>
        <v>10</v>
      </c>
      <c r="I224">
        <f t="shared" si="3"/>
        <v>5</v>
      </c>
    </row>
    <row r="225" spans="1:9" ht="238">
      <c r="A225" t="s">
        <v>2951</v>
      </c>
      <c r="B225">
        <v>4</v>
      </c>
      <c r="C225" t="s">
        <v>350</v>
      </c>
      <c r="D225">
        <v>8</v>
      </c>
      <c r="E225" t="s">
        <v>177</v>
      </c>
      <c r="F225">
        <v>6</v>
      </c>
      <c r="G225" s="10" t="s">
        <v>2962</v>
      </c>
      <c r="H225" cm="1">
        <f t="array" ref="H225">IF(OR(A225="",E225=""),"",SUMPRODUCT(($A$2:$A$581=A225)*($B$2:$B$581&lt;B225)*$I$2:$I$581))</f>
        <v>15</v>
      </c>
      <c r="I225">
        <f t="shared" si="3"/>
        <v>5</v>
      </c>
    </row>
    <row r="226" spans="1:9" ht="358">
      <c r="A226" t="s">
        <v>2951</v>
      </c>
      <c r="B226">
        <v>5</v>
      </c>
      <c r="C226" t="s">
        <v>318</v>
      </c>
      <c r="D226">
        <v>5</v>
      </c>
      <c r="E226" t="s">
        <v>1060</v>
      </c>
      <c r="F226">
        <v>3</v>
      </c>
      <c r="G226" s="10" t="s">
        <v>2966</v>
      </c>
      <c r="H226" cm="1">
        <f t="array" ref="H226">IF(OR(A226="",E226=""),"",SUMPRODUCT(($A$2:$A$581=A226)*($B$2:$B$581&lt;B226)*$I$2:$I$581))</f>
        <v>20</v>
      </c>
      <c r="I226">
        <f t="shared" si="3"/>
        <v>3</v>
      </c>
    </row>
    <row r="227" spans="1:9" ht="112">
      <c r="A227" t="s">
        <v>2951</v>
      </c>
      <c r="B227">
        <v>6</v>
      </c>
      <c r="C227" t="s">
        <v>196</v>
      </c>
      <c r="D227">
        <v>4</v>
      </c>
      <c r="E227" t="s">
        <v>2975</v>
      </c>
      <c r="F227">
        <v>1</v>
      </c>
      <c r="G227" s="10" t="s">
        <v>2969</v>
      </c>
      <c r="H227" cm="1">
        <f t="array" ref="H227">IF(OR(A227="",E227=""),"",SUMPRODUCT(($A$2:$A$581=A227)*($B$2:$B$581&lt;B227)*$I$2:$I$581))</f>
        <v>23</v>
      </c>
      <c r="I227">
        <f t="shared" si="3"/>
        <v>1</v>
      </c>
    </row>
    <row r="228" spans="1:9" ht="266">
      <c r="A228" t="s">
        <v>2951</v>
      </c>
      <c r="B228">
        <v>7</v>
      </c>
      <c r="C228" t="s">
        <v>1397</v>
      </c>
      <c r="D228">
        <v>1</v>
      </c>
      <c r="E228" t="s">
        <v>2537</v>
      </c>
      <c r="F228">
        <v>1</v>
      </c>
      <c r="G228" s="10" t="s">
        <v>2972</v>
      </c>
      <c r="H228" cm="1">
        <f t="array" ref="H228">IF(OR(A228="",E228=""),"",SUMPRODUCT(($A$2:$A$581=A228)*($B$2:$B$581&lt;B228)*$I$2:$I$581))</f>
        <v>24</v>
      </c>
      <c r="I228">
        <f t="shared" si="3"/>
        <v>1</v>
      </c>
    </row>
    <row r="229" spans="1:9" ht="224">
      <c r="A229" t="s">
        <v>2951</v>
      </c>
      <c r="B229">
        <v>8</v>
      </c>
      <c r="C229" t="s">
        <v>225</v>
      </c>
      <c r="D229">
        <v>1</v>
      </c>
      <c r="E229" t="s">
        <v>244</v>
      </c>
      <c r="F229">
        <v>1</v>
      </c>
      <c r="G229" s="10" t="s">
        <v>2978</v>
      </c>
      <c r="H229" cm="1">
        <f t="array" ref="H229">IF(OR(A229="",E229=""),"",SUMPRODUCT(($A$2:$A$581=A229)*($B$2:$B$581&lt;B229)*$I$2:$I$581))</f>
        <v>25</v>
      </c>
      <c r="I229">
        <f t="shared" si="3"/>
        <v>1</v>
      </c>
    </row>
    <row r="230" spans="1:9" ht="140">
      <c r="A230" t="s">
        <v>2951</v>
      </c>
      <c r="B230">
        <v>9</v>
      </c>
      <c r="C230" t="s">
        <v>339</v>
      </c>
      <c r="D230">
        <v>1</v>
      </c>
      <c r="E230" t="s">
        <v>3093</v>
      </c>
      <c r="F230">
        <v>1</v>
      </c>
      <c r="G230" s="10" t="s">
        <v>2981</v>
      </c>
      <c r="H230" cm="1">
        <f t="array" ref="H230">IF(OR(A230="",E230=""),"",SUMPRODUCT(($A$2:$A$581=A230)*($B$2:$B$581&lt;B230)*$I$2:$I$581))</f>
        <v>26</v>
      </c>
      <c r="I230">
        <f t="shared" si="3"/>
        <v>1</v>
      </c>
    </row>
    <row r="231" spans="1:9">
      <c r="A231" t="s">
        <v>2951</v>
      </c>
      <c r="B231">
        <v>10</v>
      </c>
      <c r="C231" t="s">
        <v>777</v>
      </c>
      <c r="D231">
        <v>1</v>
      </c>
      <c r="E231" t="s">
        <v>953</v>
      </c>
      <c r="F231">
        <v>1</v>
      </c>
      <c r="G231" t="s">
        <v>2984</v>
      </c>
      <c r="H231" cm="1">
        <f t="array" ref="H231">IF(OR(A231="",E231=""),"",SUMPRODUCT(($A$2:$A$581=A231)*($B$2:$B$581&lt;B231)*$I$2:$I$581))</f>
        <v>27</v>
      </c>
      <c r="I231">
        <f t="shared" si="3"/>
        <v>1</v>
      </c>
    </row>
    <row r="232" spans="1:9">
      <c r="A232" t="s">
        <v>3146</v>
      </c>
      <c r="B232">
        <v>1</v>
      </c>
      <c r="C232" t="s">
        <v>307</v>
      </c>
      <c r="D232">
        <v>1</v>
      </c>
      <c r="E232" t="s">
        <v>177</v>
      </c>
      <c r="F232">
        <v>2</v>
      </c>
      <c r="G232" t="s">
        <v>3149</v>
      </c>
      <c r="H232" cm="1">
        <f t="array" ref="H232">IF(OR(A232="",E232=""),"",SUMPRODUCT(($A$2:$A$581=A232)*($B$2:$B$581&lt;B232)*$I$2:$I$581))</f>
        <v>0</v>
      </c>
      <c r="I232">
        <f t="shared" si="3"/>
        <v>2</v>
      </c>
    </row>
    <row r="233" spans="1:9" ht="238">
      <c r="A233" t="s">
        <v>3146</v>
      </c>
      <c r="B233">
        <v>2</v>
      </c>
      <c r="C233" t="s">
        <v>318</v>
      </c>
      <c r="D233">
        <v>1</v>
      </c>
      <c r="E233" t="s">
        <v>794</v>
      </c>
      <c r="F233">
        <v>1</v>
      </c>
      <c r="G233" s="10" t="s">
        <v>3152</v>
      </c>
      <c r="H233" cm="1">
        <f t="array" ref="H233">IF(OR(A233="",E233=""),"",SUMPRODUCT(($A$2:$A$581=A233)*($B$2:$B$581&lt;B233)*$I$2:$I$581))</f>
        <v>2</v>
      </c>
      <c r="I233">
        <f t="shared" si="3"/>
        <v>1</v>
      </c>
    </row>
    <row r="234" spans="1:9" ht="358">
      <c r="A234" t="s">
        <v>3146</v>
      </c>
      <c r="B234">
        <v>3</v>
      </c>
      <c r="C234" t="s">
        <v>761</v>
      </c>
      <c r="D234">
        <v>1</v>
      </c>
      <c r="G234" s="10" t="s">
        <v>3155</v>
      </c>
      <c r="H234" t="str" cm="1">
        <f t="array" ref="H234">IF(OR(A234="",E234=""),"",SUMPRODUCT(($A$2:$A$581=A234)*($B$2:$B$581&lt;B234)*$I$2:$I$581))</f>
        <v/>
      </c>
      <c r="I234">
        <f t="shared" si="3"/>
        <v>0</v>
      </c>
    </row>
    <row r="235" spans="1:9">
      <c r="A235" t="s">
        <v>3146</v>
      </c>
      <c r="B235">
        <v>4</v>
      </c>
      <c r="H235" t="str" cm="1">
        <f t="array" ref="H235">IF(OR(A235="",E235=""),"",SUMPRODUCT(($A$2:$A$581=A235)*($B$2:$B$581&lt;B235)*$I$2:$I$581))</f>
        <v/>
      </c>
      <c r="I235">
        <f t="shared" si="3"/>
        <v>0</v>
      </c>
    </row>
    <row r="236" spans="1:9">
      <c r="A236" t="s">
        <v>3146</v>
      </c>
      <c r="B236">
        <v>5</v>
      </c>
      <c r="H236" t="str" cm="1">
        <f t="array" ref="H236">IF(OR(A236="",E236=""),"",SUMPRODUCT(($A$2:$A$581=A236)*($B$2:$B$581&lt;B236)*$I$2:$I$581))</f>
        <v/>
      </c>
      <c r="I236">
        <f t="shared" si="3"/>
        <v>0</v>
      </c>
    </row>
    <row r="237" spans="1:9">
      <c r="A237" t="s">
        <v>3146</v>
      </c>
      <c r="B237">
        <v>6</v>
      </c>
      <c r="H237" t="str" cm="1">
        <f t="array" ref="H237">IF(OR(A237="",E237=""),"",SUMPRODUCT(($A$2:$A$581=A237)*($B$2:$B$581&lt;B237)*$I$2:$I$581))</f>
        <v/>
      </c>
      <c r="I237">
        <f t="shared" si="3"/>
        <v>0</v>
      </c>
    </row>
    <row r="238" spans="1:9">
      <c r="A238" t="s">
        <v>3146</v>
      </c>
      <c r="B238">
        <v>7</v>
      </c>
      <c r="H238" t="str" cm="1">
        <f t="array" ref="H238">IF(OR(A238="",E238=""),"",SUMPRODUCT(($A$2:$A$581=A238)*($B$2:$B$581&lt;B238)*$I$2:$I$581))</f>
        <v/>
      </c>
      <c r="I238">
        <f t="shared" si="3"/>
        <v>0</v>
      </c>
    </row>
    <row r="239" spans="1:9">
      <c r="A239" t="s">
        <v>3146</v>
      </c>
      <c r="B239">
        <v>8</v>
      </c>
      <c r="H239" t="str" cm="1">
        <f t="array" ref="H239">IF(OR(A239="",E239=""),"",SUMPRODUCT(($A$2:$A$581=A239)*($B$2:$B$581&lt;B239)*$I$2:$I$581))</f>
        <v/>
      </c>
      <c r="I239">
        <f t="shared" si="3"/>
        <v>0</v>
      </c>
    </row>
    <row r="240" spans="1:9">
      <c r="A240" t="s">
        <v>3146</v>
      </c>
      <c r="B240">
        <v>9</v>
      </c>
      <c r="H240" t="str" cm="1">
        <f t="array" ref="H240">IF(OR(A240="",E240=""),"",SUMPRODUCT(($A$2:$A$581=A240)*($B$2:$B$581&lt;B240)*$I$2:$I$581))</f>
        <v/>
      </c>
      <c r="I240">
        <f t="shared" si="3"/>
        <v>0</v>
      </c>
    </row>
    <row r="241" spans="1:9">
      <c r="A241" t="s">
        <v>3146</v>
      </c>
      <c r="B241">
        <v>10</v>
      </c>
      <c r="H241" t="str" cm="1">
        <f t="array" ref="H241">IF(OR(A241="",E241=""),"",SUMPRODUCT(($A$2:$A$581=A241)*($B$2:$B$581&lt;B241)*$I$2:$I$581))</f>
        <v/>
      </c>
      <c r="I241">
        <f t="shared" si="3"/>
        <v>0</v>
      </c>
    </row>
    <row r="242" spans="1:9" ht="319">
      <c r="A242" t="s">
        <v>3156</v>
      </c>
      <c r="B242">
        <v>1</v>
      </c>
      <c r="C242" t="s">
        <v>196</v>
      </c>
      <c r="D242">
        <v>9</v>
      </c>
      <c r="E242" t="s">
        <v>204</v>
      </c>
      <c r="F242">
        <v>24</v>
      </c>
      <c r="G242" s="10" t="s">
        <v>3159</v>
      </c>
      <c r="H242" cm="1">
        <f t="array" ref="H242">IF(OR(A242="",E242=""),"",SUMPRODUCT(($A$2:$A$581=A242)*($B$2:$B$581&lt;B242)*$I$2:$I$581))</f>
        <v>0</v>
      </c>
      <c r="I242">
        <f t="shared" si="3"/>
        <v>5</v>
      </c>
    </row>
    <row r="243" spans="1:9" ht="397">
      <c r="A243" t="s">
        <v>3156</v>
      </c>
      <c r="B243">
        <v>2</v>
      </c>
      <c r="C243" t="s">
        <v>355</v>
      </c>
      <c r="D243">
        <v>8</v>
      </c>
      <c r="E243" t="s">
        <v>185</v>
      </c>
      <c r="F243">
        <v>12</v>
      </c>
      <c r="G243" s="10" t="s">
        <v>3162</v>
      </c>
      <c r="H243" cm="1">
        <f t="array" ref="H243">IF(OR(A243="",E243=""),"",SUMPRODUCT(($A$2:$A$581=A243)*($B$2:$B$581&lt;B243)*$I$2:$I$581))</f>
        <v>5</v>
      </c>
      <c r="I243">
        <f t="shared" si="3"/>
        <v>5</v>
      </c>
    </row>
    <row r="244" spans="1:9" ht="384">
      <c r="A244" t="s">
        <v>3156</v>
      </c>
      <c r="B244">
        <v>3</v>
      </c>
      <c r="C244" t="s">
        <v>170</v>
      </c>
      <c r="D244">
        <v>4</v>
      </c>
      <c r="E244" t="s">
        <v>177</v>
      </c>
      <c r="F244">
        <v>6</v>
      </c>
      <c r="G244" s="10" t="s">
        <v>2031</v>
      </c>
      <c r="H244" cm="1">
        <f t="array" ref="H244">IF(OR(A244="",E244=""),"",SUMPRODUCT(($A$2:$A$581=A244)*($B$2:$B$581&lt;B244)*$I$2:$I$581))</f>
        <v>10</v>
      </c>
      <c r="I244">
        <f t="shared" si="3"/>
        <v>5</v>
      </c>
    </row>
    <row r="245" spans="1:9" ht="224">
      <c r="A245" t="s">
        <v>3156</v>
      </c>
      <c r="B245">
        <v>4</v>
      </c>
      <c r="C245" t="s">
        <v>181</v>
      </c>
      <c r="D245">
        <v>3</v>
      </c>
      <c r="E245" t="s">
        <v>794</v>
      </c>
      <c r="F245">
        <v>2</v>
      </c>
      <c r="G245" s="10" t="s">
        <v>2042</v>
      </c>
      <c r="H245" cm="1">
        <f t="array" ref="H245">IF(OR(A245="",E245=""),"",SUMPRODUCT(($A$2:$A$581=A245)*($B$2:$B$581&lt;B245)*$I$2:$I$581))</f>
        <v>15</v>
      </c>
      <c r="I245">
        <f t="shared" si="3"/>
        <v>2</v>
      </c>
    </row>
    <row r="246" spans="1:9" ht="319">
      <c r="A246" t="s">
        <v>3156</v>
      </c>
      <c r="B246">
        <v>5</v>
      </c>
      <c r="C246" t="s">
        <v>230</v>
      </c>
      <c r="D246">
        <v>3</v>
      </c>
      <c r="E246" t="s">
        <v>1060</v>
      </c>
      <c r="F246">
        <v>1</v>
      </c>
      <c r="G246" s="10" t="s">
        <v>3169</v>
      </c>
      <c r="H246" cm="1">
        <f t="array" ref="H246">IF(OR(A246="",E246=""),"",SUMPRODUCT(($A$2:$A$581=A246)*($B$2:$B$581&lt;B246)*$I$2:$I$581))</f>
        <v>17</v>
      </c>
      <c r="I246">
        <f t="shared" si="3"/>
        <v>1</v>
      </c>
    </row>
    <row r="247" spans="1:9" ht="280">
      <c r="A247" t="s">
        <v>3156</v>
      </c>
      <c r="B247">
        <v>6</v>
      </c>
      <c r="C247" t="s">
        <v>339</v>
      </c>
      <c r="D247">
        <v>3</v>
      </c>
      <c r="E247" t="s">
        <v>329</v>
      </c>
      <c r="F247">
        <v>1</v>
      </c>
      <c r="G247" s="10" t="s">
        <v>1326</v>
      </c>
      <c r="H247" cm="1">
        <f t="array" ref="H247">IF(OR(A247="",E247=""),"",SUMPRODUCT(($A$2:$A$581=A247)*($B$2:$B$581&lt;B247)*$I$2:$I$581))</f>
        <v>18</v>
      </c>
      <c r="I247">
        <f t="shared" si="3"/>
        <v>1</v>
      </c>
    </row>
    <row r="248" spans="1:9" ht="182">
      <c r="A248" t="s">
        <v>3156</v>
      </c>
      <c r="B248">
        <v>7</v>
      </c>
      <c r="C248" t="s">
        <v>350</v>
      </c>
      <c r="D248">
        <v>3</v>
      </c>
      <c r="E248" t="s">
        <v>953</v>
      </c>
      <c r="F248">
        <v>1</v>
      </c>
      <c r="G248" s="10" t="s">
        <v>408</v>
      </c>
      <c r="H248" cm="1">
        <f t="array" ref="H248">IF(OR(A248="",E248=""),"",SUMPRODUCT(($A$2:$A$581=A248)*($B$2:$B$581&lt;B248)*$I$2:$I$581))</f>
        <v>19</v>
      </c>
      <c r="I248">
        <f t="shared" si="3"/>
        <v>1</v>
      </c>
    </row>
    <row r="249" spans="1:9" ht="371">
      <c r="A249" t="s">
        <v>3156</v>
      </c>
      <c r="B249">
        <v>8</v>
      </c>
      <c r="C249" t="s">
        <v>307</v>
      </c>
      <c r="D249">
        <v>2</v>
      </c>
      <c r="G249" s="10" t="s">
        <v>2053</v>
      </c>
      <c r="H249" t="str" cm="1">
        <f t="array" ref="H249">IF(OR(A249="",E249=""),"",SUMPRODUCT(($A$2:$A$581=A249)*($B$2:$B$581&lt;B249)*$I$2:$I$581))</f>
        <v/>
      </c>
      <c r="I249">
        <f t="shared" si="3"/>
        <v>0</v>
      </c>
    </row>
    <row r="250" spans="1:9" ht="210">
      <c r="A250" t="s">
        <v>3156</v>
      </c>
      <c r="B250">
        <v>9</v>
      </c>
      <c r="C250" t="s">
        <v>624</v>
      </c>
      <c r="D250">
        <v>2</v>
      </c>
      <c r="G250" s="10" t="s">
        <v>3177</v>
      </c>
      <c r="H250" t="str" cm="1">
        <f t="array" ref="H250">IF(OR(A250="",E250=""),"",SUMPRODUCT(($A$2:$A$581=A250)*($B$2:$B$581&lt;B250)*$I$2:$I$581))</f>
        <v/>
      </c>
      <c r="I250">
        <f t="shared" si="3"/>
        <v>0</v>
      </c>
    </row>
    <row r="251" spans="1:9" ht="154">
      <c r="A251" t="s">
        <v>3156</v>
      </c>
      <c r="B251">
        <v>10</v>
      </c>
      <c r="C251" t="s">
        <v>1946</v>
      </c>
      <c r="D251">
        <v>2</v>
      </c>
      <c r="G251" s="10" t="s">
        <v>3190</v>
      </c>
      <c r="H251" t="str" cm="1">
        <f t="array" ref="H251">IF(OR(A251="",E251=""),"",SUMPRODUCT(($A$2:$A$581=A251)*($B$2:$B$581&lt;B251)*$I$2:$I$581))</f>
        <v/>
      </c>
      <c r="I251">
        <f t="shared" si="3"/>
        <v>0</v>
      </c>
    </row>
    <row r="252" spans="1:9" ht="306">
      <c r="A252" t="s">
        <v>3184</v>
      </c>
      <c r="B252">
        <v>1</v>
      </c>
      <c r="C252" t="s">
        <v>202</v>
      </c>
      <c r="D252">
        <v>1</v>
      </c>
      <c r="E252" t="s">
        <v>204</v>
      </c>
      <c r="F252">
        <v>5</v>
      </c>
      <c r="G252" s="10" t="s">
        <v>3187</v>
      </c>
      <c r="H252" cm="1">
        <f t="array" ref="H252">IF(OR(A252="",E252=""),"",SUMPRODUCT(($A$2:$A$581=A252)*($B$2:$B$581&lt;B252)*$I$2:$I$581))</f>
        <v>0</v>
      </c>
      <c r="I252">
        <f t="shared" si="3"/>
        <v>5</v>
      </c>
    </row>
    <row r="253" spans="1:9" ht="293">
      <c r="A253" t="s">
        <v>3184</v>
      </c>
      <c r="B253">
        <v>2</v>
      </c>
      <c r="C253" t="s">
        <v>230</v>
      </c>
      <c r="D253">
        <v>1</v>
      </c>
      <c r="G253" s="10" t="s">
        <v>467</v>
      </c>
      <c r="H253" t="str" cm="1">
        <f t="array" ref="H253">IF(OR(A253="",E253=""),"",SUMPRODUCT(($A$2:$A$581=A253)*($B$2:$B$581&lt;B253)*$I$2:$I$581))</f>
        <v/>
      </c>
      <c r="I253">
        <f t="shared" si="3"/>
        <v>0</v>
      </c>
    </row>
    <row r="254" spans="1:9" ht="196">
      <c r="A254" t="s">
        <v>3184</v>
      </c>
      <c r="B254">
        <v>3</v>
      </c>
      <c r="C254" t="s">
        <v>333</v>
      </c>
      <c r="D254">
        <v>1</v>
      </c>
      <c r="G254" s="10" t="s">
        <v>3222</v>
      </c>
      <c r="H254" t="str" cm="1">
        <f t="array" ref="H254">IF(OR(A254="",E254=""),"",SUMPRODUCT(($A$2:$A$581=A254)*($B$2:$B$581&lt;B254)*$I$2:$I$581))</f>
        <v/>
      </c>
      <c r="I254">
        <f t="shared" si="3"/>
        <v>0</v>
      </c>
    </row>
    <row r="255" spans="1:9" ht="397">
      <c r="A255" t="s">
        <v>3184</v>
      </c>
      <c r="B255">
        <v>4</v>
      </c>
      <c r="C255" t="s">
        <v>355</v>
      </c>
      <c r="D255">
        <v>1</v>
      </c>
      <c r="G255" s="10" t="s">
        <v>3062</v>
      </c>
      <c r="H255" t="str" cm="1">
        <f t="array" ref="H255">IF(OR(A255="",E255=""),"",SUMPRODUCT(($A$2:$A$581=A255)*($B$2:$B$581&lt;B255)*$I$2:$I$581))</f>
        <v/>
      </c>
      <c r="I255">
        <f t="shared" si="3"/>
        <v>0</v>
      </c>
    </row>
    <row r="256" spans="1:9" ht="182">
      <c r="A256" t="s">
        <v>3184</v>
      </c>
      <c r="B256">
        <v>5</v>
      </c>
      <c r="C256" t="s">
        <v>1946</v>
      </c>
      <c r="D256">
        <v>1</v>
      </c>
      <c r="G256" s="10" t="s">
        <v>3268</v>
      </c>
      <c r="H256" t="str" cm="1">
        <f t="array" ref="H256">IF(OR(A256="",E256=""),"",SUMPRODUCT(($A$2:$A$581=A256)*($B$2:$B$581&lt;B256)*$I$2:$I$581))</f>
        <v/>
      </c>
      <c r="I256">
        <f t="shared" si="3"/>
        <v>0</v>
      </c>
    </row>
    <row r="257" spans="1:9">
      <c r="A257" t="s">
        <v>3184</v>
      </c>
      <c r="B257">
        <v>6</v>
      </c>
      <c r="H257" t="str" cm="1">
        <f t="array" ref="H257">IF(OR(A257="",E257=""),"",SUMPRODUCT(($A$2:$A$581=A257)*($B$2:$B$581&lt;B257)*$I$2:$I$581))</f>
        <v/>
      </c>
      <c r="I257">
        <f t="shared" si="3"/>
        <v>0</v>
      </c>
    </row>
    <row r="258" spans="1:9">
      <c r="A258" t="s">
        <v>3184</v>
      </c>
      <c r="B258">
        <v>7</v>
      </c>
      <c r="H258" t="str" cm="1">
        <f t="array" ref="H258">IF(OR(A258="",E258=""),"",SUMPRODUCT(($A$2:$A$581=A258)*($B$2:$B$581&lt;B258)*$I$2:$I$581))</f>
        <v/>
      </c>
      <c r="I258">
        <f t="shared" si="3"/>
        <v>0</v>
      </c>
    </row>
    <row r="259" spans="1:9">
      <c r="A259" t="s">
        <v>3184</v>
      </c>
      <c r="B259">
        <v>8</v>
      </c>
      <c r="H259" t="str" cm="1">
        <f t="array" ref="H259">IF(OR(A259="",E259=""),"",SUMPRODUCT(($A$2:$A$581=A259)*($B$2:$B$581&lt;B259)*$I$2:$I$581))</f>
        <v/>
      </c>
      <c r="I259">
        <f t="shared" ref="I259:I322" si="4">IF(OR(A259="",E259="",NOT(ISNUMBER(F259))),0,MIN(F259,5))</f>
        <v>0</v>
      </c>
    </row>
    <row r="260" spans="1:9">
      <c r="A260" t="s">
        <v>3184</v>
      </c>
      <c r="B260">
        <v>9</v>
      </c>
      <c r="H260" t="str" cm="1">
        <f t="array" ref="H260">IF(OR(A260="",E260=""),"",SUMPRODUCT(($A$2:$A$581=A260)*($B$2:$B$581&lt;B260)*$I$2:$I$581))</f>
        <v/>
      </c>
      <c r="I260">
        <f t="shared" si="4"/>
        <v>0</v>
      </c>
    </row>
    <row r="261" spans="1:9">
      <c r="A261" t="s">
        <v>3184</v>
      </c>
      <c r="B261">
        <v>10</v>
      </c>
      <c r="H261" t="str" cm="1">
        <f t="array" ref="H261">IF(OR(A261="",E261=""),"",SUMPRODUCT(($A$2:$A$581=A261)*($B$2:$B$581&lt;B261)*$I$2:$I$581))</f>
        <v/>
      </c>
      <c r="I261">
        <f t="shared" si="4"/>
        <v>0</v>
      </c>
    </row>
    <row r="262" spans="1:9" ht="210">
      <c r="A262" t="s">
        <v>3277</v>
      </c>
      <c r="B262">
        <v>1</v>
      </c>
      <c r="C262" t="s">
        <v>241</v>
      </c>
      <c r="D262">
        <v>8</v>
      </c>
      <c r="E262" t="s">
        <v>204</v>
      </c>
      <c r="F262">
        <v>8</v>
      </c>
      <c r="G262" s="10" t="s">
        <v>211</v>
      </c>
      <c r="H262" cm="1">
        <f t="array" ref="H262">IF(OR(A262="",E262=""),"",SUMPRODUCT(($A$2:$A$581=A262)*($B$2:$B$581&lt;B262)*$I$2:$I$581))</f>
        <v>0</v>
      </c>
      <c r="I262">
        <f t="shared" si="4"/>
        <v>5</v>
      </c>
    </row>
    <row r="263" spans="1:9" ht="196">
      <c r="A263" t="s">
        <v>3277</v>
      </c>
      <c r="B263">
        <v>2</v>
      </c>
      <c r="C263" t="s">
        <v>915</v>
      </c>
      <c r="D263">
        <v>1</v>
      </c>
      <c r="E263" t="s">
        <v>177</v>
      </c>
      <c r="F263">
        <v>1</v>
      </c>
      <c r="G263" s="10" t="s">
        <v>3282</v>
      </c>
      <c r="H263" cm="1">
        <f t="array" ref="H263">IF(OR(A263="",E263=""),"",SUMPRODUCT(($A$2:$A$581=A263)*($B$2:$B$581&lt;B263)*$I$2:$I$581))</f>
        <v>5</v>
      </c>
      <c r="I263">
        <f t="shared" si="4"/>
        <v>1</v>
      </c>
    </row>
    <row r="264" spans="1:9" ht="280">
      <c r="A264" t="s">
        <v>3277</v>
      </c>
      <c r="B264">
        <v>3</v>
      </c>
      <c r="C264" t="s">
        <v>276</v>
      </c>
      <c r="D264">
        <v>1</v>
      </c>
      <c r="E264" t="s">
        <v>953</v>
      </c>
      <c r="F264">
        <v>1</v>
      </c>
      <c r="G264" s="10" t="s">
        <v>3285</v>
      </c>
      <c r="H264" cm="1">
        <f t="array" ref="H264">IF(OR(A264="",E264=""),"",SUMPRODUCT(($A$2:$A$581=A264)*($B$2:$B$581&lt;B264)*$I$2:$I$581))</f>
        <v>6</v>
      </c>
      <c r="I264">
        <f t="shared" si="4"/>
        <v>1</v>
      </c>
    </row>
    <row r="265" spans="1:9" ht="358">
      <c r="A265" t="s">
        <v>3277</v>
      </c>
      <c r="B265">
        <v>4</v>
      </c>
      <c r="C265" t="s">
        <v>287</v>
      </c>
      <c r="D265">
        <v>1</v>
      </c>
      <c r="E265" t="s">
        <v>244</v>
      </c>
      <c r="F265">
        <v>1</v>
      </c>
      <c r="G265" s="10" t="s">
        <v>3288</v>
      </c>
      <c r="H265" cm="1">
        <f t="array" ref="H265">IF(OR(A265="",E265=""),"",SUMPRODUCT(($A$2:$A$581=A265)*($B$2:$B$581&lt;B265)*$I$2:$I$581))</f>
        <v>7</v>
      </c>
      <c r="I265">
        <f t="shared" si="4"/>
        <v>1</v>
      </c>
    </row>
    <row r="266" spans="1:9" ht="196">
      <c r="A266" t="s">
        <v>3277</v>
      </c>
      <c r="B266">
        <v>5</v>
      </c>
      <c r="G266" s="10" t="s">
        <v>3293</v>
      </c>
      <c r="H266" t="str" cm="1">
        <f t="array" ref="H266">IF(OR(A266="",E266=""),"",SUMPRODUCT(($A$2:$A$581=A266)*($B$2:$B$581&lt;B266)*$I$2:$I$581))</f>
        <v/>
      </c>
      <c r="I266">
        <f t="shared" si="4"/>
        <v>0</v>
      </c>
    </row>
    <row r="267" spans="1:9" ht="238">
      <c r="A267" t="s">
        <v>3277</v>
      </c>
      <c r="B267">
        <v>6</v>
      </c>
      <c r="G267" s="10" t="s">
        <v>885</v>
      </c>
      <c r="H267" t="str" cm="1">
        <f t="array" ref="H267">IF(OR(A267="",E267=""),"",SUMPRODUCT(($A$2:$A$581=A267)*($B$2:$B$581&lt;B267)*$I$2:$I$581))</f>
        <v/>
      </c>
      <c r="I267">
        <f t="shared" si="4"/>
        <v>0</v>
      </c>
    </row>
    <row r="268" spans="1:9" ht="358">
      <c r="A268" t="s">
        <v>3277</v>
      </c>
      <c r="B268">
        <v>7</v>
      </c>
      <c r="G268" s="10" t="s">
        <v>3298</v>
      </c>
      <c r="H268" t="str" cm="1">
        <f t="array" ref="H268">IF(OR(A268="",E268=""),"",SUMPRODUCT(($A$2:$A$581=A268)*($B$2:$B$581&lt;B268)*$I$2:$I$581))</f>
        <v/>
      </c>
      <c r="I268">
        <f t="shared" si="4"/>
        <v>0</v>
      </c>
    </row>
    <row r="269" spans="1:9" ht="210">
      <c r="A269" t="s">
        <v>3277</v>
      </c>
      <c r="B269">
        <v>8</v>
      </c>
      <c r="G269" s="10" t="s">
        <v>3301</v>
      </c>
      <c r="H269" t="str" cm="1">
        <f t="array" ref="H269">IF(OR(A269="",E269=""),"",SUMPRODUCT(($A$2:$A$581=A269)*($B$2:$B$581&lt;B269)*$I$2:$I$581))</f>
        <v/>
      </c>
      <c r="I269">
        <f t="shared" si="4"/>
        <v>0</v>
      </c>
    </row>
    <row r="270" spans="1:9" ht="224">
      <c r="A270" t="s">
        <v>3277</v>
      </c>
      <c r="B270">
        <v>9</v>
      </c>
      <c r="G270" s="10" t="s">
        <v>3304</v>
      </c>
      <c r="H270" t="str" cm="1">
        <f t="array" ref="H270">IF(OR(A270="",E270=""),"",SUMPRODUCT(($A$2:$A$581=A270)*($B$2:$B$581&lt;B270)*$I$2:$I$581))</f>
        <v/>
      </c>
      <c r="I270">
        <f t="shared" si="4"/>
        <v>0</v>
      </c>
    </row>
    <row r="271" spans="1:9">
      <c r="A271" t="s">
        <v>3277</v>
      </c>
      <c r="B271">
        <v>10</v>
      </c>
      <c r="H271" t="str" cm="1">
        <f t="array" ref="H271">IF(OR(A271="",E271=""),"",SUMPRODUCT(($A$2:$A$581=A271)*($B$2:$B$581&lt;B271)*$I$2:$I$581))</f>
        <v/>
      </c>
      <c r="I271">
        <f t="shared" si="4"/>
        <v>0</v>
      </c>
    </row>
    <row r="272" spans="1:9" ht="371">
      <c r="A272" t="s">
        <v>3305</v>
      </c>
      <c r="B272">
        <v>1</v>
      </c>
      <c r="C272" t="s">
        <v>225</v>
      </c>
      <c r="D272">
        <v>6</v>
      </c>
      <c r="E272" t="s">
        <v>204</v>
      </c>
      <c r="F272">
        <v>16</v>
      </c>
      <c r="G272" s="10" t="s">
        <v>3309</v>
      </c>
      <c r="H272" cm="1">
        <f t="array" ref="H272">IF(OR(A272="",E272=""),"",SUMPRODUCT(($A$2:$A$581=A272)*($B$2:$B$581&lt;B272)*$I$2:$I$581))</f>
        <v>0</v>
      </c>
      <c r="I272">
        <f t="shared" si="4"/>
        <v>5</v>
      </c>
    </row>
    <row r="273" spans="1:9" ht="345">
      <c r="A273" t="s">
        <v>3305</v>
      </c>
      <c r="B273">
        <v>2</v>
      </c>
      <c r="C273" t="s">
        <v>307</v>
      </c>
      <c r="D273">
        <v>4</v>
      </c>
      <c r="E273" t="s">
        <v>794</v>
      </c>
      <c r="F273">
        <v>6</v>
      </c>
      <c r="G273" s="10" t="s">
        <v>3312</v>
      </c>
      <c r="H273" cm="1">
        <f t="array" ref="H273">IF(OR(A273="",E273=""),"",SUMPRODUCT(($A$2:$A$581=A273)*($B$2:$B$581&lt;B273)*$I$2:$I$581))</f>
        <v>5</v>
      </c>
      <c r="I273">
        <f t="shared" si="4"/>
        <v>5</v>
      </c>
    </row>
    <row r="274" spans="1:9" ht="266">
      <c r="A274" t="s">
        <v>3305</v>
      </c>
      <c r="B274">
        <v>3</v>
      </c>
      <c r="C274" t="s">
        <v>355</v>
      </c>
      <c r="D274">
        <v>4</v>
      </c>
      <c r="E274" t="s">
        <v>953</v>
      </c>
      <c r="F274">
        <v>1</v>
      </c>
      <c r="G274" s="10" t="s">
        <v>3315</v>
      </c>
      <c r="H274" cm="1">
        <f t="array" ref="H274">IF(OR(A274="",E274=""),"",SUMPRODUCT(($A$2:$A$581=A274)*($B$2:$B$581&lt;B274)*$I$2:$I$581))</f>
        <v>10</v>
      </c>
      <c r="I274">
        <f t="shared" si="4"/>
        <v>1</v>
      </c>
    </row>
    <row r="275" spans="1:9" ht="306">
      <c r="A275" t="s">
        <v>3305</v>
      </c>
      <c r="B275">
        <v>4</v>
      </c>
      <c r="C275" t="s">
        <v>333</v>
      </c>
      <c r="D275">
        <v>3</v>
      </c>
      <c r="E275" t="s">
        <v>177</v>
      </c>
      <c r="F275">
        <v>1</v>
      </c>
      <c r="G275" s="10" t="s">
        <v>3318</v>
      </c>
      <c r="H275" cm="1">
        <f t="array" ref="H275">IF(OR(A275="",E275=""),"",SUMPRODUCT(($A$2:$A$581=A275)*($B$2:$B$581&lt;B275)*$I$2:$I$581))</f>
        <v>11</v>
      </c>
      <c r="I275">
        <f t="shared" si="4"/>
        <v>1</v>
      </c>
    </row>
    <row r="276" spans="1:9" ht="168">
      <c r="A276" t="s">
        <v>3305</v>
      </c>
      <c r="B276">
        <v>5</v>
      </c>
      <c r="C276" t="s">
        <v>318</v>
      </c>
      <c r="D276">
        <v>2</v>
      </c>
      <c r="G276" s="10" t="s">
        <v>3321</v>
      </c>
      <c r="H276" t="str" cm="1">
        <f t="array" ref="H276">IF(OR(A276="",E276=""),"",SUMPRODUCT(($A$2:$A$581=A276)*($B$2:$B$581&lt;B276)*$I$2:$I$581))</f>
        <v/>
      </c>
      <c r="I276">
        <f t="shared" si="4"/>
        <v>0</v>
      </c>
    </row>
    <row r="277" spans="1:9" ht="210">
      <c r="A277" t="s">
        <v>3305</v>
      </c>
      <c r="B277">
        <v>6</v>
      </c>
      <c r="C277" t="s">
        <v>241</v>
      </c>
      <c r="D277">
        <v>1</v>
      </c>
      <c r="G277" s="10" t="s">
        <v>3324</v>
      </c>
      <c r="H277" t="str" cm="1">
        <f t="array" ref="H277">IF(OR(A277="",E277=""),"",SUMPRODUCT(($A$2:$A$581=A277)*($B$2:$B$581&lt;B277)*$I$2:$I$581))</f>
        <v/>
      </c>
      <c r="I277">
        <f t="shared" si="4"/>
        <v>0</v>
      </c>
    </row>
    <row r="278" spans="1:9" ht="168">
      <c r="A278" t="s">
        <v>3305</v>
      </c>
      <c r="B278">
        <v>7</v>
      </c>
      <c r="C278" t="s">
        <v>276</v>
      </c>
      <c r="D278">
        <v>1</v>
      </c>
      <c r="G278" s="10" t="s">
        <v>3327</v>
      </c>
      <c r="H278" t="str" cm="1">
        <f t="array" ref="H278">IF(OR(A278="",E278=""),"",SUMPRODUCT(($A$2:$A$581=A278)*($B$2:$B$581&lt;B278)*$I$2:$I$581))</f>
        <v/>
      </c>
      <c r="I278">
        <f t="shared" si="4"/>
        <v>0</v>
      </c>
    </row>
    <row r="279" spans="1:9" ht="238">
      <c r="A279" t="s">
        <v>3305</v>
      </c>
      <c r="B279">
        <v>8</v>
      </c>
      <c r="C279" t="s">
        <v>312</v>
      </c>
      <c r="D279">
        <v>1</v>
      </c>
      <c r="G279" s="10" t="s">
        <v>3330</v>
      </c>
      <c r="H279" t="str" cm="1">
        <f t="array" ref="H279">IF(OR(A279="",E279=""),"",SUMPRODUCT(($A$2:$A$581=A279)*($B$2:$B$581&lt;B279)*$I$2:$I$581))</f>
        <v/>
      </c>
      <c r="I279">
        <f t="shared" si="4"/>
        <v>0</v>
      </c>
    </row>
    <row r="280" spans="1:9" ht="332">
      <c r="A280" t="s">
        <v>3305</v>
      </c>
      <c r="B280">
        <v>9</v>
      </c>
      <c r="C280" t="s">
        <v>1776</v>
      </c>
      <c r="D280">
        <v>1</v>
      </c>
      <c r="G280" s="10" t="s">
        <v>3333</v>
      </c>
      <c r="H280" t="str" cm="1">
        <f t="array" ref="H280">IF(OR(A280="",E280=""),"",SUMPRODUCT(($A$2:$A$581=A280)*($B$2:$B$581&lt;B280)*$I$2:$I$581))</f>
        <v/>
      </c>
      <c r="I280">
        <f t="shared" si="4"/>
        <v>0</v>
      </c>
    </row>
    <row r="281" spans="1:9" ht="238">
      <c r="A281" t="s">
        <v>3305</v>
      </c>
      <c r="B281">
        <v>10</v>
      </c>
      <c r="C281" t="s">
        <v>350</v>
      </c>
      <c r="D281">
        <v>1</v>
      </c>
      <c r="G281" s="10" t="s">
        <v>3336</v>
      </c>
      <c r="H281" t="str" cm="1">
        <f t="array" ref="H281">IF(OR(A281="",E281=""),"",SUMPRODUCT(($A$2:$A$581=A281)*($B$2:$B$581&lt;B281)*$I$2:$I$581))</f>
        <v/>
      </c>
      <c r="I281">
        <f t="shared" si="4"/>
        <v>0</v>
      </c>
    </row>
    <row r="282" spans="1:9">
      <c r="A282" t="s">
        <v>3374</v>
      </c>
      <c r="B282">
        <v>1</v>
      </c>
      <c r="C282" t="s">
        <v>339</v>
      </c>
      <c r="D282">
        <v>9</v>
      </c>
      <c r="E282" t="s">
        <v>204</v>
      </c>
      <c r="F282">
        <v>23</v>
      </c>
      <c r="G282" t="s">
        <v>3378</v>
      </c>
      <c r="H282" cm="1">
        <f t="array" ref="H282">IF(OR(A282="",E282=""),"",SUMPRODUCT(($A$2:$A$581=A282)*($B$2:$B$581&lt;B282)*$I$2:$I$581))</f>
        <v>0</v>
      </c>
      <c r="I282">
        <f t="shared" si="4"/>
        <v>5</v>
      </c>
    </row>
    <row r="283" spans="1:9" ht="266">
      <c r="A283" t="s">
        <v>3374</v>
      </c>
      <c r="B283">
        <v>2</v>
      </c>
      <c r="C283" t="s">
        <v>196</v>
      </c>
      <c r="D283">
        <v>4</v>
      </c>
      <c r="G283" s="10" t="s">
        <v>2076</v>
      </c>
      <c r="H283" t="str" cm="1">
        <f t="array" ref="H283">IF(OR(A283="",E283=""),"",SUMPRODUCT(($A$2:$A$581=A283)*($B$2:$B$581&lt;B283)*$I$2:$I$581))</f>
        <v/>
      </c>
      <c r="I283">
        <f t="shared" si="4"/>
        <v>0</v>
      </c>
    </row>
    <row r="284" spans="1:9">
      <c r="A284" t="s">
        <v>3374</v>
      </c>
      <c r="B284">
        <v>3</v>
      </c>
      <c r="C284" t="s">
        <v>355</v>
      </c>
      <c r="D284">
        <v>4</v>
      </c>
      <c r="G284" t="s">
        <v>3399</v>
      </c>
      <c r="H284" t="str" cm="1">
        <f t="array" ref="H284">IF(OR(A284="",E284=""),"",SUMPRODUCT(($A$2:$A$581=A284)*($B$2:$B$581&lt;B284)*$I$2:$I$581))</f>
        <v/>
      </c>
      <c r="I284">
        <f t="shared" si="4"/>
        <v>0</v>
      </c>
    </row>
    <row r="285" spans="1:9" ht="182">
      <c r="A285" t="s">
        <v>3374</v>
      </c>
      <c r="B285">
        <v>4</v>
      </c>
      <c r="C285" t="s">
        <v>350</v>
      </c>
      <c r="D285">
        <v>3</v>
      </c>
      <c r="G285" s="10" t="s">
        <v>3421</v>
      </c>
      <c r="H285" t="str" cm="1">
        <f t="array" ref="H285">IF(OR(A285="",E285=""),"",SUMPRODUCT(($A$2:$A$581=A285)*($B$2:$B$581&lt;B285)*$I$2:$I$581))</f>
        <v/>
      </c>
      <c r="I285">
        <f t="shared" si="4"/>
        <v>0</v>
      </c>
    </row>
    <row r="286" spans="1:9" ht="196">
      <c r="A286" t="s">
        <v>3374</v>
      </c>
      <c r="B286">
        <v>5</v>
      </c>
      <c r="C286" t="s">
        <v>1391</v>
      </c>
      <c r="D286">
        <v>1</v>
      </c>
      <c r="G286" s="10" t="s">
        <v>3435</v>
      </c>
      <c r="H286" t="str" cm="1">
        <f t="array" ref="H286">IF(OR(A286="",E286=""),"",SUMPRODUCT(($A$2:$A$581=A286)*($B$2:$B$581&lt;B286)*$I$2:$I$581))</f>
        <v/>
      </c>
      <c r="I286">
        <f t="shared" si="4"/>
        <v>0</v>
      </c>
    </row>
    <row r="287" spans="1:9" ht="280">
      <c r="A287" t="s">
        <v>3374</v>
      </c>
      <c r="B287">
        <v>6</v>
      </c>
      <c r="C287" t="s">
        <v>287</v>
      </c>
      <c r="D287">
        <v>1</v>
      </c>
      <c r="G287" s="10" t="s">
        <v>3461</v>
      </c>
      <c r="H287" t="str" cm="1">
        <f t="array" ref="H287">IF(OR(A287="",E287=""),"",SUMPRODUCT(($A$2:$A$581=A287)*($B$2:$B$581&lt;B287)*$I$2:$I$581))</f>
        <v/>
      </c>
      <c r="I287">
        <f t="shared" si="4"/>
        <v>0</v>
      </c>
    </row>
    <row r="288" spans="1:9" ht="409.6">
      <c r="A288" t="s">
        <v>3374</v>
      </c>
      <c r="B288">
        <v>7</v>
      </c>
      <c r="C288" t="s">
        <v>318</v>
      </c>
      <c r="D288">
        <v>1</v>
      </c>
      <c r="G288" s="10" t="s">
        <v>3515</v>
      </c>
      <c r="H288" t="str" cm="1">
        <f t="array" ref="H288">IF(OR(A288="",E288=""),"",SUMPRODUCT(($A$2:$A$581=A288)*($B$2:$B$581&lt;B288)*$I$2:$I$581))</f>
        <v/>
      </c>
      <c r="I288">
        <f t="shared" si="4"/>
        <v>0</v>
      </c>
    </row>
    <row r="289" spans="1:9" ht="409.6">
      <c r="A289" t="s">
        <v>3374</v>
      </c>
      <c r="B289">
        <v>8</v>
      </c>
      <c r="G289" s="10" t="s">
        <v>3548</v>
      </c>
      <c r="H289" t="str" cm="1">
        <f t="array" ref="H289">IF(OR(A289="",E289=""),"",SUMPRODUCT(($A$2:$A$581=A289)*($B$2:$B$581&lt;B289)*$I$2:$I$581))</f>
        <v/>
      </c>
      <c r="I289">
        <f t="shared" si="4"/>
        <v>0</v>
      </c>
    </row>
    <row r="290" spans="1:9" ht="409.6">
      <c r="A290" t="s">
        <v>3374</v>
      </c>
      <c r="B290">
        <v>9</v>
      </c>
      <c r="G290" s="10" t="s">
        <v>3610</v>
      </c>
      <c r="H290" t="str" cm="1">
        <f t="array" ref="H290">IF(OR(A290="",E290=""),"",SUMPRODUCT(($A$2:$A$581=A290)*($B$2:$B$581&lt;B290)*$I$2:$I$581))</f>
        <v/>
      </c>
      <c r="I290">
        <f t="shared" si="4"/>
        <v>0</v>
      </c>
    </row>
    <row r="291" spans="1:9" ht="409.6">
      <c r="A291" t="s">
        <v>3374</v>
      </c>
      <c r="B291">
        <v>10</v>
      </c>
      <c r="G291" s="10" t="s">
        <v>3245</v>
      </c>
      <c r="H291" t="str" cm="1">
        <f t="array" ref="H291">IF(OR(A291="",E291=""),"",SUMPRODUCT(($A$2:$A$581=A291)*($B$2:$B$581&lt;B291)*$I$2:$I$581))</f>
        <v/>
      </c>
      <c r="I291">
        <f t="shared" si="4"/>
        <v>0</v>
      </c>
    </row>
    <row r="292" spans="1:9" ht="266">
      <c r="A292" t="s">
        <v>3379</v>
      </c>
      <c r="B292">
        <v>1</v>
      </c>
      <c r="C292" t="s">
        <v>339</v>
      </c>
      <c r="D292">
        <v>63</v>
      </c>
      <c r="E292" t="s">
        <v>204</v>
      </c>
      <c r="F292">
        <v>126</v>
      </c>
      <c r="G292" s="10" t="s">
        <v>2076</v>
      </c>
      <c r="H292" cm="1">
        <f t="array" ref="H292">IF(OR(A292="",E292=""),"",SUMPRODUCT(($A$2:$A$581=A292)*($B$2:$B$581&lt;B292)*$I$2:$I$581))</f>
        <v>0</v>
      </c>
      <c r="I292">
        <f t="shared" si="4"/>
        <v>5</v>
      </c>
    </row>
    <row r="293" spans="1:9" ht="168">
      <c r="A293" t="s">
        <v>3379</v>
      </c>
      <c r="B293">
        <v>2</v>
      </c>
      <c r="C293" t="s">
        <v>196</v>
      </c>
      <c r="D293">
        <v>20</v>
      </c>
      <c r="E293" t="s">
        <v>794</v>
      </c>
      <c r="F293">
        <v>2</v>
      </c>
      <c r="G293" s="10" t="s">
        <v>2049</v>
      </c>
      <c r="H293" cm="1">
        <f t="array" ref="H293">IF(OR(A293="",E293=""),"",SUMPRODUCT(($A$2:$A$581=A293)*($B$2:$B$581&lt;B293)*$I$2:$I$581))</f>
        <v>5</v>
      </c>
      <c r="I293">
        <f t="shared" si="4"/>
        <v>2</v>
      </c>
    </row>
    <row r="294" spans="1:9" ht="266">
      <c r="A294" t="s">
        <v>3379</v>
      </c>
      <c r="B294">
        <v>3</v>
      </c>
      <c r="C294" t="s">
        <v>312</v>
      </c>
      <c r="D294">
        <v>14</v>
      </c>
      <c r="E294" t="s">
        <v>3685</v>
      </c>
      <c r="F294">
        <v>1</v>
      </c>
      <c r="G294" s="10" t="s">
        <v>3394</v>
      </c>
      <c r="H294" cm="1">
        <f t="array" ref="H294">IF(OR(A294="",E294=""),"",SUMPRODUCT(($A$2:$A$581=A294)*($B$2:$B$581&lt;B294)*$I$2:$I$581))</f>
        <v>7</v>
      </c>
      <c r="I294">
        <f t="shared" si="4"/>
        <v>1</v>
      </c>
    </row>
    <row r="295" spans="1:9" ht="168">
      <c r="A295" t="s">
        <v>3379</v>
      </c>
      <c r="B295">
        <v>4</v>
      </c>
      <c r="C295" t="s">
        <v>624</v>
      </c>
      <c r="D295">
        <v>7</v>
      </c>
      <c r="G295" s="10" t="s">
        <v>3403</v>
      </c>
      <c r="H295" t="str" cm="1">
        <f t="array" ref="H295">IF(OR(A295="",E295=""),"",SUMPRODUCT(($A$2:$A$581=A295)*($B$2:$B$581&lt;B295)*$I$2:$I$581))</f>
        <v/>
      </c>
      <c r="I295">
        <f t="shared" si="4"/>
        <v>0</v>
      </c>
    </row>
    <row r="296" spans="1:9" ht="196">
      <c r="A296" t="s">
        <v>3379</v>
      </c>
      <c r="B296">
        <v>5</v>
      </c>
      <c r="C296" t="s">
        <v>350</v>
      </c>
      <c r="D296">
        <v>5</v>
      </c>
      <c r="G296" s="10" t="s">
        <v>414</v>
      </c>
      <c r="H296" t="str" cm="1">
        <f t="array" ref="H296">IF(OR(A296="",E296=""),"",SUMPRODUCT(($A$2:$A$581=A296)*($B$2:$B$581&lt;B296)*$I$2:$I$581))</f>
        <v/>
      </c>
      <c r="I296">
        <f t="shared" si="4"/>
        <v>0</v>
      </c>
    </row>
    <row r="297" spans="1:9" ht="182">
      <c r="A297" t="s">
        <v>3379</v>
      </c>
      <c r="B297">
        <v>6</v>
      </c>
      <c r="C297" t="s">
        <v>355</v>
      </c>
      <c r="D297">
        <v>5</v>
      </c>
      <c r="G297" s="10" t="s">
        <v>3425</v>
      </c>
      <c r="H297" t="str" cm="1">
        <f t="array" ref="H297">IF(OR(A297="",E297=""),"",SUMPRODUCT(($A$2:$A$581=A297)*($B$2:$B$581&lt;B297)*$I$2:$I$581))</f>
        <v/>
      </c>
      <c r="I297">
        <f t="shared" si="4"/>
        <v>0</v>
      </c>
    </row>
    <row r="298" spans="1:9" ht="168">
      <c r="A298" t="s">
        <v>3379</v>
      </c>
      <c r="B298">
        <v>7</v>
      </c>
      <c r="C298" t="s">
        <v>287</v>
      </c>
      <c r="D298">
        <v>4</v>
      </c>
      <c r="G298" s="10" t="s">
        <v>3431</v>
      </c>
      <c r="H298" t="str" cm="1">
        <f t="array" ref="H298">IF(OR(A298="",E298=""),"",SUMPRODUCT(($A$2:$A$581=A298)*($B$2:$B$581&lt;B298)*$I$2:$I$581))</f>
        <v/>
      </c>
      <c r="I298">
        <f t="shared" si="4"/>
        <v>0</v>
      </c>
    </row>
    <row r="299" spans="1:9" ht="210">
      <c r="A299" t="s">
        <v>3379</v>
      </c>
      <c r="B299">
        <v>8</v>
      </c>
      <c r="C299" t="s">
        <v>318</v>
      </c>
      <c r="D299">
        <v>3</v>
      </c>
      <c r="G299" s="10" t="s">
        <v>3439</v>
      </c>
      <c r="H299" t="str" cm="1">
        <f t="array" ref="H299">IF(OR(A299="",E299=""),"",SUMPRODUCT(($A$2:$A$581=A299)*($B$2:$B$581&lt;B299)*$I$2:$I$581))</f>
        <v/>
      </c>
      <c r="I299">
        <f t="shared" si="4"/>
        <v>0</v>
      </c>
    </row>
    <row r="300" spans="1:9" ht="210">
      <c r="A300" t="s">
        <v>3379</v>
      </c>
      <c r="B300">
        <v>9</v>
      </c>
      <c r="C300" t="s">
        <v>230</v>
      </c>
      <c r="D300">
        <v>2</v>
      </c>
      <c r="G300" s="10" t="s">
        <v>3442</v>
      </c>
      <c r="H300" t="str" cm="1">
        <f t="array" ref="H300">IF(OR(A300="",E300=""),"",SUMPRODUCT(($A$2:$A$581=A300)*($B$2:$B$581&lt;B300)*$I$2:$I$581))</f>
        <v/>
      </c>
      <c r="I300">
        <f t="shared" si="4"/>
        <v>0</v>
      </c>
    </row>
    <row r="301" spans="1:9" ht="238">
      <c r="A301" t="s">
        <v>3379</v>
      </c>
      <c r="B301">
        <v>10</v>
      </c>
      <c r="C301" t="s">
        <v>761</v>
      </c>
      <c r="D301">
        <v>2</v>
      </c>
      <c r="G301" s="10" t="s">
        <v>3445</v>
      </c>
      <c r="H301" t="str" cm="1">
        <f t="array" ref="H301">IF(OR(A301="",E301=""),"",SUMPRODUCT(($A$2:$A$581=A301)*($B$2:$B$581&lt;B301)*$I$2:$I$581))</f>
        <v/>
      </c>
      <c r="I301">
        <f t="shared" si="4"/>
        <v>0</v>
      </c>
    </row>
    <row r="302" spans="1:9" ht="409.6">
      <c r="A302" t="s">
        <v>3382</v>
      </c>
      <c r="B302">
        <v>1</v>
      </c>
      <c r="C302" t="s">
        <v>339</v>
      </c>
      <c r="D302">
        <v>71</v>
      </c>
      <c r="E302" t="s">
        <v>204</v>
      </c>
      <c r="F302">
        <v>90</v>
      </c>
      <c r="G302" s="10" t="s">
        <v>3385</v>
      </c>
      <c r="H302" cm="1">
        <f t="array" ref="H302">IF(OR(A302="",E302=""),"",SUMPRODUCT(($A$2:$A$581=A302)*($B$2:$B$581&lt;B302)*$I$2:$I$581))</f>
        <v>0</v>
      </c>
      <c r="I302">
        <f t="shared" si="4"/>
        <v>5</v>
      </c>
    </row>
    <row r="303" spans="1:9" ht="319">
      <c r="A303" t="s">
        <v>3382</v>
      </c>
      <c r="B303">
        <v>2</v>
      </c>
      <c r="C303" t="s">
        <v>355</v>
      </c>
      <c r="D303">
        <v>11</v>
      </c>
      <c r="G303" s="10" t="s">
        <v>3466</v>
      </c>
      <c r="H303" t="str" cm="1">
        <f t="array" ref="H303">IF(OR(A303="",E303=""),"",SUMPRODUCT(($A$2:$A$581=A303)*($B$2:$B$581&lt;B303)*$I$2:$I$581))</f>
        <v/>
      </c>
      <c r="I303">
        <f t="shared" si="4"/>
        <v>0</v>
      </c>
    </row>
    <row r="304" spans="1:9" ht="409.6">
      <c r="A304" t="s">
        <v>3382</v>
      </c>
      <c r="B304">
        <v>3</v>
      </c>
      <c r="C304" t="s">
        <v>196</v>
      </c>
      <c r="D304">
        <v>5</v>
      </c>
      <c r="G304" s="10" t="s">
        <v>3512</v>
      </c>
      <c r="H304" t="str" cm="1">
        <f t="array" ref="H304">IF(OR(A304="",E304=""),"",SUMPRODUCT(($A$2:$A$581=A304)*($B$2:$B$581&lt;B304)*$I$2:$I$581))</f>
        <v/>
      </c>
      <c r="I304">
        <f t="shared" si="4"/>
        <v>0</v>
      </c>
    </row>
    <row r="305" spans="1:9" ht="409.6">
      <c r="A305" t="s">
        <v>3382</v>
      </c>
      <c r="B305">
        <v>4</v>
      </c>
      <c r="C305" t="s">
        <v>312</v>
      </c>
      <c r="D305">
        <v>1</v>
      </c>
      <c r="G305" s="10" t="s">
        <v>695</v>
      </c>
      <c r="H305" t="str" cm="1">
        <f t="array" ref="H305">IF(OR(A305="",E305=""),"",SUMPRODUCT(($A$2:$A$581=A305)*($B$2:$B$581&lt;B305)*$I$2:$I$581))</f>
        <v/>
      </c>
      <c r="I305">
        <f t="shared" si="4"/>
        <v>0</v>
      </c>
    </row>
    <row r="306" spans="1:9" ht="409.6">
      <c r="A306" t="s">
        <v>3382</v>
      </c>
      <c r="B306">
        <v>5</v>
      </c>
      <c r="C306" t="s">
        <v>318</v>
      </c>
      <c r="D306">
        <v>1</v>
      </c>
      <c r="G306" s="10" t="s">
        <v>3621</v>
      </c>
      <c r="H306" t="str" cm="1">
        <f t="array" ref="H306">IF(OR(A306="",E306=""),"",SUMPRODUCT(($A$2:$A$581=A306)*($B$2:$B$581&lt;B306)*$I$2:$I$581))</f>
        <v/>
      </c>
      <c r="I306">
        <f t="shared" si="4"/>
        <v>0</v>
      </c>
    </row>
    <row r="307" spans="1:9" ht="409.6">
      <c r="A307" t="s">
        <v>3382</v>
      </c>
      <c r="B307">
        <v>6</v>
      </c>
      <c r="C307" t="s">
        <v>350</v>
      </c>
      <c r="D307">
        <v>1</v>
      </c>
      <c r="G307" s="10" t="s">
        <v>2528</v>
      </c>
      <c r="H307" t="str" cm="1">
        <f t="array" ref="H307">IF(OR(A307="",E307=""),"",SUMPRODUCT(($A$2:$A$581=A307)*($B$2:$B$581&lt;B307)*$I$2:$I$581))</f>
        <v/>
      </c>
      <c r="I307">
        <f t="shared" si="4"/>
        <v>0</v>
      </c>
    </row>
    <row r="308" spans="1:9" ht="409.6">
      <c r="A308" t="s">
        <v>3382</v>
      </c>
      <c r="B308">
        <v>7</v>
      </c>
      <c r="G308" s="10" t="s">
        <v>3731</v>
      </c>
      <c r="H308" t="str" cm="1">
        <f t="array" ref="H308">IF(OR(A308="",E308=""),"",SUMPRODUCT(($A$2:$A$581=A308)*($B$2:$B$581&lt;B308)*$I$2:$I$581))</f>
        <v/>
      </c>
      <c r="I308">
        <f t="shared" si="4"/>
        <v>0</v>
      </c>
    </row>
    <row r="309" spans="1:9" ht="266">
      <c r="A309" t="s">
        <v>3382</v>
      </c>
      <c r="B309">
        <v>8</v>
      </c>
      <c r="G309" s="10" t="s">
        <v>3743</v>
      </c>
      <c r="H309" t="str" cm="1">
        <f t="array" ref="H309">IF(OR(A309="",E309=""),"",SUMPRODUCT(($A$2:$A$581=A309)*($B$2:$B$581&lt;B309)*$I$2:$I$581))</f>
        <v/>
      </c>
      <c r="I309">
        <f t="shared" si="4"/>
        <v>0</v>
      </c>
    </row>
    <row r="310" spans="1:9" ht="280">
      <c r="A310" t="s">
        <v>3382</v>
      </c>
      <c r="B310">
        <v>9</v>
      </c>
      <c r="G310" s="10" t="s">
        <v>3751</v>
      </c>
      <c r="H310" t="str" cm="1">
        <f t="array" ref="H310">IF(OR(A310="",E310=""),"",SUMPRODUCT(($A$2:$A$581=A310)*($B$2:$B$581&lt;B310)*$I$2:$I$581))</f>
        <v/>
      </c>
      <c r="I310">
        <f t="shared" si="4"/>
        <v>0</v>
      </c>
    </row>
    <row r="311" spans="1:9" ht="252">
      <c r="A311" t="s">
        <v>3382</v>
      </c>
      <c r="B311">
        <v>10</v>
      </c>
      <c r="G311" s="10" t="s">
        <v>2350</v>
      </c>
      <c r="H311" t="str" cm="1">
        <f t="array" ref="H311">IF(OR(A311="",E311=""),"",SUMPRODUCT(($A$2:$A$581=A311)*($B$2:$B$581&lt;B311)*$I$2:$I$581))</f>
        <v/>
      </c>
      <c r="I311">
        <f t="shared" si="4"/>
        <v>0</v>
      </c>
    </row>
    <row r="312" spans="1:9" ht="266">
      <c r="A312" t="s">
        <v>3390</v>
      </c>
      <c r="B312">
        <v>1</v>
      </c>
      <c r="C312" t="s">
        <v>339</v>
      </c>
      <c r="D312">
        <v>13</v>
      </c>
      <c r="E312" t="s">
        <v>204</v>
      </c>
      <c r="F312">
        <v>14</v>
      </c>
      <c r="G312" s="10" t="s">
        <v>2076</v>
      </c>
      <c r="H312" cm="1">
        <f t="array" ref="H312">IF(OR(A312="",E312=""),"",SUMPRODUCT(($A$2:$A$581=A312)*($B$2:$B$581&lt;B312)*$I$2:$I$581))</f>
        <v>0</v>
      </c>
      <c r="I312">
        <f t="shared" si="4"/>
        <v>5</v>
      </c>
    </row>
    <row r="313" spans="1:9" ht="252">
      <c r="A313" t="s">
        <v>3390</v>
      </c>
      <c r="B313">
        <v>2</v>
      </c>
      <c r="C313" t="s">
        <v>196</v>
      </c>
      <c r="D313">
        <v>3</v>
      </c>
      <c r="E313" t="s">
        <v>2054</v>
      </c>
      <c r="F313">
        <v>3</v>
      </c>
      <c r="G313" s="10" t="s">
        <v>3451</v>
      </c>
      <c r="H313" cm="1">
        <f t="array" ref="H313">IF(OR(A313="",E313=""),"",SUMPRODUCT(($A$2:$A$581=A313)*($B$2:$B$581&lt;B313)*$I$2:$I$581))</f>
        <v>5</v>
      </c>
      <c r="I313">
        <f t="shared" si="4"/>
        <v>3</v>
      </c>
    </row>
    <row r="314" spans="1:9" ht="319">
      <c r="A314" t="s">
        <v>3390</v>
      </c>
      <c r="B314">
        <v>3</v>
      </c>
      <c r="C314" t="s">
        <v>276</v>
      </c>
      <c r="D314">
        <v>1</v>
      </c>
      <c r="E314" t="s">
        <v>1060</v>
      </c>
      <c r="F314">
        <v>2</v>
      </c>
      <c r="G314" s="10" t="s">
        <v>3456</v>
      </c>
      <c r="H314" cm="1">
        <f t="array" ref="H314">IF(OR(A314="",E314=""),"",SUMPRODUCT(($A$2:$A$581=A314)*($B$2:$B$581&lt;B314)*$I$2:$I$581))</f>
        <v>8</v>
      </c>
      <c r="I314">
        <f t="shared" si="4"/>
        <v>2</v>
      </c>
    </row>
    <row r="315" spans="1:9" ht="358">
      <c r="A315" t="s">
        <v>3390</v>
      </c>
      <c r="B315">
        <v>4</v>
      </c>
      <c r="C315" t="s">
        <v>287</v>
      </c>
      <c r="D315">
        <v>1</v>
      </c>
      <c r="E315" t="s">
        <v>185</v>
      </c>
      <c r="F315">
        <v>1</v>
      </c>
      <c r="G315" s="10" t="s">
        <v>3479</v>
      </c>
      <c r="H315" cm="1">
        <f t="array" ref="H315">IF(OR(A315="",E315=""),"",SUMPRODUCT(($A$2:$A$581=A315)*($B$2:$B$581&lt;B315)*$I$2:$I$581))</f>
        <v>10</v>
      </c>
      <c r="I315">
        <f t="shared" si="4"/>
        <v>1</v>
      </c>
    </row>
    <row r="316" spans="1:9" ht="384">
      <c r="A316" t="s">
        <v>3390</v>
      </c>
      <c r="B316">
        <v>5</v>
      </c>
      <c r="C316" t="s">
        <v>312</v>
      </c>
      <c r="D316">
        <v>1</v>
      </c>
      <c r="E316" t="s">
        <v>177</v>
      </c>
      <c r="F316">
        <v>1</v>
      </c>
      <c r="G316" s="10" t="s">
        <v>3497</v>
      </c>
      <c r="H316" cm="1">
        <f t="array" ref="H316">IF(OR(A316="",E316=""),"",SUMPRODUCT(($A$2:$A$581=A316)*($B$2:$B$581&lt;B316)*$I$2:$I$581))</f>
        <v>11</v>
      </c>
      <c r="I316">
        <f t="shared" si="4"/>
        <v>1</v>
      </c>
    </row>
    <row r="317" spans="1:9" ht="345">
      <c r="A317" t="s">
        <v>3390</v>
      </c>
      <c r="B317">
        <v>6</v>
      </c>
      <c r="C317" t="s">
        <v>1776</v>
      </c>
      <c r="D317">
        <v>1</v>
      </c>
      <c r="G317" s="10" t="s">
        <v>3528</v>
      </c>
      <c r="H317" t="str" cm="1">
        <f t="array" ref="H317">IF(OR(A317="",E317=""),"",SUMPRODUCT(($A$2:$A$581=A317)*($B$2:$B$581&lt;B317)*$I$2:$I$581))</f>
        <v/>
      </c>
      <c r="I317">
        <f t="shared" si="4"/>
        <v>0</v>
      </c>
    </row>
    <row r="318" spans="1:9" ht="409.6">
      <c r="A318" t="s">
        <v>3390</v>
      </c>
      <c r="B318">
        <v>7</v>
      </c>
      <c r="C318" t="s">
        <v>350</v>
      </c>
      <c r="D318">
        <v>1</v>
      </c>
      <c r="G318" s="10" t="s">
        <v>3539</v>
      </c>
      <c r="H318" t="str" cm="1">
        <f t="array" ref="H318">IF(OR(A318="",E318=""),"",SUMPRODUCT(($A$2:$A$581=A318)*($B$2:$B$581&lt;B318)*$I$2:$I$581))</f>
        <v/>
      </c>
      <c r="I318">
        <f t="shared" si="4"/>
        <v>0</v>
      </c>
    </row>
    <row r="319" spans="1:9" ht="196">
      <c r="A319" t="s">
        <v>3390</v>
      </c>
      <c r="B319">
        <v>8</v>
      </c>
      <c r="G319" s="10" t="s">
        <v>3554</v>
      </c>
      <c r="H319" t="str" cm="1">
        <f t="array" ref="H319">IF(OR(A319="",E319=""),"",SUMPRODUCT(($A$2:$A$581=A319)*($B$2:$B$581&lt;B319)*$I$2:$I$581))</f>
        <v/>
      </c>
      <c r="I319">
        <f t="shared" si="4"/>
        <v>0</v>
      </c>
    </row>
    <row r="320" spans="1:9" ht="358">
      <c r="A320" t="s">
        <v>3390</v>
      </c>
      <c r="B320">
        <v>9</v>
      </c>
      <c r="G320" s="10" t="s">
        <v>3572</v>
      </c>
      <c r="H320" t="str" cm="1">
        <f t="array" ref="H320">IF(OR(A320="",E320=""),"",SUMPRODUCT(($A$2:$A$581=A320)*($B$2:$B$581&lt;B320)*$I$2:$I$581))</f>
        <v/>
      </c>
      <c r="I320">
        <f t="shared" si="4"/>
        <v>0</v>
      </c>
    </row>
    <row r="321" spans="1:9" ht="409.6">
      <c r="A321" t="s">
        <v>3390</v>
      </c>
      <c r="B321">
        <v>10</v>
      </c>
      <c r="G321" s="10" t="s">
        <v>3576</v>
      </c>
      <c r="H321" t="str" cm="1">
        <f t="array" ref="H321">IF(OR(A321="",E321=""),"",SUMPRODUCT(($A$2:$A$581=A321)*($B$2:$B$581&lt;B321)*$I$2:$I$581))</f>
        <v/>
      </c>
      <c r="I321">
        <f t="shared" si="4"/>
        <v>0</v>
      </c>
    </row>
    <row r="322" spans="1:9" ht="210">
      <c r="A322" t="s">
        <v>3777</v>
      </c>
      <c r="B322">
        <v>1</v>
      </c>
      <c r="C322" t="s">
        <v>307</v>
      </c>
      <c r="D322">
        <v>10</v>
      </c>
      <c r="E322" t="s">
        <v>204</v>
      </c>
      <c r="F322">
        <v>17</v>
      </c>
      <c r="G322" s="10" t="s">
        <v>3780</v>
      </c>
      <c r="H322" cm="1">
        <f t="array" ref="H322">IF(OR(A322="",E322=""),"",SUMPRODUCT(($A$2:$A$581=A322)*($B$2:$B$581&lt;B322)*$I$2:$I$581))</f>
        <v>0</v>
      </c>
      <c r="I322">
        <f t="shared" si="4"/>
        <v>5</v>
      </c>
    </row>
    <row r="323" spans="1:9" ht="358">
      <c r="A323" t="s">
        <v>3777</v>
      </c>
      <c r="B323">
        <v>2</v>
      </c>
      <c r="C323" t="s">
        <v>333</v>
      </c>
      <c r="D323">
        <v>2</v>
      </c>
      <c r="G323" s="10" t="s">
        <v>3787</v>
      </c>
      <c r="H323" t="str" cm="1">
        <f t="array" ref="H323">IF(OR(A323="",E323=""),"",SUMPRODUCT(($A$2:$A$581=A323)*($B$2:$B$581&lt;B323)*$I$2:$I$581))</f>
        <v/>
      </c>
      <c r="I323">
        <f t="shared" ref="I323:I386" si="5">IF(OR(A323="",E323="",NOT(ISNUMBER(F323))),0,MIN(F323,5))</f>
        <v>0</v>
      </c>
    </row>
    <row r="324" spans="1:9" ht="397">
      <c r="A324" t="s">
        <v>3777</v>
      </c>
      <c r="B324">
        <v>3</v>
      </c>
      <c r="C324" t="s">
        <v>1776</v>
      </c>
      <c r="D324">
        <v>1</v>
      </c>
      <c r="G324" s="10" t="s">
        <v>3795</v>
      </c>
      <c r="H324" t="str" cm="1">
        <f t="array" ref="H324">IF(OR(A324="",E324=""),"",SUMPRODUCT(($A$2:$A$581=A324)*($B$2:$B$581&lt;B324)*$I$2:$I$581))</f>
        <v/>
      </c>
      <c r="I324">
        <f t="shared" si="5"/>
        <v>0</v>
      </c>
    </row>
    <row r="325" spans="1:9" ht="358">
      <c r="A325" t="s">
        <v>3777</v>
      </c>
      <c r="B325">
        <v>4</v>
      </c>
      <c r="C325" t="s">
        <v>624</v>
      </c>
      <c r="D325">
        <v>1</v>
      </c>
      <c r="G325" s="10" t="s">
        <v>3800</v>
      </c>
      <c r="H325" t="str" cm="1">
        <f t="array" ref="H325">IF(OR(A325="",E325=""),"",SUMPRODUCT(($A$2:$A$581=A325)*($B$2:$B$581&lt;B325)*$I$2:$I$581))</f>
        <v/>
      </c>
      <c r="I325">
        <f t="shared" si="5"/>
        <v>0</v>
      </c>
    </row>
    <row r="326" spans="1:9" ht="409.6">
      <c r="A326" t="s">
        <v>3777</v>
      </c>
      <c r="B326">
        <v>5</v>
      </c>
      <c r="C326" t="s">
        <v>318</v>
      </c>
      <c r="D326">
        <v>1</v>
      </c>
      <c r="G326" s="10" t="s">
        <v>3803</v>
      </c>
      <c r="H326" t="str" cm="1">
        <f t="array" ref="H326">IF(OR(A326="",E326=""),"",SUMPRODUCT(($A$2:$A$581=A326)*($B$2:$B$581&lt;B326)*$I$2:$I$581))</f>
        <v/>
      </c>
      <c r="I326">
        <f t="shared" si="5"/>
        <v>0</v>
      </c>
    </row>
    <row r="327" spans="1:9" ht="345">
      <c r="A327" t="s">
        <v>3777</v>
      </c>
      <c r="B327">
        <v>6</v>
      </c>
      <c r="C327" t="s">
        <v>350</v>
      </c>
      <c r="D327">
        <v>1</v>
      </c>
      <c r="G327" s="10" t="s">
        <v>3807</v>
      </c>
      <c r="H327" t="str" cm="1">
        <f t="array" ref="H327">IF(OR(A327="",E327=""),"",SUMPRODUCT(($A$2:$A$581=A327)*($B$2:$B$581&lt;B327)*$I$2:$I$581))</f>
        <v/>
      </c>
      <c r="I327">
        <f t="shared" si="5"/>
        <v>0</v>
      </c>
    </row>
    <row r="328" spans="1:9">
      <c r="A328" t="s">
        <v>3777</v>
      </c>
      <c r="B328">
        <v>7</v>
      </c>
      <c r="C328" t="s">
        <v>355</v>
      </c>
      <c r="D328">
        <v>1</v>
      </c>
      <c r="H328" t="str" cm="1">
        <f t="array" ref="H328">IF(OR(A328="",E328=""),"",SUMPRODUCT(($A$2:$A$581=A328)*($B$2:$B$581&lt;B328)*$I$2:$I$581))</f>
        <v/>
      </c>
      <c r="I328">
        <f t="shared" si="5"/>
        <v>0</v>
      </c>
    </row>
    <row r="329" spans="1:9">
      <c r="A329" t="s">
        <v>3777</v>
      </c>
      <c r="B329">
        <v>8</v>
      </c>
      <c r="H329" t="str" cm="1">
        <f t="array" ref="H329">IF(OR(A329="",E329=""),"",SUMPRODUCT(($A$2:$A$581=A329)*($B$2:$B$581&lt;B329)*$I$2:$I$581))</f>
        <v/>
      </c>
      <c r="I329">
        <f t="shared" si="5"/>
        <v>0</v>
      </c>
    </row>
    <row r="330" spans="1:9">
      <c r="A330" t="s">
        <v>3777</v>
      </c>
      <c r="B330">
        <v>9</v>
      </c>
      <c r="H330" t="str" cm="1">
        <f t="array" ref="H330">IF(OR(A330="",E330=""),"",SUMPRODUCT(($A$2:$A$581=A330)*($B$2:$B$581&lt;B330)*$I$2:$I$581))</f>
        <v/>
      </c>
      <c r="I330">
        <f t="shared" si="5"/>
        <v>0</v>
      </c>
    </row>
    <row r="331" spans="1:9">
      <c r="A331" t="s">
        <v>3777</v>
      </c>
      <c r="B331">
        <v>10</v>
      </c>
      <c r="H331" t="str" cm="1">
        <f t="array" ref="H331">IF(OR(A331="",E331=""),"",SUMPRODUCT(($A$2:$A$581=A331)*($B$2:$B$581&lt;B331)*$I$2:$I$581))</f>
        <v/>
      </c>
      <c r="I331">
        <f t="shared" si="5"/>
        <v>0</v>
      </c>
    </row>
    <row r="332" spans="1:9" ht="332">
      <c r="A332" t="s">
        <v>3809</v>
      </c>
      <c r="B332">
        <v>1</v>
      </c>
      <c r="C332" t="s">
        <v>1221</v>
      </c>
      <c r="D332">
        <v>6</v>
      </c>
      <c r="E332" t="s">
        <v>3813</v>
      </c>
      <c r="F332">
        <v>6</v>
      </c>
      <c r="G332" s="10" t="s">
        <v>3812</v>
      </c>
      <c r="H332" cm="1">
        <f t="array" ref="H332">IF(OR(A332="",E332=""),"",SUMPRODUCT(($A$2:$A$581=A332)*($B$2:$B$581&lt;B332)*$I$2:$I$581))</f>
        <v>0</v>
      </c>
      <c r="I332">
        <f t="shared" si="5"/>
        <v>5</v>
      </c>
    </row>
    <row r="333" spans="1:9" ht="293">
      <c r="A333" t="s">
        <v>3809</v>
      </c>
      <c r="B333">
        <v>2</v>
      </c>
      <c r="C333" t="s">
        <v>181</v>
      </c>
      <c r="D333">
        <v>6</v>
      </c>
      <c r="E333" t="s">
        <v>3830</v>
      </c>
      <c r="F333">
        <v>6</v>
      </c>
      <c r="G333" s="10" t="s">
        <v>3816</v>
      </c>
      <c r="H333" cm="1">
        <f t="array" ref="H333">IF(OR(A333="",E333=""),"",SUMPRODUCT(($A$2:$A$581=A333)*($B$2:$B$581&lt;B333)*$I$2:$I$581))</f>
        <v>5</v>
      </c>
      <c r="I333">
        <f t="shared" si="5"/>
        <v>5</v>
      </c>
    </row>
    <row r="334" spans="1:9" ht="224">
      <c r="A334" t="s">
        <v>3809</v>
      </c>
      <c r="B334">
        <v>3</v>
      </c>
      <c r="C334" t="s">
        <v>230</v>
      </c>
      <c r="D334">
        <v>2</v>
      </c>
      <c r="E334" t="s">
        <v>204</v>
      </c>
      <c r="F334">
        <v>3</v>
      </c>
      <c r="G334" s="10" t="s">
        <v>3824</v>
      </c>
      <c r="H334" cm="1">
        <f t="array" ref="H334">IF(OR(A334="",E334=""),"",SUMPRODUCT(($A$2:$A$581=A334)*($B$2:$B$581&lt;B334)*$I$2:$I$581))</f>
        <v>10</v>
      </c>
      <c r="I334">
        <f t="shared" si="5"/>
        <v>3</v>
      </c>
    </row>
    <row r="335" spans="1:9" ht="252">
      <c r="A335" t="s">
        <v>3809</v>
      </c>
      <c r="B335">
        <v>4</v>
      </c>
      <c r="C335" t="s">
        <v>355</v>
      </c>
      <c r="D335">
        <v>2</v>
      </c>
      <c r="E335" t="s">
        <v>177</v>
      </c>
      <c r="F335">
        <v>2</v>
      </c>
      <c r="G335" s="10" t="s">
        <v>2578</v>
      </c>
      <c r="H335" cm="1">
        <f t="array" ref="H335">IF(OR(A335="",E335=""),"",SUMPRODUCT(($A$2:$A$581=A335)*($B$2:$B$581&lt;B335)*$I$2:$I$581))</f>
        <v>13</v>
      </c>
      <c r="I335">
        <f t="shared" si="5"/>
        <v>2</v>
      </c>
    </row>
    <row r="336" spans="1:9" ht="306">
      <c r="A336" t="s">
        <v>3809</v>
      </c>
      <c r="B336">
        <v>5</v>
      </c>
      <c r="C336" t="s">
        <v>388</v>
      </c>
      <c r="D336">
        <v>1</v>
      </c>
      <c r="E336" t="s">
        <v>2975</v>
      </c>
      <c r="F336">
        <v>1</v>
      </c>
      <c r="G336" s="10" t="s">
        <v>3829</v>
      </c>
      <c r="H336" cm="1">
        <f t="array" ref="H336">IF(OR(A336="",E336=""),"",SUMPRODUCT(($A$2:$A$581=A336)*($B$2:$B$581&lt;B336)*$I$2:$I$581))</f>
        <v>15</v>
      </c>
      <c r="I336">
        <f t="shared" si="5"/>
        <v>1</v>
      </c>
    </row>
    <row r="337" spans="1:9" ht="384">
      <c r="A337" t="s">
        <v>3809</v>
      </c>
      <c r="B337">
        <v>6</v>
      </c>
      <c r="C337" t="s">
        <v>1391</v>
      </c>
      <c r="D337">
        <v>1</v>
      </c>
      <c r="E337" t="s">
        <v>3852</v>
      </c>
      <c r="F337">
        <v>1</v>
      </c>
      <c r="G337" s="10" t="s">
        <v>3833</v>
      </c>
      <c r="H337" cm="1">
        <f t="array" ref="H337">IF(OR(A337="",E337=""),"",SUMPRODUCT(($A$2:$A$581=A337)*($B$2:$B$581&lt;B337)*$I$2:$I$581))</f>
        <v>16</v>
      </c>
      <c r="I337">
        <f t="shared" si="5"/>
        <v>1</v>
      </c>
    </row>
    <row r="338" spans="1:9" ht="409.6">
      <c r="A338" t="s">
        <v>3809</v>
      </c>
      <c r="B338">
        <v>7</v>
      </c>
      <c r="C338" t="s">
        <v>307</v>
      </c>
      <c r="D338">
        <v>1</v>
      </c>
      <c r="G338" s="10" t="s">
        <v>3836</v>
      </c>
      <c r="H338" t="str" cm="1">
        <f t="array" ref="H338">IF(OR(A338="",E338=""),"",SUMPRODUCT(($A$2:$A$581=A338)*($B$2:$B$581&lt;B338)*$I$2:$I$581))</f>
        <v/>
      </c>
      <c r="I338">
        <f t="shared" si="5"/>
        <v>0</v>
      </c>
    </row>
    <row r="339" spans="1:9" ht="168">
      <c r="A339" t="s">
        <v>3809</v>
      </c>
      <c r="B339">
        <v>8</v>
      </c>
      <c r="G339" s="10" t="s">
        <v>3841</v>
      </c>
      <c r="H339" t="str" cm="1">
        <f t="array" ref="H339">IF(OR(A339="",E339=""),"",SUMPRODUCT(($A$2:$A$581=A339)*($B$2:$B$581&lt;B339)*$I$2:$I$581))</f>
        <v/>
      </c>
      <c r="I339">
        <f t="shared" si="5"/>
        <v>0</v>
      </c>
    </row>
    <row r="340" spans="1:9" ht="371">
      <c r="A340" t="s">
        <v>3809</v>
      </c>
      <c r="B340">
        <v>9</v>
      </c>
      <c r="G340" s="10" t="s">
        <v>3844</v>
      </c>
      <c r="H340" t="str" cm="1">
        <f t="array" ref="H340">IF(OR(A340="",E340=""),"",SUMPRODUCT(($A$2:$A$581=A340)*($B$2:$B$581&lt;B340)*$I$2:$I$581))</f>
        <v/>
      </c>
      <c r="I340">
        <f t="shared" si="5"/>
        <v>0</v>
      </c>
    </row>
    <row r="341" spans="1:9" ht="409.6">
      <c r="A341" t="s">
        <v>3809</v>
      </c>
      <c r="B341">
        <v>10</v>
      </c>
      <c r="G341" s="10" t="s">
        <v>3848</v>
      </c>
      <c r="H341" t="str" cm="1">
        <f t="array" ref="H341">IF(OR(A341="",E341=""),"",SUMPRODUCT(($A$2:$A$581=A341)*($B$2:$B$581&lt;B341)*$I$2:$I$581))</f>
        <v/>
      </c>
      <c r="I341">
        <f t="shared" si="5"/>
        <v>0</v>
      </c>
    </row>
    <row r="342" spans="1:9" ht="409.6">
      <c r="A342" t="s">
        <v>3856</v>
      </c>
      <c r="B342">
        <v>1</v>
      </c>
      <c r="C342" t="s">
        <v>241</v>
      </c>
      <c r="D342">
        <v>2</v>
      </c>
      <c r="E342" t="s">
        <v>204</v>
      </c>
      <c r="F342">
        <v>3</v>
      </c>
      <c r="G342" s="10" t="s">
        <v>3859</v>
      </c>
      <c r="H342" cm="1">
        <f t="array" ref="H342">IF(OR(A342="",E342=""),"",SUMPRODUCT(($A$2:$A$581=A342)*($B$2:$B$581&lt;B342)*$I$2:$I$581))</f>
        <v>0</v>
      </c>
      <c r="I342">
        <f t="shared" si="5"/>
        <v>3</v>
      </c>
    </row>
    <row r="343" spans="1:9" ht="266">
      <c r="A343" t="s">
        <v>3856</v>
      </c>
      <c r="B343">
        <v>2</v>
      </c>
      <c r="C343" t="s">
        <v>181</v>
      </c>
      <c r="D343">
        <v>1</v>
      </c>
      <c r="E343" t="s">
        <v>329</v>
      </c>
      <c r="F343">
        <v>2</v>
      </c>
      <c r="G343" s="10" t="s">
        <v>2076</v>
      </c>
      <c r="H343" cm="1">
        <f t="array" ref="H343">IF(OR(A343="",E343=""),"",SUMPRODUCT(($A$2:$A$581=A343)*($B$2:$B$581&lt;B343)*$I$2:$I$581))</f>
        <v>3</v>
      </c>
      <c r="I343">
        <f t="shared" si="5"/>
        <v>2</v>
      </c>
    </row>
    <row r="344" spans="1:9" ht="126">
      <c r="A344" t="s">
        <v>3856</v>
      </c>
      <c r="B344">
        <v>3</v>
      </c>
      <c r="C344" t="s">
        <v>196</v>
      </c>
      <c r="D344">
        <v>1</v>
      </c>
      <c r="E344" t="s">
        <v>185</v>
      </c>
      <c r="F344">
        <v>2</v>
      </c>
      <c r="G344" s="10" t="s">
        <v>3863</v>
      </c>
      <c r="H344" cm="1">
        <f t="array" ref="H344">IF(OR(A344="",E344=""),"",SUMPRODUCT(($A$2:$A$581=A344)*($B$2:$B$581&lt;B344)*$I$2:$I$581))</f>
        <v>5</v>
      </c>
      <c r="I344">
        <f t="shared" si="5"/>
        <v>2</v>
      </c>
    </row>
    <row r="345" spans="1:9" ht="358">
      <c r="A345" t="s">
        <v>3856</v>
      </c>
      <c r="B345">
        <v>4</v>
      </c>
      <c r="C345" t="s">
        <v>261</v>
      </c>
      <c r="D345">
        <v>1</v>
      </c>
      <c r="E345" t="s">
        <v>272</v>
      </c>
      <c r="F345">
        <v>2</v>
      </c>
      <c r="G345" s="10" t="s">
        <v>3866</v>
      </c>
      <c r="H345" cm="1">
        <f t="array" ref="H345">IF(OR(A345="",E345=""),"",SUMPRODUCT(($A$2:$A$581=A345)*($B$2:$B$581&lt;B345)*$I$2:$I$581))</f>
        <v>7</v>
      </c>
      <c r="I345">
        <f t="shared" si="5"/>
        <v>2</v>
      </c>
    </row>
    <row r="346" spans="1:9" ht="252">
      <c r="A346" t="s">
        <v>3856</v>
      </c>
      <c r="B346">
        <v>5</v>
      </c>
      <c r="C346" t="s">
        <v>287</v>
      </c>
      <c r="D346">
        <v>1</v>
      </c>
      <c r="E346" t="s">
        <v>1060</v>
      </c>
      <c r="F346">
        <v>1</v>
      </c>
      <c r="G346" s="10" t="s">
        <v>3869</v>
      </c>
      <c r="H346" cm="1">
        <f t="array" ref="H346">IF(OR(A346="",E346=""),"",SUMPRODUCT(($A$2:$A$581=A346)*($B$2:$B$581&lt;B346)*$I$2:$I$581))</f>
        <v>9</v>
      </c>
      <c r="I346">
        <f t="shared" si="5"/>
        <v>1</v>
      </c>
    </row>
    <row r="347" spans="1:9" ht="196">
      <c r="A347" t="s">
        <v>3856</v>
      </c>
      <c r="B347">
        <v>6</v>
      </c>
      <c r="C347" t="s">
        <v>1776</v>
      </c>
      <c r="D347">
        <v>1</v>
      </c>
      <c r="E347" t="s">
        <v>953</v>
      </c>
      <c r="F347">
        <v>1</v>
      </c>
      <c r="G347" s="10" t="s">
        <v>3872</v>
      </c>
      <c r="H347" cm="1">
        <f t="array" ref="H347">IF(OR(A347="",E347=""),"",SUMPRODUCT(($A$2:$A$581=A347)*($B$2:$B$581&lt;B347)*$I$2:$I$581))</f>
        <v>10</v>
      </c>
      <c r="I347">
        <f t="shared" si="5"/>
        <v>1</v>
      </c>
    </row>
    <row r="348" spans="1:9" ht="266">
      <c r="A348" t="s">
        <v>3856</v>
      </c>
      <c r="B348">
        <v>7</v>
      </c>
      <c r="C348" t="s">
        <v>624</v>
      </c>
      <c r="D348">
        <v>1</v>
      </c>
      <c r="G348" s="10" t="s">
        <v>3875</v>
      </c>
      <c r="H348" t="str" cm="1">
        <f t="array" ref="H348">IF(OR(A348="",E348=""),"",SUMPRODUCT(($A$2:$A$581=A348)*($B$2:$B$581&lt;B348)*$I$2:$I$581))</f>
        <v/>
      </c>
      <c r="I348">
        <f t="shared" si="5"/>
        <v>0</v>
      </c>
    </row>
    <row r="349" spans="1:9" ht="252">
      <c r="A349" t="s">
        <v>3856</v>
      </c>
      <c r="B349">
        <v>8</v>
      </c>
      <c r="C349" t="s">
        <v>350</v>
      </c>
      <c r="D349">
        <v>1</v>
      </c>
      <c r="G349" s="10" t="s">
        <v>3878</v>
      </c>
      <c r="H349" t="str" cm="1">
        <f t="array" ref="H349">IF(OR(A349="",E349=""),"",SUMPRODUCT(($A$2:$A$581=A349)*($B$2:$B$581&lt;B349)*$I$2:$I$581))</f>
        <v/>
      </c>
      <c r="I349">
        <f t="shared" si="5"/>
        <v>0</v>
      </c>
    </row>
    <row r="350" spans="1:9" ht="196">
      <c r="A350" t="s">
        <v>3856</v>
      </c>
      <c r="B350">
        <v>9</v>
      </c>
      <c r="C350" t="s">
        <v>355</v>
      </c>
      <c r="D350">
        <v>1</v>
      </c>
      <c r="G350" s="10" t="s">
        <v>3881</v>
      </c>
      <c r="H350" t="str" cm="1">
        <f t="array" ref="H350">IF(OR(A350="",E350=""),"",SUMPRODUCT(($A$2:$A$581=A350)*($B$2:$B$581&lt;B350)*$I$2:$I$581))</f>
        <v/>
      </c>
      <c r="I350">
        <f t="shared" si="5"/>
        <v>0</v>
      </c>
    </row>
    <row r="351" spans="1:9" ht="266">
      <c r="A351" t="s">
        <v>3856</v>
      </c>
      <c r="B351">
        <v>10</v>
      </c>
      <c r="C351" t="s">
        <v>777</v>
      </c>
      <c r="D351">
        <v>1</v>
      </c>
      <c r="G351" s="10" t="s">
        <v>3885</v>
      </c>
      <c r="H351" t="str" cm="1">
        <f t="array" ref="H351">IF(OR(A351="",E351=""),"",SUMPRODUCT(($A$2:$A$581=A351)*($B$2:$B$581&lt;B351)*$I$2:$I$581))</f>
        <v/>
      </c>
      <c r="I351">
        <f t="shared" si="5"/>
        <v>0</v>
      </c>
    </row>
    <row r="352" spans="1:9" ht="252">
      <c r="A352" t="s">
        <v>3890</v>
      </c>
      <c r="B352">
        <v>1</v>
      </c>
      <c r="C352" t="s">
        <v>202</v>
      </c>
      <c r="D352">
        <v>15</v>
      </c>
      <c r="E352" t="s">
        <v>204</v>
      </c>
      <c r="F352">
        <v>17</v>
      </c>
      <c r="G352" s="10" t="s">
        <v>3893</v>
      </c>
      <c r="H352" cm="1">
        <f t="array" ref="H352">IF(OR(A352="",E352=""),"",SUMPRODUCT(($A$2:$A$581=A352)*($B$2:$B$581&lt;B352)*$I$2:$I$581))</f>
        <v>0</v>
      </c>
      <c r="I352">
        <f t="shared" si="5"/>
        <v>5</v>
      </c>
    </row>
    <row r="353" spans="1:9" ht="306">
      <c r="A353" t="s">
        <v>3890</v>
      </c>
      <c r="B353">
        <v>2</v>
      </c>
      <c r="C353" t="s">
        <v>241</v>
      </c>
      <c r="D353">
        <v>1</v>
      </c>
      <c r="G353" s="10" t="s">
        <v>3187</v>
      </c>
      <c r="H353" t="str" cm="1">
        <f t="array" ref="H353">IF(OR(A353="",E353=""),"",SUMPRODUCT(($A$2:$A$581=A353)*($B$2:$B$581&lt;B353)*$I$2:$I$581))</f>
        <v/>
      </c>
      <c r="I353">
        <f t="shared" si="5"/>
        <v>0</v>
      </c>
    </row>
    <row r="354" spans="1:9" ht="252">
      <c r="A354" t="s">
        <v>3890</v>
      </c>
      <c r="B354">
        <v>3</v>
      </c>
      <c r="C354" t="s">
        <v>312</v>
      </c>
      <c r="D354">
        <v>1</v>
      </c>
      <c r="G354" s="10" t="s">
        <v>3901</v>
      </c>
      <c r="H354" t="str" cm="1">
        <f t="array" ref="H354">IF(OR(A354="",E354=""),"",SUMPRODUCT(($A$2:$A$581=A354)*($B$2:$B$581&lt;B354)*$I$2:$I$581))</f>
        <v/>
      </c>
      <c r="I354">
        <f t="shared" si="5"/>
        <v>0</v>
      </c>
    </row>
    <row r="355" spans="1:9" ht="371">
      <c r="A355" t="s">
        <v>3890</v>
      </c>
      <c r="B355">
        <v>4</v>
      </c>
      <c r="G355" s="10" t="s">
        <v>3904</v>
      </c>
      <c r="H355" t="str" cm="1">
        <f t="array" ref="H355">IF(OR(A355="",E355=""),"",SUMPRODUCT(($A$2:$A$581=A355)*($B$2:$B$581&lt;B355)*$I$2:$I$581))</f>
        <v/>
      </c>
      <c r="I355">
        <f t="shared" si="5"/>
        <v>0</v>
      </c>
    </row>
    <row r="356" spans="1:9" ht="182">
      <c r="A356" t="s">
        <v>3890</v>
      </c>
      <c r="B356">
        <v>5</v>
      </c>
      <c r="G356" s="10" t="s">
        <v>3909</v>
      </c>
      <c r="H356" t="str" cm="1">
        <f t="array" ref="H356">IF(OR(A356="",E356=""),"",SUMPRODUCT(($A$2:$A$581=A356)*($B$2:$B$581&lt;B356)*$I$2:$I$581))</f>
        <v/>
      </c>
      <c r="I356">
        <f t="shared" si="5"/>
        <v>0</v>
      </c>
    </row>
    <row r="357" spans="1:9" ht="252">
      <c r="A357" t="s">
        <v>3890</v>
      </c>
      <c r="B357">
        <v>6</v>
      </c>
      <c r="G357" s="10" t="s">
        <v>3917</v>
      </c>
      <c r="H357" t="str" cm="1">
        <f t="array" ref="H357">IF(OR(A357="",E357=""),"",SUMPRODUCT(($A$2:$A$581=A357)*($B$2:$B$581&lt;B357)*$I$2:$I$581))</f>
        <v/>
      </c>
      <c r="I357">
        <f t="shared" si="5"/>
        <v>0</v>
      </c>
    </row>
    <row r="358" spans="1:9" ht="358">
      <c r="A358" t="s">
        <v>3890</v>
      </c>
      <c r="B358">
        <v>7</v>
      </c>
      <c r="G358" s="10" t="s">
        <v>3920</v>
      </c>
      <c r="H358" t="str" cm="1">
        <f t="array" ref="H358">IF(OR(A358="",E358=""),"",SUMPRODUCT(($A$2:$A$581=A358)*($B$2:$B$581&lt;B358)*$I$2:$I$581))</f>
        <v/>
      </c>
      <c r="I358">
        <f t="shared" si="5"/>
        <v>0</v>
      </c>
    </row>
    <row r="359" spans="1:9">
      <c r="A359" t="s">
        <v>3890</v>
      </c>
      <c r="B359">
        <v>8</v>
      </c>
      <c r="H359" t="str" cm="1">
        <f t="array" ref="H359">IF(OR(A359="",E359=""),"",SUMPRODUCT(($A$2:$A$581=A359)*($B$2:$B$581&lt;B359)*$I$2:$I$581))</f>
        <v/>
      </c>
      <c r="I359">
        <f t="shared" si="5"/>
        <v>0</v>
      </c>
    </row>
    <row r="360" spans="1:9">
      <c r="A360" t="s">
        <v>3890</v>
      </c>
      <c r="B360">
        <v>9</v>
      </c>
      <c r="H360" t="str" cm="1">
        <f t="array" ref="H360">IF(OR(A360="",E360=""),"",SUMPRODUCT(($A$2:$A$581=A360)*($B$2:$B$581&lt;B360)*$I$2:$I$581))</f>
        <v/>
      </c>
      <c r="I360">
        <f t="shared" si="5"/>
        <v>0</v>
      </c>
    </row>
    <row r="361" spans="1:9">
      <c r="A361" t="s">
        <v>3890</v>
      </c>
      <c r="B361">
        <v>10</v>
      </c>
      <c r="H361" t="str" cm="1">
        <f t="array" ref="H361">IF(OR(A361="",E361=""),"",SUMPRODUCT(($A$2:$A$581=A361)*($B$2:$B$581&lt;B361)*$I$2:$I$581))</f>
        <v/>
      </c>
      <c r="I361">
        <f t="shared" si="5"/>
        <v>0</v>
      </c>
    </row>
    <row r="362" spans="1:9" ht="238">
      <c r="A362" t="s">
        <v>3921</v>
      </c>
      <c r="B362">
        <v>1</v>
      </c>
      <c r="C362" t="s">
        <v>355</v>
      </c>
      <c r="D362">
        <v>8</v>
      </c>
      <c r="E362" t="s">
        <v>177</v>
      </c>
      <c r="F362">
        <v>5</v>
      </c>
      <c r="G362" s="10" t="s">
        <v>188</v>
      </c>
      <c r="H362" cm="1">
        <f t="array" ref="H362">IF(OR(A362="",E362=""),"",SUMPRODUCT(($A$2:$A$581=A362)*($B$2:$B$581&lt;B362)*$I$2:$I$581))</f>
        <v>0</v>
      </c>
      <c r="I362">
        <f t="shared" si="5"/>
        <v>5</v>
      </c>
    </row>
    <row r="363" spans="1:9" ht="319">
      <c r="A363" t="s">
        <v>3921</v>
      </c>
      <c r="B363">
        <v>2</v>
      </c>
      <c r="C363" t="s">
        <v>181</v>
      </c>
      <c r="D363">
        <v>6</v>
      </c>
      <c r="E363" t="s">
        <v>185</v>
      </c>
      <c r="F363">
        <v>4</v>
      </c>
      <c r="G363" s="10" t="s">
        <v>3169</v>
      </c>
      <c r="H363" cm="1">
        <f t="array" ref="H363">IF(OR(A363="",E363=""),"",SUMPRODUCT(($A$2:$A$581=A363)*($B$2:$B$581&lt;B363)*$I$2:$I$581))</f>
        <v>5</v>
      </c>
      <c r="I363">
        <f t="shared" si="5"/>
        <v>4</v>
      </c>
    </row>
    <row r="364" spans="1:9" ht="224">
      <c r="A364" t="s">
        <v>3921</v>
      </c>
      <c r="B364">
        <v>3</v>
      </c>
      <c r="C364" t="s">
        <v>196</v>
      </c>
      <c r="D364">
        <v>3</v>
      </c>
      <c r="E364" t="s">
        <v>204</v>
      </c>
      <c r="F364">
        <v>4</v>
      </c>
      <c r="G364" s="10" t="s">
        <v>3928</v>
      </c>
      <c r="H364" cm="1">
        <f t="array" ref="H364">IF(OR(A364="",E364=""),"",SUMPRODUCT(($A$2:$A$581=A364)*($B$2:$B$581&lt;B364)*$I$2:$I$581))</f>
        <v>9</v>
      </c>
      <c r="I364">
        <f t="shared" si="5"/>
        <v>4</v>
      </c>
    </row>
    <row r="365" spans="1:9" ht="252">
      <c r="A365" t="s">
        <v>3921</v>
      </c>
      <c r="B365">
        <v>4</v>
      </c>
      <c r="C365" t="s">
        <v>230</v>
      </c>
      <c r="D365">
        <v>1</v>
      </c>
      <c r="E365" t="s">
        <v>1060</v>
      </c>
      <c r="F365">
        <v>3</v>
      </c>
      <c r="G365" s="10" t="s">
        <v>2045</v>
      </c>
      <c r="H365" cm="1">
        <f t="array" ref="H365">IF(OR(A365="",E365=""),"",SUMPRODUCT(($A$2:$A$581=A365)*($B$2:$B$581&lt;B365)*$I$2:$I$581))</f>
        <v>13</v>
      </c>
      <c r="I365">
        <f t="shared" si="5"/>
        <v>3</v>
      </c>
    </row>
    <row r="366" spans="1:9">
      <c r="A366" t="s">
        <v>3921</v>
      </c>
      <c r="B366">
        <v>5</v>
      </c>
      <c r="E366" t="s">
        <v>272</v>
      </c>
      <c r="F366">
        <v>1</v>
      </c>
      <c r="G366" t="s">
        <v>3936</v>
      </c>
      <c r="H366" cm="1">
        <f t="array" ref="H366">IF(OR(A366="",E366=""),"",SUMPRODUCT(($A$2:$A$581=A366)*($B$2:$B$581&lt;B366)*$I$2:$I$581))</f>
        <v>16</v>
      </c>
      <c r="I366">
        <f t="shared" si="5"/>
        <v>1</v>
      </c>
    </row>
    <row r="367" spans="1:9" ht="168">
      <c r="A367" t="s">
        <v>3921</v>
      </c>
      <c r="B367">
        <v>6</v>
      </c>
      <c r="E367" t="s">
        <v>2975</v>
      </c>
      <c r="F367">
        <v>1</v>
      </c>
      <c r="G367" s="10" t="s">
        <v>201</v>
      </c>
      <c r="H367" cm="1">
        <f t="array" ref="H367">IF(OR(A367="",E367=""),"",SUMPRODUCT(($A$2:$A$581=A367)*($B$2:$B$581&lt;B367)*$I$2:$I$581))</f>
        <v>17</v>
      </c>
      <c r="I367">
        <f t="shared" si="5"/>
        <v>1</v>
      </c>
    </row>
    <row r="368" spans="1:9" ht="168">
      <c r="A368" t="s">
        <v>3921</v>
      </c>
      <c r="B368">
        <v>7</v>
      </c>
      <c r="G368" s="10" t="s">
        <v>2103</v>
      </c>
      <c r="H368" t="str" cm="1">
        <f t="array" ref="H368">IF(OR(A368="",E368=""),"",SUMPRODUCT(($A$2:$A$581=A368)*($B$2:$B$581&lt;B368)*$I$2:$I$581))</f>
        <v/>
      </c>
      <c r="I368">
        <f t="shared" si="5"/>
        <v>0</v>
      </c>
    </row>
    <row r="369" spans="1:9">
      <c r="A369" t="s">
        <v>3921</v>
      </c>
      <c r="B369">
        <v>8</v>
      </c>
      <c r="G369" t="s">
        <v>3942</v>
      </c>
      <c r="H369" t="str" cm="1">
        <f t="array" ref="H369">IF(OR(A369="",E369=""),"",SUMPRODUCT(($A$2:$A$581=A369)*($B$2:$B$581&lt;B369)*$I$2:$I$581))</f>
        <v/>
      </c>
      <c r="I369">
        <f t="shared" si="5"/>
        <v>0</v>
      </c>
    </row>
    <row r="370" spans="1:9" ht="319">
      <c r="A370" t="s">
        <v>3921</v>
      </c>
      <c r="B370">
        <v>9</v>
      </c>
      <c r="G370" s="10" t="s">
        <v>3945</v>
      </c>
      <c r="H370" t="str" cm="1">
        <f t="array" ref="H370">IF(OR(A370="",E370=""),"",SUMPRODUCT(($A$2:$A$581=A370)*($B$2:$B$581&lt;B370)*$I$2:$I$581))</f>
        <v/>
      </c>
      <c r="I370">
        <f t="shared" si="5"/>
        <v>0</v>
      </c>
    </row>
    <row r="371" spans="1:9" ht="238">
      <c r="A371" t="s">
        <v>3921</v>
      </c>
      <c r="B371">
        <v>10</v>
      </c>
      <c r="G371" s="10" t="s">
        <v>3948</v>
      </c>
      <c r="H371" t="str" cm="1">
        <f t="array" ref="H371">IF(OR(A371="",E371=""),"",SUMPRODUCT(($A$2:$A$581=A371)*($B$2:$B$581&lt;B371)*$I$2:$I$581))</f>
        <v/>
      </c>
      <c r="I371">
        <f t="shared" si="5"/>
        <v>0</v>
      </c>
    </row>
    <row r="372" spans="1:9" ht="196">
      <c r="A372" t="s">
        <v>3961</v>
      </c>
      <c r="B372">
        <v>1</v>
      </c>
      <c r="C372" t="s">
        <v>196</v>
      </c>
      <c r="D372">
        <v>16</v>
      </c>
      <c r="E372" t="s">
        <v>185</v>
      </c>
      <c r="F372">
        <v>20</v>
      </c>
      <c r="G372" s="10" t="s">
        <v>3965</v>
      </c>
      <c r="H372" cm="1">
        <f t="array" ref="H372">IF(OR(A372="",E372=""),"",SUMPRODUCT(($A$2:$A$581=A372)*($B$2:$B$581&lt;B372)*$I$2:$I$581))</f>
        <v>0</v>
      </c>
      <c r="I372">
        <f t="shared" si="5"/>
        <v>5</v>
      </c>
    </row>
    <row r="373" spans="1:9" ht="358">
      <c r="A373" t="s">
        <v>3961</v>
      </c>
      <c r="B373">
        <v>2</v>
      </c>
      <c r="C373" t="s">
        <v>181</v>
      </c>
      <c r="D373">
        <v>4</v>
      </c>
      <c r="E373" t="s">
        <v>204</v>
      </c>
      <c r="F373">
        <v>13</v>
      </c>
      <c r="G373" s="10" t="s">
        <v>3968</v>
      </c>
      <c r="H373" cm="1">
        <f t="array" ref="H373">IF(OR(A373="",E373=""),"",SUMPRODUCT(($A$2:$A$581=A373)*($B$2:$B$581&lt;B373)*$I$2:$I$581))</f>
        <v>5</v>
      </c>
      <c r="I373">
        <f t="shared" si="5"/>
        <v>5</v>
      </c>
    </row>
    <row r="374" spans="1:9" ht="409.6">
      <c r="A374" t="s">
        <v>3961</v>
      </c>
      <c r="B374">
        <v>3</v>
      </c>
      <c r="C374" t="s">
        <v>307</v>
      </c>
      <c r="D374">
        <v>4</v>
      </c>
      <c r="E374" t="s">
        <v>953</v>
      </c>
      <c r="F374">
        <v>4</v>
      </c>
      <c r="G374" s="10" t="s">
        <v>3970</v>
      </c>
      <c r="H374" cm="1">
        <f t="array" ref="H374">IF(OR(A374="",E374=""),"",SUMPRODUCT(($A$2:$A$581=A374)*($B$2:$B$581&lt;B374)*$I$2:$I$581))</f>
        <v>10</v>
      </c>
      <c r="I374">
        <f t="shared" si="5"/>
        <v>4</v>
      </c>
    </row>
    <row r="375" spans="1:9" ht="210">
      <c r="A375" t="s">
        <v>3961</v>
      </c>
      <c r="B375">
        <v>4</v>
      </c>
      <c r="C375" t="s">
        <v>649</v>
      </c>
      <c r="D375">
        <v>4</v>
      </c>
      <c r="E375" t="s">
        <v>177</v>
      </c>
      <c r="F375">
        <v>1</v>
      </c>
      <c r="G375" s="10" t="s">
        <v>2063</v>
      </c>
      <c r="H375" cm="1">
        <f t="array" ref="H375">IF(OR(A375="",E375=""),"",SUMPRODUCT(($A$2:$A$581=A375)*($B$2:$B$581&lt;B375)*$I$2:$I$581))</f>
        <v>14</v>
      </c>
      <c r="I375">
        <f t="shared" si="5"/>
        <v>1</v>
      </c>
    </row>
    <row r="376" spans="1:9" ht="371">
      <c r="A376" t="s">
        <v>3961</v>
      </c>
      <c r="B376">
        <v>5</v>
      </c>
      <c r="C376" t="s">
        <v>241</v>
      </c>
      <c r="D376">
        <v>2</v>
      </c>
      <c r="G376" s="10" t="s">
        <v>2053</v>
      </c>
      <c r="H376" t="str" cm="1">
        <f t="array" ref="H376">IF(OR(A376="",E376=""),"",SUMPRODUCT(($A$2:$A$581=A376)*($B$2:$B$581&lt;B376)*$I$2:$I$581))</f>
        <v/>
      </c>
      <c r="I376">
        <f t="shared" si="5"/>
        <v>0</v>
      </c>
    </row>
    <row r="377" spans="1:9" ht="384">
      <c r="A377" t="s">
        <v>3961</v>
      </c>
      <c r="B377">
        <v>6</v>
      </c>
      <c r="C377" t="s">
        <v>339</v>
      </c>
      <c r="D377">
        <v>2</v>
      </c>
      <c r="G377" s="10" t="s">
        <v>2627</v>
      </c>
      <c r="H377" t="str" cm="1">
        <f t="array" ref="H377">IF(OR(A377="",E377=""),"",SUMPRODUCT(($A$2:$A$581=A377)*($B$2:$B$581&lt;B377)*$I$2:$I$581))</f>
        <v/>
      </c>
      <c r="I377">
        <f t="shared" si="5"/>
        <v>0</v>
      </c>
    </row>
    <row r="378" spans="1:9" ht="358">
      <c r="A378" t="s">
        <v>3961</v>
      </c>
      <c r="B378">
        <v>7</v>
      </c>
      <c r="C378" t="s">
        <v>366</v>
      </c>
      <c r="D378">
        <v>2</v>
      </c>
      <c r="G378" s="10" t="s">
        <v>3993</v>
      </c>
      <c r="H378" t="str" cm="1">
        <f t="array" ref="H378">IF(OR(A378="",E378=""),"",SUMPRODUCT(($A$2:$A$581=A378)*($B$2:$B$581&lt;B378)*$I$2:$I$581))</f>
        <v/>
      </c>
      <c r="I378">
        <f t="shared" si="5"/>
        <v>0</v>
      </c>
    </row>
    <row r="379" spans="1:9">
      <c r="A379" t="s">
        <v>3961</v>
      </c>
      <c r="B379">
        <v>8</v>
      </c>
      <c r="C379" t="s">
        <v>388</v>
      </c>
      <c r="D379">
        <v>1</v>
      </c>
      <c r="G379" t="s">
        <v>3996</v>
      </c>
      <c r="H379" t="str" cm="1">
        <f t="array" ref="H379">IF(OR(A379="",E379=""),"",SUMPRODUCT(($A$2:$A$581=A379)*($B$2:$B$581&lt;B379)*$I$2:$I$581))</f>
        <v/>
      </c>
      <c r="I379">
        <f t="shared" si="5"/>
        <v>0</v>
      </c>
    </row>
    <row r="380" spans="1:9" ht="238">
      <c r="A380" t="s">
        <v>3961</v>
      </c>
      <c r="B380">
        <v>9</v>
      </c>
      <c r="C380" t="s">
        <v>261</v>
      </c>
      <c r="D380">
        <v>1</v>
      </c>
      <c r="G380" s="10" t="s">
        <v>3999</v>
      </c>
      <c r="H380" t="str" cm="1">
        <f t="array" ref="H380">IF(OR(A380="",E380=""),"",SUMPRODUCT(($A$2:$A$581=A380)*($B$2:$B$581&lt;B380)*$I$2:$I$581))</f>
        <v/>
      </c>
      <c r="I380">
        <f t="shared" si="5"/>
        <v>0</v>
      </c>
    </row>
    <row r="381" spans="1:9" ht="358">
      <c r="A381" t="s">
        <v>3961</v>
      </c>
      <c r="B381">
        <v>10</v>
      </c>
      <c r="C381" t="s">
        <v>287</v>
      </c>
      <c r="D381">
        <v>1</v>
      </c>
      <c r="G381" s="10" t="s">
        <v>2434</v>
      </c>
      <c r="H381" t="str" cm="1">
        <f t="array" ref="H381">IF(OR(A381="",E381=""),"",SUMPRODUCT(($A$2:$A$581=A381)*($B$2:$B$581&lt;B381)*$I$2:$I$581))</f>
        <v/>
      </c>
      <c r="I381">
        <f t="shared" si="5"/>
        <v>0</v>
      </c>
    </row>
    <row r="382" spans="1:9">
      <c r="A382" t="s">
        <v>3685</v>
      </c>
      <c r="B382">
        <v>1</v>
      </c>
      <c r="C382" t="s">
        <v>230</v>
      </c>
      <c r="D382">
        <v>4</v>
      </c>
      <c r="E382" t="s">
        <v>3685</v>
      </c>
      <c r="F382">
        <v>12</v>
      </c>
      <c r="G382" t="s">
        <v>3688</v>
      </c>
      <c r="H382" cm="1">
        <f t="array" ref="H382">IF(OR(A382="",E382=""),"",SUMPRODUCT(($A$2:$A$581=A382)*($B$2:$B$581&lt;B382)*$I$2:$I$581))</f>
        <v>0</v>
      </c>
      <c r="I382">
        <f t="shared" si="5"/>
        <v>5</v>
      </c>
    </row>
    <row r="383" spans="1:9" ht="252">
      <c r="A383" t="s">
        <v>3685</v>
      </c>
      <c r="B383">
        <v>2</v>
      </c>
      <c r="C383" t="s">
        <v>241</v>
      </c>
      <c r="D383">
        <v>2</v>
      </c>
      <c r="E383" t="s">
        <v>329</v>
      </c>
      <c r="F383">
        <v>1</v>
      </c>
      <c r="G383" s="10" t="s">
        <v>4036</v>
      </c>
      <c r="H383" cm="1">
        <f t="array" ref="H383">IF(OR(A383="",E383=""),"",SUMPRODUCT(($A$2:$A$581=A383)*($B$2:$B$581&lt;B383)*$I$2:$I$581))</f>
        <v>5</v>
      </c>
      <c r="I383">
        <f t="shared" si="5"/>
        <v>1</v>
      </c>
    </row>
    <row r="384" spans="1:9" ht="154">
      <c r="A384" t="s">
        <v>3685</v>
      </c>
      <c r="B384">
        <v>3</v>
      </c>
      <c r="C384" t="s">
        <v>395</v>
      </c>
      <c r="D384">
        <v>1</v>
      </c>
      <c r="G384" s="10" t="s">
        <v>4108</v>
      </c>
      <c r="H384" t="str" cm="1">
        <f t="array" ref="H384">IF(OR(A384="",E384=""),"",SUMPRODUCT(($A$2:$A$581=A384)*($B$2:$B$581&lt;B384)*$I$2:$I$581))</f>
        <v/>
      </c>
      <c r="I384">
        <f t="shared" si="5"/>
        <v>0</v>
      </c>
    </row>
    <row r="385" spans="1:9" ht="409.6">
      <c r="A385" t="s">
        <v>3685</v>
      </c>
      <c r="B385">
        <v>4</v>
      </c>
      <c r="C385" t="s">
        <v>1193</v>
      </c>
      <c r="D385">
        <v>1</v>
      </c>
      <c r="G385" s="10" t="s">
        <v>4111</v>
      </c>
      <c r="H385" t="str" cm="1">
        <f t="array" ref="H385">IF(OR(A385="",E385=""),"",SUMPRODUCT(($A$2:$A$581=A385)*($B$2:$B$581&lt;B385)*$I$2:$I$581))</f>
        <v/>
      </c>
      <c r="I385">
        <f t="shared" si="5"/>
        <v>0</v>
      </c>
    </row>
    <row r="386" spans="1:9" ht="112">
      <c r="A386" t="s">
        <v>3685</v>
      </c>
      <c r="B386">
        <v>5</v>
      </c>
      <c r="C386" t="s">
        <v>170</v>
      </c>
      <c r="D386">
        <v>1</v>
      </c>
      <c r="G386" s="10" t="s">
        <v>5076</v>
      </c>
      <c r="H386" t="str" cm="1">
        <f t="array" ref="H386">IF(OR(A386="",E386=""),"",SUMPRODUCT(($A$2:$A$581=A386)*($B$2:$B$581&lt;B386)*$I$2:$I$581))</f>
        <v/>
      </c>
      <c r="I386">
        <f t="shared" si="5"/>
        <v>0</v>
      </c>
    </row>
    <row r="387" spans="1:9">
      <c r="A387" t="s">
        <v>3685</v>
      </c>
      <c r="B387">
        <v>6</v>
      </c>
      <c r="C387" t="s">
        <v>276</v>
      </c>
      <c r="D387">
        <v>1</v>
      </c>
      <c r="H387" t="str" cm="1">
        <f t="array" ref="H387">IF(OR(A387="",E387=""),"",SUMPRODUCT(($A$2:$A$581=A387)*($B$2:$B$581&lt;B387)*$I$2:$I$581))</f>
        <v/>
      </c>
      <c r="I387">
        <f t="shared" ref="I387:I450" si="6">IF(OR(A387="",E387="",NOT(ISNUMBER(F387))),0,MIN(F387,5))</f>
        <v>0</v>
      </c>
    </row>
    <row r="388" spans="1:9">
      <c r="A388" t="s">
        <v>3685</v>
      </c>
      <c r="B388">
        <v>7</v>
      </c>
      <c r="C388" t="s">
        <v>312</v>
      </c>
      <c r="D388">
        <v>1</v>
      </c>
      <c r="H388" t="str" cm="1">
        <f t="array" ref="H388">IF(OR(A388="",E388=""),"",SUMPRODUCT(($A$2:$A$581=A388)*($B$2:$B$581&lt;B388)*$I$2:$I$581))</f>
        <v/>
      </c>
      <c r="I388">
        <f t="shared" si="6"/>
        <v>0</v>
      </c>
    </row>
    <row r="389" spans="1:9">
      <c r="A389" t="s">
        <v>3685</v>
      </c>
      <c r="B389">
        <v>8</v>
      </c>
      <c r="C389" t="s">
        <v>350</v>
      </c>
      <c r="D389">
        <v>1</v>
      </c>
      <c r="H389" t="str" cm="1">
        <f t="array" ref="H389">IF(OR(A389="",E389=""),"",SUMPRODUCT(($A$2:$A$581=A389)*($B$2:$B$581&lt;B389)*$I$2:$I$581))</f>
        <v/>
      </c>
      <c r="I389">
        <f t="shared" si="6"/>
        <v>0</v>
      </c>
    </row>
    <row r="390" spans="1:9">
      <c r="A390" t="s">
        <v>3685</v>
      </c>
      <c r="B390">
        <v>9</v>
      </c>
      <c r="C390" t="s">
        <v>1216</v>
      </c>
      <c r="D390">
        <v>1</v>
      </c>
      <c r="H390" t="str" cm="1">
        <f t="array" ref="H390">IF(OR(A390="",E390=""),"",SUMPRODUCT(($A$2:$A$581=A390)*($B$2:$B$581&lt;B390)*$I$2:$I$581))</f>
        <v/>
      </c>
      <c r="I390">
        <f t="shared" si="6"/>
        <v>0</v>
      </c>
    </row>
    <row r="391" spans="1:9">
      <c r="A391" t="s">
        <v>3685</v>
      </c>
      <c r="B391">
        <v>10</v>
      </c>
      <c r="H391" t="str" cm="1">
        <f t="array" ref="H391">IF(OR(A391="",E391=""),"",SUMPRODUCT(($A$2:$A$581=A391)*($B$2:$B$581&lt;B391)*$I$2:$I$581))</f>
        <v/>
      </c>
      <c r="I391">
        <f t="shared" si="6"/>
        <v>0</v>
      </c>
    </row>
    <row r="392" spans="1:9" ht="168">
      <c r="A392" t="s">
        <v>4039</v>
      </c>
      <c r="B392">
        <v>1</v>
      </c>
      <c r="C392" t="s">
        <v>230</v>
      </c>
      <c r="D392">
        <v>6</v>
      </c>
      <c r="E392" t="s">
        <v>204</v>
      </c>
      <c r="F392">
        <v>8</v>
      </c>
      <c r="G392" s="10" t="s">
        <v>4042</v>
      </c>
      <c r="H392" cm="1">
        <f t="array" ref="H392">IF(OR(A392="",E392=""),"",SUMPRODUCT(($A$2:$A$581=A392)*($B$2:$B$581&lt;B392)*$I$2:$I$581))</f>
        <v>0</v>
      </c>
      <c r="I392">
        <f t="shared" si="6"/>
        <v>5</v>
      </c>
    </row>
    <row r="393" spans="1:9" ht="224">
      <c r="A393" t="s">
        <v>4039</v>
      </c>
      <c r="B393">
        <v>2</v>
      </c>
      <c r="C393" t="s">
        <v>333</v>
      </c>
      <c r="D393">
        <v>2</v>
      </c>
      <c r="E393" t="s">
        <v>2054</v>
      </c>
      <c r="F393">
        <v>3</v>
      </c>
      <c r="G393" s="10" t="s">
        <v>4047</v>
      </c>
      <c r="H393" cm="1">
        <f t="array" ref="H393">IF(OR(A393="",E393=""),"",SUMPRODUCT(($A$2:$A$581=A393)*($B$2:$B$581&lt;B393)*$I$2:$I$581))</f>
        <v>5</v>
      </c>
      <c r="I393">
        <f t="shared" si="6"/>
        <v>3</v>
      </c>
    </row>
    <row r="394" spans="1:9" ht="182">
      <c r="A394" t="s">
        <v>4039</v>
      </c>
      <c r="B394">
        <v>3</v>
      </c>
      <c r="C394" t="s">
        <v>170</v>
      </c>
      <c r="D394">
        <v>1</v>
      </c>
      <c r="E394" t="s">
        <v>794</v>
      </c>
      <c r="F394">
        <v>1</v>
      </c>
      <c r="G394" s="10" t="s">
        <v>4059</v>
      </c>
      <c r="H394" cm="1">
        <f t="array" ref="H394">IF(OR(A394="",E394=""),"",SUMPRODUCT(($A$2:$A$581=A394)*($B$2:$B$581&lt;B394)*$I$2:$I$581))</f>
        <v>8</v>
      </c>
      <c r="I394">
        <f t="shared" si="6"/>
        <v>1</v>
      </c>
    </row>
    <row r="395" spans="1:9" ht="168">
      <c r="A395" t="s">
        <v>4039</v>
      </c>
      <c r="B395">
        <v>4</v>
      </c>
      <c r="C395" t="s">
        <v>4043</v>
      </c>
      <c r="D395">
        <v>1</v>
      </c>
      <c r="E395" t="s">
        <v>1060</v>
      </c>
      <c r="F395">
        <v>1</v>
      </c>
      <c r="G395" s="10" t="s">
        <v>4074</v>
      </c>
      <c r="H395" cm="1">
        <f t="array" ref="H395">IF(OR(A395="",E395=""),"",SUMPRODUCT(($A$2:$A$581=A395)*($B$2:$B$581&lt;B395)*$I$2:$I$581))</f>
        <v>9</v>
      </c>
      <c r="I395">
        <f t="shared" si="6"/>
        <v>1</v>
      </c>
    </row>
    <row r="396" spans="1:9">
      <c r="A396" t="s">
        <v>4039</v>
      </c>
      <c r="B396">
        <v>5</v>
      </c>
      <c r="C396" t="s">
        <v>241</v>
      </c>
      <c r="D396">
        <v>1</v>
      </c>
      <c r="E396" t="s">
        <v>177</v>
      </c>
      <c r="F396">
        <v>1</v>
      </c>
      <c r="G396" t="s">
        <v>4082</v>
      </c>
      <c r="H396" cm="1">
        <f t="array" ref="H396">IF(OR(A396="",E396=""),"",SUMPRODUCT(($A$2:$A$581=A396)*($B$2:$B$581&lt;B396)*$I$2:$I$581))</f>
        <v>10</v>
      </c>
      <c r="I396">
        <f t="shared" si="6"/>
        <v>1</v>
      </c>
    </row>
    <row r="397" spans="1:9" ht="371">
      <c r="A397" t="s">
        <v>4039</v>
      </c>
      <c r="B397">
        <v>6</v>
      </c>
      <c r="C397" t="s">
        <v>261</v>
      </c>
      <c r="D397">
        <v>1</v>
      </c>
      <c r="E397" t="s">
        <v>272</v>
      </c>
      <c r="F397">
        <v>1</v>
      </c>
      <c r="G397" s="10" t="s">
        <v>4094</v>
      </c>
      <c r="H397" cm="1">
        <f t="array" ref="H397">IF(OR(A397="",E397=""),"",SUMPRODUCT(($A$2:$A$581=A397)*($B$2:$B$581&lt;B397)*$I$2:$I$581))</f>
        <v>11</v>
      </c>
      <c r="I397">
        <f t="shared" si="6"/>
        <v>1</v>
      </c>
    </row>
    <row r="398" spans="1:9" ht="196">
      <c r="A398" t="s">
        <v>4039</v>
      </c>
      <c r="B398">
        <v>7</v>
      </c>
      <c r="C398" t="s">
        <v>276</v>
      </c>
      <c r="D398">
        <v>1</v>
      </c>
      <c r="E398" t="s">
        <v>3685</v>
      </c>
      <c r="F398">
        <v>1</v>
      </c>
      <c r="G398" s="10" t="s">
        <v>4097</v>
      </c>
      <c r="H398" cm="1">
        <f t="array" ref="H398">IF(OR(A398="",E398=""),"",SUMPRODUCT(($A$2:$A$581=A398)*($B$2:$B$581&lt;B398)*$I$2:$I$581))</f>
        <v>12</v>
      </c>
      <c r="I398">
        <f t="shared" si="6"/>
        <v>1</v>
      </c>
    </row>
    <row r="399" spans="1:9" ht="332">
      <c r="A399" t="s">
        <v>4039</v>
      </c>
      <c r="B399">
        <v>8</v>
      </c>
      <c r="C399" t="s">
        <v>624</v>
      </c>
      <c r="D399">
        <v>1</v>
      </c>
      <c r="E399" t="s">
        <v>2537</v>
      </c>
      <c r="F399">
        <v>1</v>
      </c>
      <c r="G399" s="10" t="s">
        <v>4105</v>
      </c>
      <c r="H399" cm="1">
        <f t="array" ref="H399">IF(OR(A399="",E399=""),"",SUMPRODUCT(($A$2:$A$581=A399)*($B$2:$B$581&lt;B399)*$I$2:$I$581))</f>
        <v>13</v>
      </c>
      <c r="I399">
        <f t="shared" si="6"/>
        <v>1</v>
      </c>
    </row>
    <row r="400" spans="1:9" ht="306">
      <c r="A400" t="s">
        <v>4039</v>
      </c>
      <c r="B400">
        <v>9</v>
      </c>
      <c r="C400" t="s">
        <v>339</v>
      </c>
      <c r="D400">
        <v>1</v>
      </c>
      <c r="E400" t="s">
        <v>4126</v>
      </c>
      <c r="F400">
        <v>1</v>
      </c>
      <c r="G400" s="10" t="s">
        <v>4114</v>
      </c>
      <c r="H400" cm="1">
        <f t="array" ref="H400">IF(OR(A400="",E400=""),"",SUMPRODUCT(($A$2:$A$581=A400)*($B$2:$B$581&lt;B400)*$I$2:$I$581))</f>
        <v>14</v>
      </c>
      <c r="I400">
        <f t="shared" si="6"/>
        <v>1</v>
      </c>
    </row>
    <row r="401" spans="1:9" ht="409.6">
      <c r="A401" t="s">
        <v>4039</v>
      </c>
      <c r="B401">
        <v>10</v>
      </c>
      <c r="C401" t="s">
        <v>355</v>
      </c>
      <c r="D401">
        <v>1</v>
      </c>
      <c r="G401" s="10" t="s">
        <v>4117</v>
      </c>
      <c r="H401" t="str" cm="1">
        <f t="array" ref="H401">IF(OR(A401="",E401=""),"",SUMPRODUCT(($A$2:$A$581=A401)*($B$2:$B$581&lt;B401)*$I$2:$I$581))</f>
        <v/>
      </c>
      <c r="I401">
        <f t="shared" si="6"/>
        <v>0</v>
      </c>
    </row>
    <row r="402" spans="1:9" ht="126">
      <c r="A402" t="s">
        <v>4053</v>
      </c>
      <c r="B402">
        <v>1</v>
      </c>
      <c r="C402" t="s">
        <v>230</v>
      </c>
      <c r="D402">
        <v>7</v>
      </c>
      <c r="E402" t="s">
        <v>4053</v>
      </c>
      <c r="F402">
        <v>9</v>
      </c>
      <c r="G402" s="10" t="s">
        <v>4056</v>
      </c>
      <c r="H402" cm="1">
        <f t="array" ref="H402">IF(OR(A402="",E402=""),"",SUMPRODUCT(($A$2:$A$581=A402)*($B$2:$B$581&lt;B402)*$I$2:$I$581))</f>
        <v>0</v>
      </c>
      <c r="I402">
        <f t="shared" si="6"/>
        <v>5</v>
      </c>
    </row>
    <row r="403" spans="1:9" ht="154">
      <c r="A403" t="s">
        <v>4053</v>
      </c>
      <c r="B403">
        <v>2</v>
      </c>
      <c r="C403" t="s">
        <v>241</v>
      </c>
      <c r="D403">
        <v>1</v>
      </c>
      <c r="E403" t="s">
        <v>5077</v>
      </c>
      <c r="F403">
        <v>2</v>
      </c>
      <c r="G403" s="10" t="s">
        <v>4071</v>
      </c>
      <c r="H403" cm="1">
        <f t="array" ref="H403">IF(OR(A403="",E403=""),"",SUMPRODUCT(($A$2:$A$581=A403)*($B$2:$B$581&lt;B403)*$I$2:$I$581))</f>
        <v>5</v>
      </c>
      <c r="I403">
        <f t="shared" si="6"/>
        <v>2</v>
      </c>
    </row>
    <row r="404" spans="1:9" ht="409.6">
      <c r="A404" t="s">
        <v>4053</v>
      </c>
      <c r="B404">
        <v>3</v>
      </c>
      <c r="C404" t="s">
        <v>261</v>
      </c>
      <c r="D404">
        <v>1</v>
      </c>
      <c r="G404" s="10" t="s">
        <v>4087</v>
      </c>
      <c r="H404" t="str" cm="1">
        <f t="array" ref="H404">IF(OR(A404="",E404=""),"",SUMPRODUCT(($A$2:$A$581=A404)*($B$2:$B$581&lt;B404)*$I$2:$I$581))</f>
        <v/>
      </c>
      <c r="I404">
        <f t="shared" si="6"/>
        <v>0</v>
      </c>
    </row>
    <row r="405" spans="1:9" ht="409.6">
      <c r="A405" t="s">
        <v>4053</v>
      </c>
      <c r="B405">
        <v>4</v>
      </c>
      <c r="C405" t="s">
        <v>276</v>
      </c>
      <c r="D405">
        <v>1</v>
      </c>
      <c r="G405" s="10" t="s">
        <v>4100</v>
      </c>
      <c r="H405" t="str" cm="1">
        <f t="array" ref="H405">IF(OR(A405="",E405=""),"",SUMPRODUCT(($A$2:$A$581=A405)*($B$2:$B$581&lt;B405)*$I$2:$I$581))</f>
        <v/>
      </c>
      <c r="I405">
        <f t="shared" si="6"/>
        <v>0</v>
      </c>
    </row>
    <row r="406" spans="1:9" ht="252">
      <c r="A406" t="s">
        <v>4053</v>
      </c>
      <c r="B406">
        <v>5</v>
      </c>
      <c r="C406" t="s">
        <v>355</v>
      </c>
      <c r="D406">
        <v>1</v>
      </c>
      <c r="G406" s="10" t="s">
        <v>4036</v>
      </c>
      <c r="H406" t="str" cm="1">
        <f t="array" ref="H406">IF(OR(A406="",E406=""),"",SUMPRODUCT(($A$2:$A$581=A406)*($B$2:$B$581&lt;B406)*$I$2:$I$581))</f>
        <v/>
      </c>
      <c r="I406">
        <f t="shared" si="6"/>
        <v>0</v>
      </c>
    </row>
    <row r="407" spans="1:9">
      <c r="A407" t="s">
        <v>4053</v>
      </c>
      <c r="B407">
        <v>6</v>
      </c>
      <c r="H407" t="str" cm="1">
        <f t="array" ref="H407">IF(OR(A407="",E407=""),"",SUMPRODUCT(($A$2:$A$581=A407)*($B$2:$B$581&lt;B407)*$I$2:$I$581))</f>
        <v/>
      </c>
      <c r="I407">
        <f t="shared" si="6"/>
        <v>0</v>
      </c>
    </row>
    <row r="408" spans="1:9">
      <c r="A408" t="s">
        <v>4053</v>
      </c>
      <c r="B408">
        <v>7</v>
      </c>
      <c r="H408" t="str" cm="1">
        <f t="array" ref="H408">IF(OR(A408="",E408=""),"",SUMPRODUCT(($A$2:$A$581=A408)*($B$2:$B$581&lt;B408)*$I$2:$I$581))</f>
        <v/>
      </c>
      <c r="I408">
        <f t="shared" si="6"/>
        <v>0</v>
      </c>
    </row>
    <row r="409" spans="1:9">
      <c r="A409" t="s">
        <v>4053</v>
      </c>
      <c r="B409">
        <v>8</v>
      </c>
      <c r="H409" t="str" cm="1">
        <f t="array" ref="H409">IF(OR(A409="",E409=""),"",SUMPRODUCT(($A$2:$A$581=A409)*($B$2:$B$581&lt;B409)*$I$2:$I$581))</f>
        <v/>
      </c>
      <c r="I409">
        <f t="shared" si="6"/>
        <v>0</v>
      </c>
    </row>
    <row r="410" spans="1:9">
      <c r="A410" t="s">
        <v>4053</v>
      </c>
      <c r="B410">
        <v>9</v>
      </c>
      <c r="H410" t="str" cm="1">
        <f t="array" ref="H410">IF(OR(A410="",E410=""),"",SUMPRODUCT(($A$2:$A$581=A410)*($B$2:$B$581&lt;B410)*$I$2:$I$581))</f>
        <v/>
      </c>
      <c r="I410">
        <f t="shared" si="6"/>
        <v>0</v>
      </c>
    </row>
    <row r="411" spans="1:9">
      <c r="A411" t="s">
        <v>4053</v>
      </c>
      <c r="B411">
        <v>10</v>
      </c>
      <c r="H411" t="str" cm="1">
        <f t="array" ref="H411">IF(OR(A411="",E411=""),"",SUMPRODUCT(($A$2:$A$581=A411)*($B$2:$B$581&lt;B411)*$I$2:$I$581))</f>
        <v/>
      </c>
      <c r="I411">
        <f t="shared" si="6"/>
        <v>0</v>
      </c>
    </row>
    <row r="412" spans="1:9" ht="293">
      <c r="A412" t="s">
        <v>3776</v>
      </c>
      <c r="B412">
        <v>1</v>
      </c>
      <c r="C412" t="s">
        <v>202</v>
      </c>
      <c r="D412">
        <v>50</v>
      </c>
      <c r="E412" t="s">
        <v>204</v>
      </c>
      <c r="F412">
        <v>125</v>
      </c>
      <c r="G412" s="10" t="s">
        <v>4137</v>
      </c>
      <c r="H412" cm="1">
        <f t="array" ref="H412">IF(OR(A412="",E412=""),"",SUMPRODUCT(($A$2:$A$581=A412)*($B$2:$B$581&lt;B412)*$I$2:$I$581))</f>
        <v>0</v>
      </c>
      <c r="I412">
        <f t="shared" si="6"/>
        <v>5</v>
      </c>
    </row>
    <row r="413" spans="1:9">
      <c r="A413" t="s">
        <v>3776</v>
      </c>
      <c r="B413">
        <v>2</v>
      </c>
      <c r="C413" t="s">
        <v>241</v>
      </c>
      <c r="D413">
        <v>19</v>
      </c>
      <c r="E413" t="s">
        <v>177</v>
      </c>
      <c r="F413">
        <v>2</v>
      </c>
      <c r="G413" t="s">
        <v>4140</v>
      </c>
      <c r="H413" cm="1">
        <f t="array" ref="H413">IF(OR(A413="",E413=""),"",SUMPRODUCT(($A$2:$A$581=A413)*($B$2:$B$581&lt;B413)*$I$2:$I$581))</f>
        <v>5</v>
      </c>
      <c r="I413">
        <f t="shared" si="6"/>
        <v>2</v>
      </c>
    </row>
    <row r="414" spans="1:9" ht="210">
      <c r="A414" t="s">
        <v>3776</v>
      </c>
      <c r="B414">
        <v>3</v>
      </c>
      <c r="C414" t="s">
        <v>1776</v>
      </c>
      <c r="D414">
        <v>19</v>
      </c>
      <c r="E414" t="s">
        <v>953</v>
      </c>
      <c r="F414">
        <v>1</v>
      </c>
      <c r="G414" s="10" t="s">
        <v>4143</v>
      </c>
      <c r="H414" cm="1">
        <f t="array" ref="H414">IF(OR(A414="",E414=""),"",SUMPRODUCT(($A$2:$A$581=A414)*($B$2:$B$581&lt;B414)*$I$2:$I$581))</f>
        <v>7</v>
      </c>
      <c r="I414">
        <f t="shared" si="6"/>
        <v>1</v>
      </c>
    </row>
    <row r="415" spans="1:9" ht="210">
      <c r="A415" t="s">
        <v>3776</v>
      </c>
      <c r="B415">
        <v>4</v>
      </c>
      <c r="C415" t="s">
        <v>307</v>
      </c>
      <c r="D415">
        <v>12</v>
      </c>
      <c r="E415" t="s">
        <v>272</v>
      </c>
      <c r="F415">
        <v>1</v>
      </c>
      <c r="G415" s="10" t="s">
        <v>4146</v>
      </c>
      <c r="H415" cm="1">
        <f t="array" ref="H415">IF(OR(A415="",E415=""),"",SUMPRODUCT(($A$2:$A$581=A415)*($B$2:$B$581&lt;B415)*$I$2:$I$581))</f>
        <v>8</v>
      </c>
      <c r="I415">
        <f t="shared" si="6"/>
        <v>1</v>
      </c>
    </row>
    <row r="416" spans="1:9" ht="409.6">
      <c r="A416" t="s">
        <v>3776</v>
      </c>
      <c r="B416">
        <v>5</v>
      </c>
      <c r="C416" t="s">
        <v>261</v>
      </c>
      <c r="D416">
        <v>6</v>
      </c>
      <c r="G416" s="10" t="s">
        <v>4149</v>
      </c>
      <c r="H416" t="str" cm="1">
        <f t="array" ref="H416">IF(OR(A416="",E416=""),"",SUMPRODUCT(($A$2:$A$581=A416)*($B$2:$B$581&lt;B416)*$I$2:$I$581))</f>
        <v/>
      </c>
      <c r="I416">
        <f t="shared" si="6"/>
        <v>0</v>
      </c>
    </row>
    <row r="417" spans="1:9" ht="332">
      <c r="A417" t="s">
        <v>3776</v>
      </c>
      <c r="B417">
        <v>6</v>
      </c>
      <c r="C417" t="s">
        <v>339</v>
      </c>
      <c r="D417">
        <v>4</v>
      </c>
      <c r="G417" s="10" t="s">
        <v>4153</v>
      </c>
      <c r="H417" t="str" cm="1">
        <f t="array" ref="H417">IF(OR(A417="",E417=""),"",SUMPRODUCT(($A$2:$A$581=A417)*($B$2:$B$581&lt;B417)*$I$2:$I$581))</f>
        <v/>
      </c>
      <c r="I417">
        <f t="shared" si="6"/>
        <v>0</v>
      </c>
    </row>
    <row r="418" spans="1:9" ht="409.6">
      <c r="A418" t="s">
        <v>3776</v>
      </c>
      <c r="B418">
        <v>7</v>
      </c>
      <c r="C418" t="s">
        <v>230</v>
      </c>
      <c r="D418">
        <v>3</v>
      </c>
      <c r="G418" s="10" t="s">
        <v>4168</v>
      </c>
      <c r="H418" t="str" cm="1">
        <f t="array" ref="H418">IF(OR(A418="",E418=""),"",SUMPRODUCT(($A$2:$A$581=A418)*($B$2:$B$581&lt;B418)*$I$2:$I$581))</f>
        <v/>
      </c>
      <c r="I418">
        <f t="shared" si="6"/>
        <v>0</v>
      </c>
    </row>
    <row r="419" spans="1:9">
      <c r="A419" t="s">
        <v>3776</v>
      </c>
      <c r="B419">
        <v>8</v>
      </c>
      <c r="C419" t="s">
        <v>333</v>
      </c>
      <c r="D419">
        <v>3</v>
      </c>
      <c r="G419" t="s">
        <v>4171</v>
      </c>
      <c r="H419" t="str" cm="1">
        <f t="array" ref="H419">IF(OR(A419="",E419=""),"",SUMPRODUCT(($A$2:$A$581=A419)*($B$2:$B$581&lt;B419)*$I$2:$I$581))</f>
        <v/>
      </c>
      <c r="I419">
        <f t="shared" si="6"/>
        <v>0</v>
      </c>
    </row>
    <row r="420" spans="1:9" ht="345">
      <c r="A420" t="s">
        <v>3776</v>
      </c>
      <c r="B420">
        <v>9</v>
      </c>
      <c r="C420" t="s">
        <v>915</v>
      </c>
      <c r="D420">
        <v>2</v>
      </c>
      <c r="G420" s="10" t="s">
        <v>4184</v>
      </c>
      <c r="H420" t="str" cm="1">
        <f t="array" ref="H420">IF(OR(A420="",E420=""),"",SUMPRODUCT(($A$2:$A$581=A420)*($B$2:$B$581&lt;B420)*$I$2:$I$581))</f>
        <v/>
      </c>
      <c r="I420">
        <f t="shared" si="6"/>
        <v>0</v>
      </c>
    </row>
    <row r="421" spans="1:9" ht="293">
      <c r="A421" t="s">
        <v>3776</v>
      </c>
      <c r="B421">
        <v>10</v>
      </c>
      <c r="C421" t="s">
        <v>312</v>
      </c>
      <c r="D421">
        <v>2</v>
      </c>
      <c r="G421" s="10" t="s">
        <v>4194</v>
      </c>
      <c r="H421" t="str" cm="1">
        <f t="array" ref="H421">IF(OR(A421="",E421=""),"",SUMPRODUCT(($A$2:$A$581=A421)*($B$2:$B$581&lt;B421)*$I$2:$I$581))</f>
        <v/>
      </c>
      <c r="I421">
        <f t="shared" si="6"/>
        <v>0</v>
      </c>
    </row>
    <row r="422" spans="1:9" ht="182">
      <c r="A422" t="s">
        <v>4213</v>
      </c>
      <c r="B422">
        <v>1</v>
      </c>
      <c r="C422" t="s">
        <v>624</v>
      </c>
      <c r="D422">
        <v>55</v>
      </c>
      <c r="E422" t="s">
        <v>204</v>
      </c>
      <c r="F422">
        <v>70</v>
      </c>
      <c r="G422" s="10" t="s">
        <v>4216</v>
      </c>
      <c r="H422" cm="1">
        <f t="array" ref="H422">IF(OR(A422="",E422=""),"",SUMPRODUCT(($A$2:$A$581=A422)*($B$2:$B$581&lt;B422)*$I$2:$I$581))</f>
        <v>0</v>
      </c>
      <c r="I422">
        <f t="shared" si="6"/>
        <v>5</v>
      </c>
    </row>
    <row r="423" spans="1:9" ht="238">
      <c r="A423" t="s">
        <v>4213</v>
      </c>
      <c r="B423">
        <v>2</v>
      </c>
      <c r="C423" t="s">
        <v>649</v>
      </c>
      <c r="D423">
        <v>3</v>
      </c>
      <c r="G423" s="10" t="s">
        <v>4219</v>
      </c>
      <c r="H423" t="str" cm="1">
        <f t="array" ref="H423">IF(OR(A423="",E423=""),"",SUMPRODUCT(($A$2:$A$581=A423)*($B$2:$B$581&lt;B423)*$I$2:$I$581))</f>
        <v/>
      </c>
      <c r="I423">
        <f t="shared" si="6"/>
        <v>0</v>
      </c>
    </row>
    <row r="424" spans="1:9" ht="306">
      <c r="A424" t="s">
        <v>4213</v>
      </c>
      <c r="B424">
        <v>3</v>
      </c>
      <c r="C424" t="s">
        <v>202</v>
      </c>
      <c r="D424">
        <v>2</v>
      </c>
      <c r="G424" s="10" t="s">
        <v>4336</v>
      </c>
      <c r="H424" t="str" cm="1">
        <f t="array" ref="H424">IF(OR(A424="",E424=""),"",SUMPRODUCT(($A$2:$A$581=A424)*($B$2:$B$581&lt;B424)*$I$2:$I$581))</f>
        <v/>
      </c>
      <c r="I424">
        <f t="shared" si="6"/>
        <v>0</v>
      </c>
    </row>
    <row r="425" spans="1:9" ht="140">
      <c r="A425" t="s">
        <v>4213</v>
      </c>
      <c r="B425">
        <v>4</v>
      </c>
      <c r="C425" t="s">
        <v>307</v>
      </c>
      <c r="D425">
        <v>2</v>
      </c>
      <c r="G425" s="10" t="s">
        <v>4366</v>
      </c>
      <c r="H425" t="str" cm="1">
        <f t="array" ref="H425">IF(OR(A425="",E425=""),"",SUMPRODUCT(($A$2:$A$581=A425)*($B$2:$B$581&lt;B425)*$I$2:$I$581))</f>
        <v/>
      </c>
      <c r="I425">
        <f t="shared" si="6"/>
        <v>0</v>
      </c>
    </row>
    <row r="426" spans="1:9" ht="409.6">
      <c r="A426" t="s">
        <v>4213</v>
      </c>
      <c r="B426">
        <v>5</v>
      </c>
      <c r="C426" t="s">
        <v>312</v>
      </c>
      <c r="D426">
        <v>2</v>
      </c>
      <c r="G426" s="10" t="s">
        <v>4369</v>
      </c>
      <c r="H426" t="str" cm="1">
        <f t="array" ref="H426">IF(OR(A426="",E426=""),"",SUMPRODUCT(($A$2:$A$581=A426)*($B$2:$B$581&lt;B426)*$I$2:$I$581))</f>
        <v/>
      </c>
      <c r="I426">
        <f t="shared" si="6"/>
        <v>0</v>
      </c>
    </row>
    <row r="427" spans="1:9" ht="210">
      <c r="A427" t="s">
        <v>4213</v>
      </c>
      <c r="B427">
        <v>6</v>
      </c>
      <c r="C427" t="s">
        <v>339</v>
      </c>
      <c r="D427">
        <v>2</v>
      </c>
      <c r="G427" s="10" t="s">
        <v>4402</v>
      </c>
      <c r="H427" t="str" cm="1">
        <f t="array" ref="H427">IF(OR(A427="",E427=""),"",SUMPRODUCT(($A$2:$A$581=A427)*($B$2:$B$581&lt;B427)*$I$2:$I$581))</f>
        <v/>
      </c>
      <c r="I427">
        <f t="shared" si="6"/>
        <v>0</v>
      </c>
    </row>
    <row r="428" spans="1:9" ht="345">
      <c r="A428" t="s">
        <v>4213</v>
      </c>
      <c r="B428">
        <v>7</v>
      </c>
      <c r="C428" t="s">
        <v>355</v>
      </c>
      <c r="D428">
        <v>2</v>
      </c>
      <c r="G428" s="10" t="s">
        <v>3216</v>
      </c>
      <c r="H428" t="str" cm="1">
        <f t="array" ref="H428">IF(OR(A428="",E428=""),"",SUMPRODUCT(($A$2:$A$581=A428)*($B$2:$B$581&lt;B428)*$I$2:$I$581))</f>
        <v/>
      </c>
      <c r="I428">
        <f t="shared" si="6"/>
        <v>0</v>
      </c>
    </row>
    <row r="429" spans="1:9" ht="358">
      <c r="A429" t="s">
        <v>4213</v>
      </c>
      <c r="B429">
        <v>8</v>
      </c>
      <c r="C429" t="s">
        <v>1776</v>
      </c>
      <c r="D429">
        <v>1</v>
      </c>
      <c r="G429" s="10" t="s">
        <v>4414</v>
      </c>
      <c r="H429" t="str" cm="1">
        <f t="array" ref="H429">IF(OR(A429="",E429=""),"",SUMPRODUCT(($A$2:$A$581=A429)*($B$2:$B$581&lt;B429)*$I$2:$I$581))</f>
        <v/>
      </c>
      <c r="I429">
        <f t="shared" si="6"/>
        <v>0</v>
      </c>
    </row>
    <row r="430" spans="1:9" ht="319">
      <c r="A430" t="s">
        <v>4213</v>
      </c>
      <c r="B430">
        <v>9</v>
      </c>
      <c r="C430" t="s">
        <v>333</v>
      </c>
      <c r="D430">
        <v>1</v>
      </c>
      <c r="G430" s="10" t="s">
        <v>4417</v>
      </c>
      <c r="H430" t="str" cm="1">
        <f t="array" ref="H430">IF(OR(A430="",E430=""),"",SUMPRODUCT(($A$2:$A$581=A430)*($B$2:$B$581&lt;B430)*$I$2:$I$581))</f>
        <v/>
      </c>
      <c r="I430">
        <f t="shared" si="6"/>
        <v>0</v>
      </c>
    </row>
    <row r="431" spans="1:9" ht="238">
      <c r="A431" t="s">
        <v>4213</v>
      </c>
      <c r="B431">
        <v>10</v>
      </c>
      <c r="G431" s="10" t="s">
        <v>4440</v>
      </c>
      <c r="H431" t="str" cm="1">
        <f t="array" ref="H431">IF(OR(A431="",E431=""),"",SUMPRODUCT(($A$2:$A$581=A431)*($B$2:$B$581&lt;B431)*$I$2:$I$581))</f>
        <v/>
      </c>
      <c r="I431">
        <f t="shared" si="6"/>
        <v>0</v>
      </c>
    </row>
    <row r="432" spans="1:9" ht="252">
      <c r="A432" t="s">
        <v>4259</v>
      </c>
      <c r="B432">
        <v>1</v>
      </c>
      <c r="C432" t="s">
        <v>915</v>
      </c>
      <c r="D432">
        <v>8</v>
      </c>
      <c r="E432" t="s">
        <v>204</v>
      </c>
      <c r="F432">
        <v>11</v>
      </c>
      <c r="G432" s="10" t="s">
        <v>4262</v>
      </c>
      <c r="H432" cm="1">
        <f t="array" ref="H432">IF(OR(A432="",E432=""),"",SUMPRODUCT(($A$2:$A$581=A432)*($B$2:$B$581&lt;B432)*$I$2:$I$581))</f>
        <v>0</v>
      </c>
      <c r="I432">
        <f t="shared" si="6"/>
        <v>5</v>
      </c>
    </row>
    <row r="433" spans="1:9" ht="409.6">
      <c r="A433" t="s">
        <v>4259</v>
      </c>
      <c r="B433">
        <v>2</v>
      </c>
      <c r="C433" t="s">
        <v>241</v>
      </c>
      <c r="D433">
        <v>1</v>
      </c>
      <c r="G433" s="10" t="s">
        <v>4285</v>
      </c>
      <c r="H433" t="str" cm="1">
        <f t="array" ref="H433">IF(OR(A433="",E433=""),"",SUMPRODUCT(($A$2:$A$581=A433)*($B$2:$B$581&lt;B433)*$I$2:$I$581))</f>
        <v/>
      </c>
      <c r="I433">
        <f t="shared" si="6"/>
        <v>0</v>
      </c>
    </row>
    <row r="434" spans="1:9" ht="306">
      <c r="A434" t="s">
        <v>4259</v>
      </c>
      <c r="B434">
        <v>3</v>
      </c>
      <c r="C434" t="s">
        <v>276</v>
      </c>
      <c r="D434">
        <v>1</v>
      </c>
      <c r="G434" s="10" t="s">
        <v>4288</v>
      </c>
      <c r="H434" t="str" cm="1">
        <f t="array" ref="H434">IF(OR(A434="",E434=""),"",SUMPRODUCT(($A$2:$A$581=A434)*($B$2:$B$581&lt;B434)*$I$2:$I$581))</f>
        <v/>
      </c>
      <c r="I434">
        <f t="shared" si="6"/>
        <v>0</v>
      </c>
    </row>
    <row r="435" spans="1:9" ht="182">
      <c r="A435" t="s">
        <v>4259</v>
      </c>
      <c r="B435">
        <v>4</v>
      </c>
      <c r="C435" t="s">
        <v>287</v>
      </c>
      <c r="D435">
        <v>1</v>
      </c>
      <c r="G435" s="10" t="s">
        <v>4291</v>
      </c>
      <c r="H435" t="str" cm="1">
        <f t="array" ref="H435">IF(OR(A435="",E435=""),"",SUMPRODUCT(($A$2:$A$581=A435)*($B$2:$B$581&lt;B435)*$I$2:$I$581))</f>
        <v/>
      </c>
      <c r="I435">
        <f t="shared" si="6"/>
        <v>0</v>
      </c>
    </row>
    <row r="436" spans="1:9" ht="358">
      <c r="A436" t="s">
        <v>4259</v>
      </c>
      <c r="B436">
        <v>5</v>
      </c>
      <c r="G436" s="10" t="s">
        <v>4296</v>
      </c>
      <c r="H436" t="str" cm="1">
        <f t="array" ref="H436">IF(OR(A436="",E436=""),"",SUMPRODUCT(($A$2:$A$581=A436)*($B$2:$B$581&lt;B436)*$I$2:$I$581))</f>
        <v/>
      </c>
      <c r="I436">
        <f t="shared" si="6"/>
        <v>0</v>
      </c>
    </row>
    <row r="437" spans="1:9" ht="409.6">
      <c r="A437" t="s">
        <v>4259</v>
      </c>
      <c r="B437">
        <v>6</v>
      </c>
      <c r="G437" s="10" t="s">
        <v>4299</v>
      </c>
      <c r="H437" t="str" cm="1">
        <f t="array" ref="H437">IF(OR(A437="",E437=""),"",SUMPRODUCT(($A$2:$A$581=A437)*($B$2:$B$581&lt;B437)*$I$2:$I$581))</f>
        <v/>
      </c>
      <c r="I437">
        <f t="shared" si="6"/>
        <v>0</v>
      </c>
    </row>
    <row r="438" spans="1:9" ht="319">
      <c r="A438" t="s">
        <v>4259</v>
      </c>
      <c r="B438">
        <v>7</v>
      </c>
      <c r="G438" s="10" t="s">
        <v>4302</v>
      </c>
      <c r="H438" t="str" cm="1">
        <f t="array" ref="H438">IF(OR(A438="",E438=""),"",SUMPRODUCT(($A$2:$A$581=A438)*($B$2:$B$581&lt;B438)*$I$2:$I$581))</f>
        <v/>
      </c>
      <c r="I438">
        <f t="shared" si="6"/>
        <v>0</v>
      </c>
    </row>
    <row r="439" spans="1:9" ht="280">
      <c r="A439" t="s">
        <v>4259</v>
      </c>
      <c r="B439">
        <v>8</v>
      </c>
      <c r="G439" s="10" t="s">
        <v>4324</v>
      </c>
      <c r="H439" t="str" cm="1">
        <f t="array" ref="H439">IF(OR(A439="",E439=""),"",SUMPRODUCT(($A$2:$A$581=A439)*($B$2:$B$581&lt;B439)*$I$2:$I$581))</f>
        <v/>
      </c>
      <c r="I439">
        <f t="shared" si="6"/>
        <v>0</v>
      </c>
    </row>
    <row r="440" spans="1:9" ht="182">
      <c r="A440" t="s">
        <v>4259</v>
      </c>
      <c r="B440">
        <v>9</v>
      </c>
      <c r="G440" s="10" t="s">
        <v>4330</v>
      </c>
      <c r="H440" t="str" cm="1">
        <f t="array" ref="H440">IF(OR(A440="",E440=""),"",SUMPRODUCT(($A$2:$A$581=A440)*($B$2:$B$581&lt;B440)*$I$2:$I$581))</f>
        <v/>
      </c>
      <c r="I440">
        <f t="shared" si="6"/>
        <v>0</v>
      </c>
    </row>
    <row r="441" spans="1:9">
      <c r="A441" t="s">
        <v>4259</v>
      </c>
      <c r="B441">
        <v>10</v>
      </c>
      <c r="H441" t="str" cm="1">
        <f t="array" ref="H441">IF(OR(A441="",E441=""),"",SUMPRODUCT(($A$2:$A$581=A441)*($B$2:$B$581&lt;B441)*$I$2:$I$581))</f>
        <v/>
      </c>
      <c r="I441">
        <f t="shared" si="6"/>
        <v>0</v>
      </c>
    </row>
    <row r="442" spans="1:9" ht="409.6">
      <c r="A442" t="s">
        <v>4536</v>
      </c>
      <c r="B442">
        <v>1</v>
      </c>
      <c r="C442" t="s">
        <v>355</v>
      </c>
      <c r="D442">
        <v>21</v>
      </c>
      <c r="E442" t="s">
        <v>204</v>
      </c>
      <c r="F442">
        <v>112</v>
      </c>
      <c r="G442" s="10" t="s">
        <v>4539</v>
      </c>
      <c r="H442" cm="1">
        <f t="array" ref="H442">IF(OR(A442="",E442=""),"",SUMPRODUCT(($A$2:$A$581=A442)*($B$2:$B$581&lt;B442)*$I$2:$I$581))</f>
        <v>0</v>
      </c>
      <c r="I442">
        <f t="shared" si="6"/>
        <v>5</v>
      </c>
    </row>
    <row r="443" spans="1:9" ht="306">
      <c r="A443" t="s">
        <v>4536</v>
      </c>
      <c r="B443">
        <v>2</v>
      </c>
      <c r="C443" t="s">
        <v>350</v>
      </c>
      <c r="D443">
        <v>18</v>
      </c>
      <c r="E443" t="s">
        <v>177</v>
      </c>
      <c r="F443">
        <v>1</v>
      </c>
      <c r="G443" s="10" t="s">
        <v>4542</v>
      </c>
      <c r="H443" cm="1">
        <f t="array" ref="H443">IF(OR(A443="",E443=""),"",SUMPRODUCT(($A$2:$A$581=A443)*($B$2:$B$581&lt;B443)*$I$2:$I$581))</f>
        <v>5</v>
      </c>
      <c r="I443">
        <f t="shared" si="6"/>
        <v>1</v>
      </c>
    </row>
    <row r="444" spans="1:9" ht="280">
      <c r="A444" t="s">
        <v>4536</v>
      </c>
      <c r="B444">
        <v>3</v>
      </c>
      <c r="C444" t="s">
        <v>339</v>
      </c>
      <c r="D444">
        <v>12</v>
      </c>
      <c r="E444" t="s">
        <v>329</v>
      </c>
      <c r="F444">
        <v>1</v>
      </c>
      <c r="G444" s="10" t="s">
        <v>4546</v>
      </c>
      <c r="H444" cm="1">
        <f t="array" ref="H444">IF(OR(A444="",E444=""),"",SUMPRODUCT(($A$2:$A$581=A444)*($B$2:$B$581&lt;B444)*$I$2:$I$581))</f>
        <v>6</v>
      </c>
      <c r="I444">
        <f t="shared" si="6"/>
        <v>1</v>
      </c>
    </row>
    <row r="445" spans="1:9" ht="182">
      <c r="A445" t="s">
        <v>4536</v>
      </c>
      <c r="B445">
        <v>4</v>
      </c>
      <c r="C445" t="s">
        <v>624</v>
      </c>
      <c r="D445">
        <v>11</v>
      </c>
      <c r="E445" t="s">
        <v>2537</v>
      </c>
      <c r="F445">
        <v>1</v>
      </c>
      <c r="G445" s="10" t="s">
        <v>4550</v>
      </c>
      <c r="H445" cm="1">
        <f t="array" ref="H445">IF(OR(A445="",E445=""),"",SUMPRODUCT(($A$2:$A$581=A445)*($B$2:$B$581&lt;B445)*$I$2:$I$581))</f>
        <v>7</v>
      </c>
      <c r="I445">
        <f t="shared" si="6"/>
        <v>1</v>
      </c>
    </row>
    <row r="446" spans="1:9" ht="168">
      <c r="A446" t="s">
        <v>4536</v>
      </c>
      <c r="B446">
        <v>5</v>
      </c>
      <c r="C446" t="s">
        <v>318</v>
      </c>
      <c r="D446">
        <v>9</v>
      </c>
      <c r="E446" t="s">
        <v>185</v>
      </c>
      <c r="F446">
        <v>1</v>
      </c>
      <c r="G446" s="10" t="s">
        <v>4553</v>
      </c>
      <c r="H446" cm="1">
        <f t="array" ref="H446">IF(OR(A446="",E446=""),"",SUMPRODUCT(($A$2:$A$581=A446)*($B$2:$B$581&lt;B446)*$I$2:$I$581))</f>
        <v>8</v>
      </c>
      <c r="I446">
        <f t="shared" si="6"/>
        <v>1</v>
      </c>
    </row>
    <row r="447" spans="1:9">
      <c r="A447" t="s">
        <v>4536</v>
      </c>
      <c r="B447">
        <v>6</v>
      </c>
      <c r="C447" t="s">
        <v>333</v>
      </c>
      <c r="D447">
        <v>9</v>
      </c>
      <c r="G447" t="s">
        <v>4556</v>
      </c>
      <c r="H447" t="str" cm="1">
        <f t="array" ref="H447">IF(OR(A447="",E447=""),"",SUMPRODUCT(($A$2:$A$581=A447)*($B$2:$B$581&lt;B447)*$I$2:$I$581))</f>
        <v/>
      </c>
      <c r="I447">
        <f t="shared" si="6"/>
        <v>0</v>
      </c>
    </row>
    <row r="448" spans="1:9">
      <c r="A448" t="s">
        <v>4536</v>
      </c>
      <c r="B448">
        <v>7</v>
      </c>
      <c r="C448" t="s">
        <v>230</v>
      </c>
      <c r="D448">
        <v>6</v>
      </c>
      <c r="G448" t="s">
        <v>4560</v>
      </c>
      <c r="H448" t="str" cm="1">
        <f t="array" ref="H448">IF(OR(A448="",E448=""),"",SUMPRODUCT(($A$2:$A$581=A448)*($B$2:$B$581&lt;B448)*$I$2:$I$581))</f>
        <v/>
      </c>
      <c r="I448">
        <f t="shared" si="6"/>
        <v>0</v>
      </c>
    </row>
    <row r="449" spans="1:9" ht="358">
      <c r="A449" t="s">
        <v>4536</v>
      </c>
      <c r="B449">
        <v>8</v>
      </c>
      <c r="C449" t="s">
        <v>307</v>
      </c>
      <c r="D449">
        <v>5</v>
      </c>
      <c r="G449" s="10" t="s">
        <v>4565</v>
      </c>
      <c r="H449" t="str" cm="1">
        <f t="array" ref="H449">IF(OR(A449="",E449=""),"",SUMPRODUCT(($A$2:$A$581=A449)*($B$2:$B$581&lt;B449)*$I$2:$I$581))</f>
        <v/>
      </c>
      <c r="I449">
        <f t="shared" si="6"/>
        <v>0</v>
      </c>
    </row>
    <row r="450" spans="1:9" ht="319">
      <c r="A450" t="s">
        <v>4536</v>
      </c>
      <c r="B450">
        <v>9</v>
      </c>
      <c r="C450" t="s">
        <v>312</v>
      </c>
      <c r="D450">
        <v>5</v>
      </c>
      <c r="G450" s="10" t="s">
        <v>4568</v>
      </c>
      <c r="H450" t="str" cm="1">
        <f t="array" ref="H450">IF(OR(A450="",E450=""),"",SUMPRODUCT(($A$2:$A$581=A450)*($B$2:$B$581&lt;B450)*$I$2:$I$581))</f>
        <v/>
      </c>
      <c r="I450">
        <f t="shared" si="6"/>
        <v>0</v>
      </c>
    </row>
    <row r="451" spans="1:9" ht="266">
      <c r="A451" t="s">
        <v>4536</v>
      </c>
      <c r="B451">
        <v>10</v>
      </c>
      <c r="C451" t="s">
        <v>287</v>
      </c>
      <c r="D451">
        <v>4</v>
      </c>
      <c r="G451" s="10" t="s">
        <v>4571</v>
      </c>
      <c r="H451" t="str" cm="1">
        <f t="array" ref="H451">IF(OR(A451="",E451=""),"",SUMPRODUCT(($A$2:$A$581=A451)*($B$2:$B$581&lt;B451)*$I$2:$I$581))</f>
        <v/>
      </c>
      <c r="I451">
        <f t="shared" ref="I451:I514" si="7">IF(OR(A451="",E451="",NOT(ISNUMBER(F451))),0,MIN(F451,5))</f>
        <v>0</v>
      </c>
    </row>
    <row r="452" spans="1:9" ht="306">
      <c r="A452" t="s">
        <v>4765</v>
      </c>
      <c r="B452">
        <v>1</v>
      </c>
      <c r="C452" t="s">
        <v>366</v>
      </c>
      <c r="D452">
        <v>20</v>
      </c>
      <c r="E452" t="s">
        <v>185</v>
      </c>
      <c r="F452">
        <v>15</v>
      </c>
      <c r="G452" s="10" t="s">
        <v>4768</v>
      </c>
      <c r="H452" cm="1">
        <f t="array" ref="H452">IF(OR(A452="",E452=""),"",SUMPRODUCT(($A$2:$A$581=A452)*($B$2:$B$581&lt;B452)*$I$2:$I$581))</f>
        <v>0</v>
      </c>
      <c r="I452">
        <f t="shared" si="7"/>
        <v>5</v>
      </c>
    </row>
    <row r="453" spans="1:9" ht="252">
      <c r="A453" t="s">
        <v>4765</v>
      </c>
      <c r="B453">
        <v>2</v>
      </c>
      <c r="C453" t="s">
        <v>1271</v>
      </c>
      <c r="D453">
        <v>4</v>
      </c>
      <c r="E453" t="s">
        <v>177</v>
      </c>
      <c r="F453">
        <v>5</v>
      </c>
      <c r="G453" s="10" t="s">
        <v>4773</v>
      </c>
      <c r="H453" cm="1">
        <f t="array" ref="H453">IF(OR(A453="",E453=""),"",SUMPRODUCT(($A$2:$A$581=A453)*($B$2:$B$581&lt;B453)*$I$2:$I$581))</f>
        <v>5</v>
      </c>
      <c r="I453">
        <f t="shared" si="7"/>
        <v>5</v>
      </c>
    </row>
    <row r="454" spans="1:9">
      <c r="A454" t="s">
        <v>4765</v>
      </c>
      <c r="B454">
        <v>3</v>
      </c>
      <c r="C454" t="s">
        <v>230</v>
      </c>
      <c r="D454">
        <v>1</v>
      </c>
      <c r="E454" t="s">
        <v>204</v>
      </c>
      <c r="F454">
        <v>4</v>
      </c>
      <c r="G454" t="s">
        <v>4776</v>
      </c>
      <c r="H454" cm="1">
        <f t="array" ref="H454">IF(OR(A454="",E454=""),"",SUMPRODUCT(($A$2:$A$581=A454)*($B$2:$B$581&lt;B454)*$I$2:$I$581))</f>
        <v>10</v>
      </c>
      <c r="I454">
        <f t="shared" si="7"/>
        <v>4</v>
      </c>
    </row>
    <row r="455" spans="1:9" ht="168">
      <c r="A455" t="s">
        <v>4765</v>
      </c>
      <c r="B455">
        <v>4</v>
      </c>
      <c r="E455" t="s">
        <v>794</v>
      </c>
      <c r="F455">
        <v>1</v>
      </c>
      <c r="G455" s="10" t="s">
        <v>4790</v>
      </c>
      <c r="H455" cm="1">
        <f t="array" ref="H455">IF(OR(A455="",E455=""),"",SUMPRODUCT(($A$2:$A$581=A455)*($B$2:$B$581&lt;B455)*$I$2:$I$581))</f>
        <v>14</v>
      </c>
      <c r="I455">
        <f t="shared" si="7"/>
        <v>1</v>
      </c>
    </row>
    <row r="456" spans="1:9" ht="332">
      <c r="A456" t="s">
        <v>4765</v>
      </c>
      <c r="B456">
        <v>5</v>
      </c>
      <c r="G456" s="10" t="s">
        <v>4797</v>
      </c>
      <c r="H456" t="str" cm="1">
        <f t="array" ref="H456">IF(OR(A456="",E456=""),"",SUMPRODUCT(($A$2:$A$581=A456)*($B$2:$B$581&lt;B456)*$I$2:$I$581))</f>
        <v/>
      </c>
      <c r="I456">
        <f t="shared" si="7"/>
        <v>0</v>
      </c>
    </row>
    <row r="457" spans="1:9" ht="409.6">
      <c r="A457" t="s">
        <v>4765</v>
      </c>
      <c r="B457">
        <v>6</v>
      </c>
      <c r="G457" s="10" t="s">
        <v>4800</v>
      </c>
      <c r="H457" t="str" cm="1">
        <f t="array" ref="H457">IF(OR(A457="",E457=""),"",SUMPRODUCT(($A$2:$A$581=A457)*($B$2:$B$581&lt;B457)*$I$2:$I$581))</f>
        <v/>
      </c>
      <c r="I457">
        <f t="shared" si="7"/>
        <v>0</v>
      </c>
    </row>
    <row r="458" spans="1:9" ht="371">
      <c r="A458" t="s">
        <v>4765</v>
      </c>
      <c r="B458">
        <v>7</v>
      </c>
      <c r="G458" s="10" t="s">
        <v>4803</v>
      </c>
      <c r="H458" t="str" cm="1">
        <f t="array" ref="H458">IF(OR(A458="",E458=""),"",SUMPRODUCT(($A$2:$A$581=A458)*($B$2:$B$581&lt;B458)*$I$2:$I$581))</f>
        <v/>
      </c>
      <c r="I458">
        <f t="shared" si="7"/>
        <v>0</v>
      </c>
    </row>
    <row r="459" spans="1:9">
      <c r="A459" t="s">
        <v>4765</v>
      </c>
      <c r="B459">
        <v>8</v>
      </c>
      <c r="H459" t="str" cm="1">
        <f t="array" ref="H459">IF(OR(A459="",E459=""),"",SUMPRODUCT(($A$2:$A$581=A459)*($B$2:$B$581&lt;B459)*$I$2:$I$581))</f>
        <v/>
      </c>
      <c r="I459">
        <f t="shared" si="7"/>
        <v>0</v>
      </c>
    </row>
    <row r="460" spans="1:9">
      <c r="A460" t="s">
        <v>4765</v>
      </c>
      <c r="B460">
        <v>9</v>
      </c>
      <c r="H460" t="str" cm="1">
        <f t="array" ref="H460">IF(OR(A460="",E460=""),"",SUMPRODUCT(($A$2:$A$581=A460)*($B$2:$B$581&lt;B460)*$I$2:$I$581))</f>
        <v/>
      </c>
      <c r="I460">
        <f t="shared" si="7"/>
        <v>0</v>
      </c>
    </row>
    <row r="461" spans="1:9">
      <c r="A461" t="s">
        <v>4765</v>
      </c>
      <c r="B461">
        <v>10</v>
      </c>
      <c r="H461" t="str" cm="1">
        <f t="array" ref="H461">IF(OR(A461="",E461=""),"",SUMPRODUCT(($A$2:$A$581=A461)*($B$2:$B$581&lt;B461)*$I$2:$I$581))</f>
        <v/>
      </c>
      <c r="I461">
        <f t="shared" si="7"/>
        <v>0</v>
      </c>
    </row>
    <row r="462" spans="1:9">
      <c r="A462" t="s">
        <v>4810</v>
      </c>
      <c r="B462">
        <v>1</v>
      </c>
      <c r="C462" t="s">
        <v>241</v>
      </c>
      <c r="D462">
        <v>13</v>
      </c>
      <c r="E462" t="s">
        <v>204</v>
      </c>
      <c r="F462">
        <v>88</v>
      </c>
      <c r="G462" t="s">
        <v>4813</v>
      </c>
      <c r="H462" cm="1">
        <f t="array" ref="H462">IF(OR(A462="",E462=""),"",SUMPRODUCT(($A$2:$A$581=A462)*($B$2:$B$581&lt;B462)*$I$2:$I$581))</f>
        <v>0</v>
      </c>
      <c r="I462">
        <f t="shared" si="7"/>
        <v>5</v>
      </c>
    </row>
    <row r="463" spans="1:9" ht="409.6">
      <c r="A463" t="s">
        <v>4810</v>
      </c>
      <c r="B463">
        <v>2</v>
      </c>
      <c r="C463" t="s">
        <v>196</v>
      </c>
      <c r="D463">
        <v>11</v>
      </c>
      <c r="E463" t="s">
        <v>185</v>
      </c>
      <c r="F463">
        <v>2</v>
      </c>
      <c r="G463" s="10" t="s">
        <v>3859</v>
      </c>
      <c r="H463" cm="1">
        <f t="array" ref="H463">IF(OR(A463="",E463=""),"",SUMPRODUCT(($A$2:$A$581=A463)*($B$2:$B$581&lt;B463)*$I$2:$I$581))</f>
        <v>5</v>
      </c>
      <c r="I463">
        <f t="shared" si="7"/>
        <v>2</v>
      </c>
    </row>
    <row r="464" spans="1:9" ht="182">
      <c r="A464" t="s">
        <v>4810</v>
      </c>
      <c r="B464">
        <v>3</v>
      </c>
      <c r="C464" t="s">
        <v>312</v>
      </c>
      <c r="D464">
        <v>10</v>
      </c>
      <c r="E464" t="s">
        <v>272</v>
      </c>
      <c r="F464">
        <v>1</v>
      </c>
      <c r="G464" s="10" t="s">
        <v>4822</v>
      </c>
      <c r="H464" cm="1">
        <f t="array" ref="H464">IF(OR(A464="",E464=""),"",SUMPRODUCT(($A$2:$A$581=A464)*($B$2:$B$581&lt;B464)*$I$2:$I$581))</f>
        <v>7</v>
      </c>
      <c r="I464">
        <f t="shared" si="7"/>
        <v>1</v>
      </c>
    </row>
    <row r="465" spans="1:9" ht="371">
      <c r="A465" t="s">
        <v>4810</v>
      </c>
      <c r="B465">
        <v>4</v>
      </c>
      <c r="C465" t="s">
        <v>307</v>
      </c>
      <c r="D465">
        <v>8</v>
      </c>
      <c r="E465" t="s">
        <v>953</v>
      </c>
      <c r="F465">
        <v>1</v>
      </c>
      <c r="G465" s="10" t="s">
        <v>2053</v>
      </c>
      <c r="H465" cm="1">
        <f t="array" ref="H465">IF(OR(A465="",E465=""),"",SUMPRODUCT(($A$2:$A$581=A465)*($B$2:$B$581&lt;B465)*$I$2:$I$581))</f>
        <v>8</v>
      </c>
      <c r="I465">
        <f t="shared" si="7"/>
        <v>1</v>
      </c>
    </row>
    <row r="466" spans="1:9" ht="319">
      <c r="A466" t="s">
        <v>4810</v>
      </c>
      <c r="B466">
        <v>5</v>
      </c>
      <c r="C466" t="s">
        <v>339</v>
      </c>
      <c r="D466">
        <v>8</v>
      </c>
      <c r="G466" s="10" t="s">
        <v>4830</v>
      </c>
      <c r="H466" t="str" cm="1">
        <f t="array" ref="H466">IF(OR(A466="",E466=""),"",SUMPRODUCT(($A$2:$A$581=A466)*($B$2:$B$581&lt;B466)*$I$2:$I$581))</f>
        <v/>
      </c>
      <c r="I466">
        <f t="shared" si="7"/>
        <v>0</v>
      </c>
    </row>
    <row r="467" spans="1:9" ht="154">
      <c r="A467" t="s">
        <v>4810</v>
      </c>
      <c r="B467">
        <v>6</v>
      </c>
      <c r="C467" t="s">
        <v>230</v>
      </c>
      <c r="D467">
        <v>7</v>
      </c>
      <c r="G467" s="10" t="s">
        <v>4833</v>
      </c>
      <c r="H467" t="str" cm="1">
        <f t="array" ref="H467">IF(OR(A467="",E467=""),"",SUMPRODUCT(($A$2:$A$581=A467)*($B$2:$B$581&lt;B467)*$I$2:$I$581))</f>
        <v/>
      </c>
      <c r="I467">
        <f t="shared" si="7"/>
        <v>0</v>
      </c>
    </row>
    <row r="468" spans="1:9" ht="182">
      <c r="A468" t="s">
        <v>4810</v>
      </c>
      <c r="B468">
        <v>7</v>
      </c>
      <c r="C468" t="s">
        <v>170</v>
      </c>
      <c r="D468">
        <v>4</v>
      </c>
      <c r="G468" s="10" t="s">
        <v>4840</v>
      </c>
      <c r="H468" t="str" cm="1">
        <f t="array" ref="H468">IF(OR(A468="",E468=""),"",SUMPRODUCT(($A$2:$A$581=A468)*($B$2:$B$581&lt;B468)*$I$2:$I$581))</f>
        <v/>
      </c>
      <c r="I468">
        <f t="shared" si="7"/>
        <v>0</v>
      </c>
    </row>
    <row r="469" spans="1:9">
      <c r="A469" t="s">
        <v>4810</v>
      </c>
      <c r="B469">
        <v>8</v>
      </c>
      <c r="C469" t="s">
        <v>276</v>
      </c>
      <c r="D469">
        <v>4</v>
      </c>
      <c r="G469" t="s">
        <v>4843</v>
      </c>
      <c r="H469" t="str" cm="1">
        <f t="array" ref="H469">IF(OR(A469="",E469=""),"",SUMPRODUCT(($A$2:$A$581=A469)*($B$2:$B$581&lt;B469)*$I$2:$I$581))</f>
        <v/>
      </c>
      <c r="I469">
        <f t="shared" si="7"/>
        <v>0</v>
      </c>
    </row>
    <row r="470" spans="1:9" ht="224">
      <c r="A470" t="s">
        <v>4810</v>
      </c>
      <c r="B470">
        <v>9</v>
      </c>
      <c r="C470" t="s">
        <v>624</v>
      </c>
      <c r="D470">
        <v>4</v>
      </c>
      <c r="G470" s="10" t="s">
        <v>4846</v>
      </c>
      <c r="H470" t="str" cm="1">
        <f t="array" ref="H470">IF(OR(A470="",E470=""),"",SUMPRODUCT(($A$2:$A$581=A470)*($B$2:$B$581&lt;B470)*$I$2:$I$581))</f>
        <v/>
      </c>
      <c r="I470">
        <f t="shared" si="7"/>
        <v>0</v>
      </c>
    </row>
    <row r="471" spans="1:9" ht="306">
      <c r="A471" t="s">
        <v>4810</v>
      </c>
      <c r="B471">
        <v>10</v>
      </c>
      <c r="C471" t="s">
        <v>318</v>
      </c>
      <c r="D471">
        <v>4</v>
      </c>
      <c r="G471" s="10" t="s">
        <v>3187</v>
      </c>
      <c r="H471" t="str" cm="1">
        <f t="array" ref="H471">IF(OR(A471="",E471=""),"",SUMPRODUCT(($A$2:$A$581=A471)*($B$2:$B$581&lt;B471)*$I$2:$I$581))</f>
        <v/>
      </c>
      <c r="I471">
        <f t="shared" si="7"/>
        <v>0</v>
      </c>
    </row>
    <row r="472" spans="1:9" ht="293">
      <c r="A472" t="s">
        <v>4982</v>
      </c>
      <c r="B472">
        <v>1</v>
      </c>
      <c r="C472" t="s">
        <v>366</v>
      </c>
      <c r="D472">
        <v>4</v>
      </c>
      <c r="E472" t="s">
        <v>177</v>
      </c>
      <c r="F472">
        <v>9</v>
      </c>
      <c r="G472" s="10" t="s">
        <v>4985</v>
      </c>
      <c r="H472" cm="1">
        <f t="array" ref="H472">IF(OR(A472="",E472=""),"",SUMPRODUCT(($A$2:$A$581=A472)*($B$2:$B$581&lt;B472)*$I$2:$I$581))</f>
        <v>0</v>
      </c>
      <c r="I472">
        <f t="shared" si="7"/>
        <v>5</v>
      </c>
    </row>
    <row r="473" spans="1:9" ht="306">
      <c r="A473" t="s">
        <v>4982</v>
      </c>
      <c r="B473">
        <v>2</v>
      </c>
      <c r="C473" t="s">
        <v>1998</v>
      </c>
      <c r="D473">
        <v>4</v>
      </c>
      <c r="E473" t="s">
        <v>953</v>
      </c>
      <c r="F473">
        <v>3</v>
      </c>
      <c r="G473" s="10" t="s">
        <v>4988</v>
      </c>
      <c r="H473" cm="1">
        <f t="array" ref="H473">IF(OR(A473="",E473=""),"",SUMPRODUCT(($A$2:$A$581=A473)*($B$2:$B$581&lt;B473)*$I$2:$I$581))</f>
        <v>5</v>
      </c>
      <c r="I473">
        <f t="shared" si="7"/>
        <v>3</v>
      </c>
    </row>
    <row r="474" spans="1:9" ht="154">
      <c r="A474" t="s">
        <v>4982</v>
      </c>
      <c r="B474">
        <v>3</v>
      </c>
      <c r="C474" t="s">
        <v>181</v>
      </c>
      <c r="D474">
        <v>3</v>
      </c>
      <c r="E474" t="s">
        <v>794</v>
      </c>
      <c r="F474">
        <v>3</v>
      </c>
      <c r="G474" s="10" t="s">
        <v>4991</v>
      </c>
      <c r="H474" cm="1">
        <f t="array" ref="H474">IF(OR(A474="",E474=""),"",SUMPRODUCT(($A$2:$A$581=A474)*($B$2:$B$581&lt;B474)*$I$2:$I$581))</f>
        <v>8</v>
      </c>
      <c r="I474">
        <f t="shared" si="7"/>
        <v>3</v>
      </c>
    </row>
    <row r="475" spans="1:9" ht="224">
      <c r="A475" t="s">
        <v>4982</v>
      </c>
      <c r="B475">
        <v>4</v>
      </c>
      <c r="C475" t="s">
        <v>230</v>
      </c>
      <c r="D475">
        <v>2</v>
      </c>
      <c r="E475" t="s">
        <v>185</v>
      </c>
      <c r="F475">
        <v>2</v>
      </c>
      <c r="G475" s="10" t="s">
        <v>4996</v>
      </c>
      <c r="H475" cm="1">
        <f t="array" ref="H475">IF(OR(A475="",E475=""),"",SUMPRODUCT(($A$2:$A$581=A475)*($B$2:$B$581&lt;B475)*$I$2:$I$581))</f>
        <v>11</v>
      </c>
      <c r="I475">
        <f t="shared" si="7"/>
        <v>2</v>
      </c>
    </row>
    <row r="476" spans="1:9" ht="358">
      <c r="A476" t="s">
        <v>4982</v>
      </c>
      <c r="B476">
        <v>5</v>
      </c>
      <c r="C476" t="s">
        <v>388</v>
      </c>
      <c r="D476">
        <v>1</v>
      </c>
      <c r="E476" t="s">
        <v>204</v>
      </c>
      <c r="F476">
        <v>1</v>
      </c>
      <c r="G476" s="10" t="s">
        <v>3968</v>
      </c>
      <c r="H476" cm="1">
        <f t="array" ref="H476">IF(OR(A476="",E476=""),"",SUMPRODUCT(($A$2:$A$581=A476)*($B$2:$B$581&lt;B476)*$I$2:$I$581))</f>
        <v>13</v>
      </c>
      <c r="I476">
        <f t="shared" si="7"/>
        <v>1</v>
      </c>
    </row>
    <row r="477" spans="1:9" ht="409.6">
      <c r="A477" t="s">
        <v>4982</v>
      </c>
      <c r="B477">
        <v>6</v>
      </c>
      <c r="C477" t="s">
        <v>1048</v>
      </c>
      <c r="D477">
        <v>1</v>
      </c>
      <c r="E477" t="s">
        <v>329</v>
      </c>
      <c r="F477">
        <v>1</v>
      </c>
      <c r="G477" s="10" t="s">
        <v>3859</v>
      </c>
      <c r="H477" cm="1">
        <f t="array" ref="H477">IF(OR(A477="",E477=""),"",SUMPRODUCT(($A$2:$A$581=A477)*($B$2:$B$581&lt;B477)*$I$2:$I$581))</f>
        <v>14</v>
      </c>
      <c r="I477">
        <f t="shared" si="7"/>
        <v>1</v>
      </c>
    </row>
    <row r="478" spans="1:9">
      <c r="A478" t="s">
        <v>4982</v>
      </c>
      <c r="B478">
        <v>7</v>
      </c>
      <c r="C478" t="s">
        <v>1193</v>
      </c>
      <c r="D478">
        <v>1</v>
      </c>
      <c r="E478" t="s">
        <v>1060</v>
      </c>
      <c r="F478">
        <v>1</v>
      </c>
      <c r="G478" t="s">
        <v>5004</v>
      </c>
      <c r="H478" cm="1">
        <f t="array" ref="H478">IF(OR(A478="",E478=""),"",SUMPRODUCT(($A$2:$A$581=A478)*($B$2:$B$581&lt;B478)*$I$2:$I$581))</f>
        <v>15</v>
      </c>
      <c r="I478">
        <f t="shared" si="7"/>
        <v>1</v>
      </c>
    </row>
    <row r="479" spans="1:9" ht="238">
      <c r="A479" t="s">
        <v>4982</v>
      </c>
      <c r="B479">
        <v>8</v>
      </c>
      <c r="C479" t="s">
        <v>4992</v>
      </c>
      <c r="D479">
        <v>1</v>
      </c>
      <c r="G479" s="10" t="s">
        <v>5007</v>
      </c>
      <c r="H479" t="str" cm="1">
        <f t="array" ref="H479">IF(OR(A479="",E479=""),"",SUMPRODUCT(($A$2:$A$581=A479)*($B$2:$B$581&lt;B479)*$I$2:$I$581))</f>
        <v/>
      </c>
      <c r="I479">
        <f t="shared" si="7"/>
        <v>0</v>
      </c>
    </row>
    <row r="480" spans="1:9" ht="210">
      <c r="A480" t="s">
        <v>4982</v>
      </c>
      <c r="B480">
        <v>9</v>
      </c>
      <c r="C480" t="s">
        <v>307</v>
      </c>
      <c r="D480">
        <v>1</v>
      </c>
      <c r="G480" s="10" t="s">
        <v>5010</v>
      </c>
      <c r="H480" t="str" cm="1">
        <f t="array" ref="H480">IF(OR(A480="",E480=""),"",SUMPRODUCT(($A$2:$A$581=A480)*($B$2:$B$581&lt;B480)*$I$2:$I$581))</f>
        <v/>
      </c>
      <c r="I480">
        <f t="shared" si="7"/>
        <v>0</v>
      </c>
    </row>
    <row r="481" spans="1:9" ht="319">
      <c r="A481" t="s">
        <v>4982</v>
      </c>
      <c r="B481">
        <v>10</v>
      </c>
      <c r="C481" t="s">
        <v>355</v>
      </c>
      <c r="D481">
        <v>1</v>
      </c>
      <c r="G481" s="10" t="s">
        <v>5013</v>
      </c>
      <c r="H481" t="str" cm="1">
        <f t="array" ref="H481">IF(OR(A481="",E481=""),"",SUMPRODUCT(($A$2:$A$581=A481)*($B$2:$B$581&lt;B481)*$I$2:$I$581))</f>
        <v/>
      </c>
      <c r="I481">
        <f t="shared" si="7"/>
        <v>0</v>
      </c>
    </row>
    <row r="482" spans="1:9" ht="182">
      <c r="A482" t="s">
        <v>5033</v>
      </c>
      <c r="B482">
        <v>1</v>
      </c>
      <c r="C482" t="s">
        <v>761</v>
      </c>
      <c r="D482">
        <v>7</v>
      </c>
      <c r="E482" t="s">
        <v>204</v>
      </c>
      <c r="F482">
        <v>21</v>
      </c>
      <c r="G482" s="10" t="s">
        <v>2623</v>
      </c>
      <c r="H482" cm="1">
        <f t="array" ref="H482">IF(OR(A482="",E482=""),"",SUMPRODUCT(($A$2:$A$581=A482)*($B$2:$B$581&lt;B482)*$I$2:$I$581))</f>
        <v>0</v>
      </c>
      <c r="I482">
        <f t="shared" si="7"/>
        <v>5</v>
      </c>
    </row>
    <row r="483" spans="1:9" ht="154">
      <c r="A483" t="s">
        <v>5033</v>
      </c>
      <c r="B483">
        <v>2</v>
      </c>
      <c r="C483" t="s">
        <v>241</v>
      </c>
      <c r="D483">
        <v>2</v>
      </c>
      <c r="G483" s="10" t="s">
        <v>5037</v>
      </c>
      <c r="H483" t="str" cm="1">
        <f t="array" ref="H483">IF(OR(A483="",E483=""),"",SUMPRODUCT(($A$2:$A$581=A483)*($B$2:$B$581&lt;B483)*$I$2:$I$581))</f>
        <v/>
      </c>
      <c r="I483">
        <f t="shared" si="7"/>
        <v>0</v>
      </c>
    </row>
    <row r="484" spans="1:9" ht="210">
      <c r="A484" t="s">
        <v>5033</v>
      </c>
      <c r="B484">
        <v>3</v>
      </c>
      <c r="C484" t="s">
        <v>307</v>
      </c>
      <c r="D484">
        <v>2</v>
      </c>
      <c r="G484" s="10" t="s">
        <v>5042</v>
      </c>
      <c r="H484" t="str" cm="1">
        <f t="array" ref="H484">IF(OR(A484="",E484=""),"",SUMPRODUCT(($A$2:$A$581=A484)*($B$2:$B$581&lt;B484)*$I$2:$I$581))</f>
        <v/>
      </c>
      <c r="I484">
        <f t="shared" si="7"/>
        <v>0</v>
      </c>
    </row>
    <row r="485" spans="1:9" ht="319">
      <c r="A485" t="s">
        <v>5033</v>
      </c>
      <c r="B485">
        <v>4</v>
      </c>
      <c r="C485" t="s">
        <v>318</v>
      </c>
      <c r="D485">
        <v>2</v>
      </c>
      <c r="G485" s="10" t="s">
        <v>535</v>
      </c>
      <c r="H485" t="str" cm="1">
        <f t="array" ref="H485">IF(OR(A485="",E485=""),"",SUMPRODUCT(($A$2:$A$581=A485)*($B$2:$B$581&lt;B485)*$I$2:$I$581))</f>
        <v/>
      </c>
      <c r="I485">
        <f t="shared" si="7"/>
        <v>0</v>
      </c>
    </row>
    <row r="486" spans="1:9" ht="358">
      <c r="A486" t="s">
        <v>5033</v>
      </c>
      <c r="B486">
        <v>5</v>
      </c>
      <c r="C486" t="s">
        <v>339</v>
      </c>
      <c r="D486">
        <v>2</v>
      </c>
      <c r="G486" s="10" t="s">
        <v>603</v>
      </c>
      <c r="H486" t="str" cm="1">
        <f t="array" ref="H486">IF(OR(A486="",E486=""),"",SUMPRODUCT(($A$2:$A$581=A486)*($B$2:$B$581&lt;B486)*$I$2:$I$581))</f>
        <v/>
      </c>
      <c r="I486">
        <f t="shared" si="7"/>
        <v>0</v>
      </c>
    </row>
    <row r="487" spans="1:9" ht="196">
      <c r="A487" t="s">
        <v>5033</v>
      </c>
      <c r="B487">
        <v>6</v>
      </c>
      <c r="C487" t="s">
        <v>202</v>
      </c>
      <c r="D487">
        <v>1</v>
      </c>
      <c r="G487" s="10" t="s">
        <v>5050</v>
      </c>
      <c r="H487" t="str" cm="1">
        <f t="array" ref="H487">IF(OR(A487="",E487=""),"",SUMPRODUCT(($A$2:$A$581=A487)*($B$2:$B$581&lt;B487)*$I$2:$I$581))</f>
        <v/>
      </c>
      <c r="I487">
        <f t="shared" si="7"/>
        <v>0</v>
      </c>
    </row>
    <row r="488" spans="1:9" ht="319">
      <c r="A488" t="s">
        <v>5033</v>
      </c>
      <c r="B488">
        <v>7</v>
      </c>
      <c r="C488" t="s">
        <v>1484</v>
      </c>
      <c r="D488">
        <v>1</v>
      </c>
      <c r="G488" s="10" t="s">
        <v>5053</v>
      </c>
      <c r="H488" t="str" cm="1">
        <f t="array" ref="H488">IF(OR(A488="",E488=""),"",SUMPRODUCT(($A$2:$A$581=A488)*($B$2:$B$581&lt;B488)*$I$2:$I$581))</f>
        <v/>
      </c>
      <c r="I488">
        <f t="shared" si="7"/>
        <v>0</v>
      </c>
    </row>
    <row r="489" spans="1:9" ht="238">
      <c r="A489" t="s">
        <v>5033</v>
      </c>
      <c r="B489">
        <v>8</v>
      </c>
      <c r="C489" t="s">
        <v>230</v>
      </c>
      <c r="D489">
        <v>1</v>
      </c>
      <c r="G489" s="10" t="s">
        <v>5056</v>
      </c>
      <c r="H489" t="str" cm="1">
        <f t="array" ref="H489">IF(OR(A489="",E489=""),"",SUMPRODUCT(($A$2:$A$581=A489)*($B$2:$B$581&lt;B489)*$I$2:$I$581))</f>
        <v/>
      </c>
      <c r="I489">
        <f t="shared" si="7"/>
        <v>0</v>
      </c>
    </row>
    <row r="490" spans="1:9" ht="196">
      <c r="A490" t="s">
        <v>5033</v>
      </c>
      <c r="B490">
        <v>9</v>
      </c>
      <c r="C490" t="s">
        <v>261</v>
      </c>
      <c r="D490">
        <v>1</v>
      </c>
      <c r="G490" s="10" t="s">
        <v>359</v>
      </c>
      <c r="H490" t="str" cm="1">
        <f t="array" ref="H490">IF(OR(A490="",E490=""),"",SUMPRODUCT(($A$2:$A$581=A490)*($B$2:$B$581&lt;B490)*$I$2:$I$581))</f>
        <v/>
      </c>
      <c r="I490">
        <f t="shared" si="7"/>
        <v>0</v>
      </c>
    </row>
    <row r="491" spans="1:9" ht="252">
      <c r="A491" t="s">
        <v>5033</v>
      </c>
      <c r="B491">
        <v>10</v>
      </c>
      <c r="C491" t="s">
        <v>350</v>
      </c>
      <c r="D491">
        <v>1</v>
      </c>
      <c r="G491" s="10" t="s">
        <v>5062</v>
      </c>
      <c r="H491" t="str" cm="1">
        <f t="array" ref="H491">IF(OR(A491="",E491=""),"",SUMPRODUCT(($A$2:$A$581=A491)*($B$2:$B$581&lt;B491)*$I$2:$I$581))</f>
        <v/>
      </c>
      <c r="I491">
        <f t="shared" si="7"/>
        <v>0</v>
      </c>
    </row>
    <row r="492" spans="1:9" ht="112">
      <c r="A492" t="s">
        <v>5083</v>
      </c>
      <c r="B492">
        <v>1</v>
      </c>
      <c r="C492" t="s">
        <v>181</v>
      </c>
      <c r="D492">
        <v>2</v>
      </c>
      <c r="E492" t="s">
        <v>177</v>
      </c>
      <c r="F492">
        <v>3</v>
      </c>
      <c r="G492" s="10" t="s">
        <v>5086</v>
      </c>
      <c r="H492" cm="1">
        <f t="array" ref="H492">IF(OR(A492="",E492=""),"",SUMPRODUCT(($A$2:$A$581=A492)*($B$2:$B$581&lt;B492)*$I$2:$I$581))</f>
        <v>0</v>
      </c>
      <c r="I492">
        <f t="shared" si="7"/>
        <v>3</v>
      </c>
    </row>
    <row r="493" spans="1:9" ht="280">
      <c r="A493" t="s">
        <v>5083</v>
      </c>
      <c r="B493">
        <v>2</v>
      </c>
      <c r="C493" t="s">
        <v>1221</v>
      </c>
      <c r="D493">
        <v>1</v>
      </c>
      <c r="E493" t="s">
        <v>272</v>
      </c>
      <c r="F493">
        <v>2</v>
      </c>
      <c r="G493" s="10" t="s">
        <v>5093</v>
      </c>
      <c r="H493" cm="1">
        <f t="array" ref="H493">IF(OR(A493="",E493=""),"",SUMPRODUCT(($A$2:$A$581=A493)*($B$2:$B$581&lt;B493)*$I$2:$I$581))</f>
        <v>3</v>
      </c>
      <c r="I493">
        <f t="shared" si="7"/>
        <v>2</v>
      </c>
    </row>
    <row r="494" spans="1:9" ht="224">
      <c r="A494" t="s">
        <v>5083</v>
      </c>
      <c r="B494">
        <v>3</v>
      </c>
      <c r="C494" t="s">
        <v>333</v>
      </c>
      <c r="D494">
        <v>1</v>
      </c>
      <c r="E494" t="s">
        <v>204</v>
      </c>
      <c r="F494">
        <v>1</v>
      </c>
      <c r="G494" s="10" t="s">
        <v>5096</v>
      </c>
      <c r="H494" cm="1">
        <f t="array" ref="H494">IF(OR(A494="",E494=""),"",SUMPRODUCT(($A$2:$A$581=A494)*($B$2:$B$581&lt;B494)*$I$2:$I$581))</f>
        <v>5</v>
      </c>
      <c r="I494">
        <f t="shared" si="7"/>
        <v>1</v>
      </c>
    </row>
    <row r="495" spans="1:9" ht="168">
      <c r="A495" t="s">
        <v>5083</v>
      </c>
      <c r="B495">
        <v>4</v>
      </c>
      <c r="C495" t="s">
        <v>350</v>
      </c>
      <c r="D495">
        <v>1</v>
      </c>
      <c r="G495" s="10" t="s">
        <v>5115</v>
      </c>
      <c r="H495" t="str" cm="1">
        <f t="array" ref="H495">IF(OR(A495="",E495=""),"",SUMPRODUCT(($A$2:$A$581=A495)*($B$2:$B$581&lt;B495)*$I$2:$I$581))</f>
        <v/>
      </c>
      <c r="I495">
        <f t="shared" si="7"/>
        <v>0</v>
      </c>
    </row>
    <row r="496" spans="1:9" ht="168">
      <c r="A496" t="s">
        <v>5083</v>
      </c>
      <c r="B496">
        <v>5</v>
      </c>
      <c r="C496" t="s">
        <v>355</v>
      </c>
      <c r="D496">
        <v>1</v>
      </c>
      <c r="G496" s="10" t="s">
        <v>5118</v>
      </c>
      <c r="H496" t="str" cm="1">
        <f t="array" ref="H496">IF(OR(A496="",E496=""),"",SUMPRODUCT(($A$2:$A$581=A496)*($B$2:$B$581&lt;B496)*$I$2:$I$581))</f>
        <v/>
      </c>
      <c r="I496">
        <f t="shared" si="7"/>
        <v>0</v>
      </c>
    </row>
    <row r="497" spans="1:9" ht="384">
      <c r="A497" t="s">
        <v>5083</v>
      </c>
      <c r="B497">
        <v>6</v>
      </c>
      <c r="G497" s="10" t="s">
        <v>5121</v>
      </c>
      <c r="H497" t="str" cm="1">
        <f t="array" ref="H497">IF(OR(A497="",E497=""),"",SUMPRODUCT(($A$2:$A$581=A497)*($B$2:$B$581&lt;B497)*$I$2:$I$581))</f>
        <v/>
      </c>
      <c r="I497">
        <f t="shared" si="7"/>
        <v>0</v>
      </c>
    </row>
    <row r="498" spans="1:9">
      <c r="A498" t="s">
        <v>5083</v>
      </c>
      <c r="B498">
        <v>7</v>
      </c>
      <c r="H498" t="str" cm="1">
        <f t="array" ref="H498">IF(OR(A498="",E498=""),"",SUMPRODUCT(($A$2:$A$581=A498)*($B$2:$B$581&lt;B498)*$I$2:$I$581))</f>
        <v/>
      </c>
      <c r="I498">
        <f t="shared" si="7"/>
        <v>0</v>
      </c>
    </row>
    <row r="499" spans="1:9">
      <c r="A499" t="s">
        <v>5083</v>
      </c>
      <c r="B499">
        <v>8</v>
      </c>
      <c r="H499" t="str" cm="1">
        <f t="array" ref="H499">IF(OR(A499="",E499=""),"",SUMPRODUCT(($A$2:$A$581=A499)*($B$2:$B$581&lt;B499)*$I$2:$I$581))</f>
        <v/>
      </c>
      <c r="I499">
        <f t="shared" si="7"/>
        <v>0</v>
      </c>
    </row>
    <row r="500" spans="1:9">
      <c r="A500" t="s">
        <v>5083</v>
      </c>
      <c r="B500">
        <v>9</v>
      </c>
      <c r="H500" t="str" cm="1">
        <f t="array" ref="H500">IF(OR(A500="",E500=""),"",SUMPRODUCT(($A$2:$A$581=A500)*($B$2:$B$581&lt;B500)*$I$2:$I$581))</f>
        <v/>
      </c>
      <c r="I500">
        <f t="shared" si="7"/>
        <v>0</v>
      </c>
    </row>
    <row r="501" spans="1:9">
      <c r="A501" t="s">
        <v>5083</v>
      </c>
      <c r="B501">
        <v>10</v>
      </c>
      <c r="H501" t="str" cm="1">
        <f t="array" ref="H501">IF(OR(A501="",E501=""),"",SUMPRODUCT(($A$2:$A$581=A501)*($B$2:$B$581&lt;B501)*$I$2:$I$581))</f>
        <v/>
      </c>
      <c r="I501">
        <f t="shared" si="7"/>
        <v>0</v>
      </c>
    </row>
    <row r="502" spans="1:9" ht="196">
      <c r="A502" t="s">
        <v>5087</v>
      </c>
      <c r="B502">
        <v>1</v>
      </c>
      <c r="C502" t="s">
        <v>1391</v>
      </c>
      <c r="D502">
        <v>2</v>
      </c>
      <c r="E502" t="s">
        <v>2054</v>
      </c>
      <c r="F502">
        <v>5</v>
      </c>
      <c r="G502" s="10" t="s">
        <v>5090</v>
      </c>
      <c r="H502" cm="1">
        <f t="array" ref="H502">IF(OR(A502="",E502=""),"",SUMPRODUCT(($A$2:$A$581=A502)*($B$2:$B$581&lt;B502)*$I$2:$I$581))</f>
        <v>0</v>
      </c>
      <c r="I502">
        <f t="shared" si="7"/>
        <v>5</v>
      </c>
    </row>
    <row r="503" spans="1:9" ht="168">
      <c r="A503" t="s">
        <v>5087</v>
      </c>
      <c r="B503">
        <v>2</v>
      </c>
      <c r="C503" t="s">
        <v>1221</v>
      </c>
      <c r="D503">
        <v>1</v>
      </c>
      <c r="E503" t="s">
        <v>2975</v>
      </c>
      <c r="F503">
        <v>2</v>
      </c>
      <c r="G503" s="10" t="s">
        <v>5100</v>
      </c>
      <c r="H503" cm="1">
        <f t="array" ref="H503">IF(OR(A503="",E503=""),"",SUMPRODUCT(($A$2:$A$581=A503)*($B$2:$B$581&lt;B503)*$I$2:$I$581))</f>
        <v>5</v>
      </c>
      <c r="I503">
        <f t="shared" si="7"/>
        <v>2</v>
      </c>
    </row>
    <row r="504" spans="1:9" ht="182">
      <c r="A504" t="s">
        <v>5087</v>
      </c>
      <c r="B504">
        <v>3</v>
      </c>
      <c r="C504" t="s">
        <v>230</v>
      </c>
      <c r="D504">
        <v>1</v>
      </c>
      <c r="E504" t="s">
        <v>185</v>
      </c>
      <c r="F504">
        <v>1</v>
      </c>
      <c r="G504" s="10" t="s">
        <v>5103</v>
      </c>
      <c r="H504" cm="1">
        <f t="array" ref="H504">IF(OR(A504="",E504=""),"",SUMPRODUCT(($A$2:$A$581=A504)*($B$2:$B$581&lt;B504)*$I$2:$I$581))</f>
        <v>7</v>
      </c>
      <c r="I504">
        <f t="shared" si="7"/>
        <v>1</v>
      </c>
    </row>
    <row r="505" spans="1:9" ht="98">
      <c r="A505" t="s">
        <v>5087</v>
      </c>
      <c r="B505">
        <v>4</v>
      </c>
      <c r="C505" t="s">
        <v>915</v>
      </c>
      <c r="D505">
        <v>1</v>
      </c>
      <c r="G505" s="10" t="s">
        <v>5106</v>
      </c>
      <c r="H505" t="str" cm="1">
        <f t="array" ref="H505">IF(OR(A505="",E505=""),"",SUMPRODUCT(($A$2:$A$581=A505)*($B$2:$B$581&lt;B505)*$I$2:$I$581))</f>
        <v/>
      </c>
      <c r="I505">
        <f t="shared" si="7"/>
        <v>0</v>
      </c>
    </row>
    <row r="506" spans="1:9" ht="182">
      <c r="A506" t="s">
        <v>5087</v>
      </c>
      <c r="B506">
        <v>5</v>
      </c>
      <c r="C506" t="s">
        <v>1776</v>
      </c>
      <c r="D506">
        <v>1</v>
      </c>
      <c r="G506" s="10" t="s">
        <v>5109</v>
      </c>
      <c r="H506" t="str" cm="1">
        <f t="array" ref="H506">IF(OR(A506="",E506=""),"",SUMPRODUCT(($A$2:$A$581=A506)*($B$2:$B$581&lt;B506)*$I$2:$I$581))</f>
        <v/>
      </c>
      <c r="I506">
        <f t="shared" si="7"/>
        <v>0</v>
      </c>
    </row>
    <row r="507" spans="1:9" ht="371">
      <c r="A507" t="s">
        <v>5087</v>
      </c>
      <c r="B507">
        <v>6</v>
      </c>
      <c r="C507" t="s">
        <v>355</v>
      </c>
      <c r="D507">
        <v>1</v>
      </c>
      <c r="G507" s="10" t="s">
        <v>5112</v>
      </c>
      <c r="H507" t="str" cm="1">
        <f t="array" ref="H507">IF(OR(A507="",E507=""),"",SUMPRODUCT(($A$2:$A$581=A507)*($B$2:$B$581&lt;B507)*$I$2:$I$581))</f>
        <v/>
      </c>
      <c r="I507">
        <f t="shared" si="7"/>
        <v>0</v>
      </c>
    </row>
    <row r="508" spans="1:9" ht="409.6">
      <c r="A508" t="s">
        <v>5087</v>
      </c>
      <c r="B508">
        <v>7</v>
      </c>
      <c r="C508" t="s">
        <v>761</v>
      </c>
      <c r="D508">
        <v>1</v>
      </c>
      <c r="G508" s="10" t="s">
        <v>5126</v>
      </c>
      <c r="H508" t="str" cm="1">
        <f t="array" ref="H508">IF(OR(A508="",E508=""),"",SUMPRODUCT(($A$2:$A$581=A508)*($B$2:$B$581&lt;B508)*$I$2:$I$581))</f>
        <v/>
      </c>
      <c r="I508">
        <f t="shared" si="7"/>
        <v>0</v>
      </c>
    </row>
    <row r="509" spans="1:9">
      <c r="A509" t="s">
        <v>5087</v>
      </c>
      <c r="B509">
        <v>8</v>
      </c>
      <c r="H509" t="str" cm="1">
        <f t="array" ref="H509">IF(OR(A509="",E509=""),"",SUMPRODUCT(($A$2:$A$581=A509)*($B$2:$B$581&lt;B509)*$I$2:$I$581))</f>
        <v/>
      </c>
      <c r="I509">
        <f t="shared" si="7"/>
        <v>0</v>
      </c>
    </row>
    <row r="510" spans="1:9">
      <c r="A510" t="s">
        <v>5087</v>
      </c>
      <c r="B510">
        <v>9</v>
      </c>
      <c r="H510" t="str" cm="1">
        <f t="array" ref="H510">IF(OR(A510="",E510=""),"",SUMPRODUCT(($A$2:$A$581=A510)*($B$2:$B$581&lt;B510)*$I$2:$I$581))</f>
        <v/>
      </c>
      <c r="I510">
        <f t="shared" si="7"/>
        <v>0</v>
      </c>
    </row>
    <row r="511" spans="1:9">
      <c r="A511" t="s">
        <v>5087</v>
      </c>
      <c r="B511">
        <v>10</v>
      </c>
      <c r="H511" t="str" cm="1">
        <f t="array" ref="H511">IF(OR(A511="",E511=""),"",SUMPRODUCT(($A$2:$A$581=A511)*($B$2:$B$581&lt;B511)*$I$2:$I$581))</f>
        <v/>
      </c>
      <c r="I511">
        <f t="shared" si="7"/>
        <v>0</v>
      </c>
    </row>
    <row r="512" spans="1:9" ht="168">
      <c r="A512" t="s">
        <v>5127</v>
      </c>
      <c r="B512">
        <v>1</v>
      </c>
      <c r="C512" t="s">
        <v>355</v>
      </c>
      <c r="D512">
        <v>15</v>
      </c>
      <c r="E512" t="s">
        <v>204</v>
      </c>
      <c r="F512">
        <v>67</v>
      </c>
      <c r="G512" s="10" t="s">
        <v>5130</v>
      </c>
      <c r="H512" cm="1">
        <f t="array" ref="H512">IF(OR(A512="",E512=""),"",SUMPRODUCT(($A$2:$A$581=A512)*($B$2:$B$581&lt;B512)*$I$2:$I$581))</f>
        <v>0</v>
      </c>
      <c r="I512">
        <f t="shared" si="7"/>
        <v>5</v>
      </c>
    </row>
    <row r="513" spans="1:9" ht="196">
      <c r="A513" t="s">
        <v>5127</v>
      </c>
      <c r="B513">
        <v>2</v>
      </c>
      <c r="C513" t="s">
        <v>307</v>
      </c>
      <c r="D513">
        <v>12</v>
      </c>
      <c r="E513" t="s">
        <v>185</v>
      </c>
      <c r="F513">
        <v>2</v>
      </c>
      <c r="G513" s="10" t="s">
        <v>5133</v>
      </c>
      <c r="H513" cm="1">
        <f t="array" ref="H513">IF(OR(A513="",E513=""),"",SUMPRODUCT(($A$2:$A$581=A513)*($B$2:$B$581&lt;B513)*$I$2:$I$581))</f>
        <v>5</v>
      </c>
      <c r="I513">
        <f t="shared" si="7"/>
        <v>2</v>
      </c>
    </row>
    <row r="514" spans="1:9" ht="358">
      <c r="A514" t="s">
        <v>5127</v>
      </c>
      <c r="B514">
        <v>3</v>
      </c>
      <c r="C514" t="s">
        <v>333</v>
      </c>
      <c r="D514">
        <v>9</v>
      </c>
      <c r="E514" t="s">
        <v>1060</v>
      </c>
      <c r="F514">
        <v>1</v>
      </c>
      <c r="G514" s="10" t="s">
        <v>4275</v>
      </c>
      <c r="H514" cm="1">
        <f t="array" ref="H514">IF(OR(A514="",E514=""),"",SUMPRODUCT(($A$2:$A$581=A514)*($B$2:$B$581&lt;B514)*$I$2:$I$581))</f>
        <v>7</v>
      </c>
      <c r="I514">
        <f t="shared" si="7"/>
        <v>1</v>
      </c>
    </row>
    <row r="515" spans="1:9" ht="397">
      <c r="A515" t="s">
        <v>5127</v>
      </c>
      <c r="B515">
        <v>4</v>
      </c>
      <c r="C515" t="s">
        <v>624</v>
      </c>
      <c r="D515">
        <v>8</v>
      </c>
      <c r="G515" s="10" t="s">
        <v>5138</v>
      </c>
      <c r="H515" t="str" cm="1">
        <f t="array" ref="H515">IF(OR(A515="",E515=""),"",SUMPRODUCT(($A$2:$A$581=A515)*($B$2:$B$581&lt;B515)*$I$2:$I$581))</f>
        <v/>
      </c>
      <c r="I515">
        <f t="shared" ref="I515:I578" si="8">IF(OR(A515="",E515="",NOT(ISNUMBER(F515))),0,MIN(F515,5))</f>
        <v>0</v>
      </c>
    </row>
    <row r="516" spans="1:9" ht="266">
      <c r="A516" t="s">
        <v>5127</v>
      </c>
      <c r="B516">
        <v>5</v>
      </c>
      <c r="C516" t="s">
        <v>339</v>
      </c>
      <c r="D516">
        <v>7</v>
      </c>
      <c r="G516" s="10" t="s">
        <v>5141</v>
      </c>
      <c r="H516" t="str" cm="1">
        <f t="array" ref="H516">IF(OR(A516="",E516=""),"",SUMPRODUCT(($A$2:$A$581=A516)*($B$2:$B$581&lt;B516)*$I$2:$I$581))</f>
        <v/>
      </c>
      <c r="I516">
        <f t="shared" si="8"/>
        <v>0</v>
      </c>
    </row>
    <row r="517" spans="1:9" ht="210">
      <c r="A517" t="s">
        <v>5127</v>
      </c>
      <c r="B517">
        <v>6</v>
      </c>
      <c r="C517" t="s">
        <v>318</v>
      </c>
      <c r="D517">
        <v>5</v>
      </c>
      <c r="G517" s="10" t="s">
        <v>5145</v>
      </c>
      <c r="H517" t="str" cm="1">
        <f t="array" ref="H517">IF(OR(A517="",E517=""),"",SUMPRODUCT(($A$2:$A$581=A517)*($B$2:$B$581&lt;B517)*$I$2:$I$581))</f>
        <v/>
      </c>
      <c r="I517">
        <f t="shared" si="8"/>
        <v>0</v>
      </c>
    </row>
    <row r="518" spans="1:9" ht="409.6">
      <c r="A518" t="s">
        <v>5127</v>
      </c>
      <c r="B518">
        <v>7</v>
      </c>
      <c r="C518" t="s">
        <v>350</v>
      </c>
      <c r="D518">
        <v>5</v>
      </c>
      <c r="G518" s="10" t="s">
        <v>5148</v>
      </c>
      <c r="H518" t="str" cm="1">
        <f t="array" ref="H518">IF(OR(A518="",E518=""),"",SUMPRODUCT(($A$2:$A$581=A518)*($B$2:$B$581&lt;B518)*$I$2:$I$581))</f>
        <v/>
      </c>
      <c r="I518">
        <f t="shared" si="8"/>
        <v>0</v>
      </c>
    </row>
    <row r="519" spans="1:9" ht="238">
      <c r="A519" t="s">
        <v>5127</v>
      </c>
      <c r="B519">
        <v>8</v>
      </c>
      <c r="C519" t="s">
        <v>287</v>
      </c>
      <c r="D519">
        <v>3</v>
      </c>
      <c r="G519" s="10" t="s">
        <v>5154</v>
      </c>
      <c r="H519" t="str" cm="1">
        <f t="array" ref="H519">IF(OR(A519="",E519=""),"",SUMPRODUCT(($A$2:$A$581=A519)*($B$2:$B$581&lt;B519)*$I$2:$I$581))</f>
        <v/>
      </c>
      <c r="I519">
        <f t="shared" si="8"/>
        <v>0</v>
      </c>
    </row>
    <row r="520" spans="1:9" ht="196">
      <c r="A520" t="s">
        <v>5127</v>
      </c>
      <c r="B520">
        <v>9</v>
      </c>
      <c r="C520" t="s">
        <v>241</v>
      </c>
      <c r="D520">
        <v>2</v>
      </c>
      <c r="G520" s="10" t="s">
        <v>5158</v>
      </c>
      <c r="H520" t="str" cm="1">
        <f t="array" ref="H520">IF(OR(A520="",E520=""),"",SUMPRODUCT(($A$2:$A$581=A520)*($B$2:$B$581&lt;B520)*$I$2:$I$581))</f>
        <v/>
      </c>
      <c r="I520">
        <f t="shared" si="8"/>
        <v>0</v>
      </c>
    </row>
    <row r="521" spans="1:9" ht="224">
      <c r="A521" t="s">
        <v>5127</v>
      </c>
      <c r="B521">
        <v>10</v>
      </c>
      <c r="C521" t="s">
        <v>196</v>
      </c>
      <c r="D521">
        <v>1</v>
      </c>
      <c r="G521" s="10" t="s">
        <v>5178</v>
      </c>
      <c r="H521" t="str" cm="1">
        <f t="array" ref="H521">IF(OR(A521="",E521=""),"",SUMPRODUCT(($A$2:$A$581=A521)*($B$2:$B$581&lt;B521)*$I$2:$I$581))</f>
        <v/>
      </c>
      <c r="I521">
        <f t="shared" si="8"/>
        <v>0</v>
      </c>
    </row>
    <row r="522" spans="1:9" ht="266">
      <c r="A522" t="s">
        <v>5260</v>
      </c>
      <c r="B522">
        <v>1</v>
      </c>
      <c r="C522" t="s">
        <v>202</v>
      </c>
      <c r="D522">
        <v>16</v>
      </c>
      <c r="E522" t="s">
        <v>204</v>
      </c>
      <c r="F522">
        <v>80</v>
      </c>
      <c r="G522" s="10" t="s">
        <v>5263</v>
      </c>
      <c r="H522" cm="1">
        <f t="array" ref="H522">IF(OR(A522="",E522=""),"",SUMPRODUCT(($A$2:$A$581=A522)*($B$2:$B$581&lt;B522)*$I$2:$I$581))</f>
        <v>0</v>
      </c>
      <c r="I522">
        <f t="shared" si="8"/>
        <v>5</v>
      </c>
    </row>
    <row r="523" spans="1:9" ht="345">
      <c r="A523" t="s">
        <v>5260</v>
      </c>
      <c r="B523">
        <v>2</v>
      </c>
      <c r="C523" t="s">
        <v>241</v>
      </c>
      <c r="D523">
        <v>15</v>
      </c>
      <c r="E523" t="s">
        <v>177</v>
      </c>
      <c r="F523">
        <v>2</v>
      </c>
      <c r="G523" s="10" t="s">
        <v>5265</v>
      </c>
      <c r="H523" cm="1">
        <f t="array" ref="H523">IF(OR(A523="",E523=""),"",SUMPRODUCT(($A$2:$A$581=A523)*($B$2:$B$581&lt;B523)*$I$2:$I$581))</f>
        <v>5</v>
      </c>
      <c r="I523">
        <f t="shared" si="8"/>
        <v>2</v>
      </c>
    </row>
    <row r="524" spans="1:9" ht="182">
      <c r="A524" t="s">
        <v>5260</v>
      </c>
      <c r="B524">
        <v>3</v>
      </c>
      <c r="C524" t="s">
        <v>307</v>
      </c>
      <c r="D524">
        <v>13</v>
      </c>
      <c r="E524" t="s">
        <v>1060</v>
      </c>
      <c r="F524">
        <v>2</v>
      </c>
      <c r="G524" s="10" t="s">
        <v>5268</v>
      </c>
      <c r="H524" cm="1">
        <f t="array" ref="H524">IF(OR(A524="",E524=""),"",SUMPRODUCT(($A$2:$A$581=A524)*($B$2:$B$581&lt;B524)*$I$2:$I$581))</f>
        <v>7</v>
      </c>
      <c r="I524">
        <f t="shared" si="8"/>
        <v>2</v>
      </c>
    </row>
    <row r="525" spans="1:9" ht="409.6">
      <c r="A525" t="s">
        <v>5260</v>
      </c>
      <c r="B525">
        <v>4</v>
      </c>
      <c r="C525" t="s">
        <v>355</v>
      </c>
      <c r="D525">
        <v>9</v>
      </c>
      <c r="E525" t="s">
        <v>794</v>
      </c>
      <c r="F525">
        <v>1</v>
      </c>
      <c r="G525" s="10" t="s">
        <v>5271</v>
      </c>
      <c r="H525" cm="1">
        <f t="array" ref="H525">IF(OR(A525="",E525=""),"",SUMPRODUCT(($A$2:$A$581=A525)*($B$2:$B$581&lt;B525)*$I$2:$I$581))</f>
        <v>9</v>
      </c>
      <c r="I525">
        <f t="shared" si="8"/>
        <v>1</v>
      </c>
    </row>
    <row r="526" spans="1:9" ht="332">
      <c r="A526" t="s">
        <v>5260</v>
      </c>
      <c r="B526">
        <v>5</v>
      </c>
      <c r="C526" t="s">
        <v>333</v>
      </c>
      <c r="D526">
        <v>4</v>
      </c>
      <c r="G526" s="10" t="s">
        <v>4153</v>
      </c>
      <c r="H526" t="str" cm="1">
        <f t="array" ref="H526">IF(OR(A526="",E526=""),"",SUMPRODUCT(($A$2:$A$581=A526)*($B$2:$B$581&lt;B526)*$I$2:$I$581))</f>
        <v/>
      </c>
      <c r="I526">
        <f t="shared" si="8"/>
        <v>0</v>
      </c>
    </row>
    <row r="527" spans="1:9" ht="182">
      <c r="A527" t="s">
        <v>5260</v>
      </c>
      <c r="B527">
        <v>6</v>
      </c>
      <c r="C527" t="s">
        <v>339</v>
      </c>
      <c r="D527">
        <v>4</v>
      </c>
      <c r="G527" s="10" t="s">
        <v>5276</v>
      </c>
      <c r="H527" t="str" cm="1">
        <f t="array" ref="H527">IF(OR(A527="",E527=""),"",SUMPRODUCT(($A$2:$A$581=A527)*($B$2:$B$581&lt;B527)*$I$2:$I$581))</f>
        <v/>
      </c>
      <c r="I527">
        <f t="shared" si="8"/>
        <v>0</v>
      </c>
    </row>
    <row r="528" spans="1:9" ht="345">
      <c r="A528" t="s">
        <v>5260</v>
      </c>
      <c r="B528">
        <v>7</v>
      </c>
      <c r="C528" t="s">
        <v>624</v>
      </c>
      <c r="D528">
        <v>3</v>
      </c>
      <c r="G528" s="10" t="s">
        <v>5284</v>
      </c>
      <c r="H528" t="str" cm="1">
        <f t="array" ref="H528">IF(OR(A528="",E528=""),"",SUMPRODUCT(($A$2:$A$581=A528)*($B$2:$B$581&lt;B528)*$I$2:$I$581))</f>
        <v/>
      </c>
      <c r="I528">
        <f t="shared" si="8"/>
        <v>0</v>
      </c>
    </row>
    <row r="529" spans="1:9" ht="345">
      <c r="A529" t="s">
        <v>5260</v>
      </c>
      <c r="B529">
        <v>8</v>
      </c>
      <c r="C529" t="s">
        <v>649</v>
      </c>
      <c r="D529">
        <v>3</v>
      </c>
      <c r="G529" s="10" t="s">
        <v>5287</v>
      </c>
      <c r="H529" t="str" cm="1">
        <f t="array" ref="H529">IF(OR(A529="",E529=""),"",SUMPRODUCT(($A$2:$A$581=A529)*($B$2:$B$581&lt;B529)*$I$2:$I$581))</f>
        <v/>
      </c>
      <c r="I529">
        <f t="shared" si="8"/>
        <v>0</v>
      </c>
    </row>
    <row r="530" spans="1:9" ht="224">
      <c r="A530" t="s">
        <v>5260</v>
      </c>
      <c r="B530">
        <v>9</v>
      </c>
      <c r="C530" t="s">
        <v>915</v>
      </c>
      <c r="D530">
        <v>2</v>
      </c>
      <c r="G530" s="10" t="s">
        <v>5292</v>
      </c>
      <c r="H530" t="str" cm="1">
        <f t="array" ref="H530">IF(OR(A530="",E530=""),"",SUMPRODUCT(($A$2:$A$581=A530)*($B$2:$B$581&lt;B530)*$I$2:$I$581))</f>
        <v/>
      </c>
      <c r="I530">
        <f t="shared" si="8"/>
        <v>0</v>
      </c>
    </row>
    <row r="531" spans="1:9" ht="252">
      <c r="A531" t="s">
        <v>5260</v>
      </c>
      <c r="B531">
        <v>10</v>
      </c>
      <c r="C531" t="s">
        <v>350</v>
      </c>
      <c r="D531">
        <v>2</v>
      </c>
      <c r="G531" s="10" t="s">
        <v>1465</v>
      </c>
      <c r="H531" t="str" cm="1">
        <f t="array" ref="H531">IF(OR(A531="",E531=""),"",SUMPRODUCT(($A$2:$A$581=A531)*($B$2:$B$581&lt;B531)*$I$2:$I$581))</f>
        <v/>
      </c>
      <c r="I531">
        <f t="shared" si="8"/>
        <v>0</v>
      </c>
    </row>
    <row r="532" spans="1:9" ht="182">
      <c r="A532" t="s">
        <v>5446</v>
      </c>
      <c r="B532">
        <v>1</v>
      </c>
      <c r="C532" t="s">
        <v>350</v>
      </c>
      <c r="D532">
        <v>25</v>
      </c>
      <c r="E532" t="s">
        <v>204</v>
      </c>
      <c r="F532">
        <v>24</v>
      </c>
      <c r="G532" s="10" t="s">
        <v>5449</v>
      </c>
      <c r="H532" cm="1">
        <f t="array" ref="H532">IF(OR(A532="",E532=""),"",SUMPRODUCT(($A$2:$A$581=A532)*($B$2:$B$581&lt;B532)*$I$2:$I$581))</f>
        <v>0</v>
      </c>
      <c r="I532">
        <f t="shared" si="8"/>
        <v>5</v>
      </c>
    </row>
    <row r="533" spans="1:9" ht="182">
      <c r="A533" t="s">
        <v>5446</v>
      </c>
      <c r="B533">
        <v>2</v>
      </c>
      <c r="C533" t="s">
        <v>1280</v>
      </c>
      <c r="D533">
        <v>2</v>
      </c>
      <c r="E533" t="s">
        <v>177</v>
      </c>
      <c r="F533">
        <v>3</v>
      </c>
      <c r="G533" s="10" t="s">
        <v>5456</v>
      </c>
      <c r="H533" cm="1">
        <f t="array" ref="H533">IF(OR(A533="",E533=""),"",SUMPRODUCT(($A$2:$A$581=A533)*($B$2:$B$581&lt;B533)*$I$2:$I$581))</f>
        <v>5</v>
      </c>
      <c r="I533">
        <f t="shared" si="8"/>
        <v>3</v>
      </c>
    </row>
    <row r="534" spans="1:9" ht="154">
      <c r="A534" t="s">
        <v>5446</v>
      </c>
      <c r="B534">
        <v>3</v>
      </c>
      <c r="C534" t="s">
        <v>196</v>
      </c>
      <c r="D534">
        <v>2</v>
      </c>
      <c r="E534" t="s">
        <v>2537</v>
      </c>
      <c r="F534">
        <v>3</v>
      </c>
      <c r="G534" s="10" t="s">
        <v>5466</v>
      </c>
      <c r="H534" cm="1">
        <f t="array" ref="H534">IF(OR(A534="",E534=""),"",SUMPRODUCT(($A$2:$A$581=A534)*($B$2:$B$581&lt;B534)*$I$2:$I$581))</f>
        <v>8</v>
      </c>
      <c r="I534">
        <f t="shared" si="8"/>
        <v>3</v>
      </c>
    </row>
    <row r="535" spans="1:9" ht="210">
      <c r="A535" t="s">
        <v>5446</v>
      </c>
      <c r="B535">
        <v>4</v>
      </c>
      <c r="C535" t="s">
        <v>388</v>
      </c>
      <c r="D535">
        <v>1</v>
      </c>
      <c r="E535" t="s">
        <v>244</v>
      </c>
      <c r="F535">
        <v>1</v>
      </c>
      <c r="G535" s="10" t="s">
        <v>5475</v>
      </c>
      <c r="H535" cm="1">
        <f t="array" ref="H535">IF(OR(A535="",E535=""),"",SUMPRODUCT(($A$2:$A$581=A535)*($B$2:$B$581&lt;B535)*$I$2:$I$581))</f>
        <v>11</v>
      </c>
      <c r="I535">
        <f t="shared" si="8"/>
        <v>1</v>
      </c>
    </row>
    <row r="536" spans="1:9">
      <c r="A536" t="s">
        <v>5446</v>
      </c>
      <c r="B536">
        <v>5</v>
      </c>
      <c r="C536" t="s">
        <v>1391</v>
      </c>
      <c r="D536">
        <v>1</v>
      </c>
      <c r="E536" t="s">
        <v>185</v>
      </c>
      <c r="F536">
        <v>1</v>
      </c>
      <c r="G536" t="s">
        <v>4140</v>
      </c>
      <c r="H536" cm="1">
        <f t="array" ref="H536">IF(OR(A536="",E536=""),"",SUMPRODUCT(($A$2:$A$581=A536)*($B$2:$B$581&lt;B536)*$I$2:$I$581))</f>
        <v>12</v>
      </c>
      <c r="I536">
        <f t="shared" si="8"/>
        <v>1</v>
      </c>
    </row>
    <row r="537" spans="1:9" ht="168">
      <c r="A537" t="s">
        <v>5446</v>
      </c>
      <c r="B537">
        <v>6</v>
      </c>
      <c r="C537" t="s">
        <v>287</v>
      </c>
      <c r="D537">
        <v>1</v>
      </c>
      <c r="G537" s="10" t="s">
        <v>5521</v>
      </c>
      <c r="H537" t="str" cm="1">
        <f t="array" ref="H537">IF(OR(A537="",E537=""),"",SUMPRODUCT(($A$2:$A$581=A537)*($B$2:$B$581&lt;B537)*$I$2:$I$581))</f>
        <v/>
      </c>
      <c r="I537">
        <f t="shared" si="8"/>
        <v>0</v>
      </c>
    </row>
    <row r="538" spans="1:9" ht="384">
      <c r="A538" t="s">
        <v>5446</v>
      </c>
      <c r="B538">
        <v>7</v>
      </c>
      <c r="G538" s="10" t="s">
        <v>1359</v>
      </c>
      <c r="H538" t="str" cm="1">
        <f t="array" ref="H538">IF(OR(A538="",E538=""),"",SUMPRODUCT(($A$2:$A$581=A538)*($B$2:$B$581&lt;B538)*$I$2:$I$581))</f>
        <v/>
      </c>
      <c r="I538">
        <f t="shared" si="8"/>
        <v>0</v>
      </c>
    </row>
    <row r="539" spans="1:9" ht="397">
      <c r="A539" t="s">
        <v>5446</v>
      </c>
      <c r="B539">
        <v>8</v>
      </c>
      <c r="G539" s="10" t="s">
        <v>5563</v>
      </c>
      <c r="H539" t="str" cm="1">
        <f t="array" ref="H539">IF(OR(A539="",E539=""),"",SUMPRODUCT(($A$2:$A$581=A539)*($B$2:$B$581&lt;B539)*$I$2:$I$581))</f>
        <v/>
      </c>
      <c r="I539">
        <f t="shared" si="8"/>
        <v>0</v>
      </c>
    </row>
    <row r="540" spans="1:9" ht="280">
      <c r="A540" t="s">
        <v>5446</v>
      </c>
      <c r="B540">
        <v>9</v>
      </c>
      <c r="G540" s="10" t="s">
        <v>5566</v>
      </c>
      <c r="H540" t="str" cm="1">
        <f t="array" ref="H540">IF(OR(A540="",E540=""),"",SUMPRODUCT(($A$2:$A$581=A540)*($B$2:$B$581&lt;B540)*$I$2:$I$581))</f>
        <v/>
      </c>
      <c r="I540">
        <f t="shared" si="8"/>
        <v>0</v>
      </c>
    </row>
    <row r="541" spans="1:9" ht="371">
      <c r="A541" t="s">
        <v>5446</v>
      </c>
      <c r="B541">
        <v>10</v>
      </c>
      <c r="G541" s="10" t="s">
        <v>5602</v>
      </c>
      <c r="H541" t="str" cm="1">
        <f t="array" ref="H541">IF(OR(A541="",E541=""),"",SUMPRODUCT(($A$2:$A$581=A541)*($B$2:$B$581&lt;B541)*$I$2:$I$581))</f>
        <v/>
      </c>
      <c r="I541">
        <f t="shared" si="8"/>
        <v>0</v>
      </c>
    </row>
    <row r="542" spans="1:9" ht="238">
      <c r="A542" t="s">
        <v>5450</v>
      </c>
      <c r="B542">
        <v>1</v>
      </c>
      <c r="C542" t="s">
        <v>350</v>
      </c>
      <c r="D542">
        <v>32</v>
      </c>
      <c r="E542" t="s">
        <v>2537</v>
      </c>
      <c r="F542">
        <v>55</v>
      </c>
      <c r="G542" s="10" t="s">
        <v>5453</v>
      </c>
      <c r="H542" cm="1">
        <f t="array" ref="H542">IF(OR(A542="",E542=""),"",SUMPRODUCT(($A$2:$A$581=A542)*($B$2:$B$581&lt;B542)*$I$2:$I$581))</f>
        <v>0</v>
      </c>
      <c r="I542">
        <f t="shared" si="8"/>
        <v>5</v>
      </c>
    </row>
    <row r="543" spans="1:9" ht="409.6">
      <c r="A543" t="s">
        <v>5450</v>
      </c>
      <c r="B543">
        <v>2</v>
      </c>
      <c r="C543" t="s">
        <v>202</v>
      </c>
      <c r="D543">
        <v>7</v>
      </c>
      <c r="E543" t="s">
        <v>204</v>
      </c>
      <c r="F543">
        <v>13</v>
      </c>
      <c r="G543" s="10" t="s">
        <v>5459</v>
      </c>
      <c r="H543" cm="1">
        <f t="array" ref="H543">IF(OR(A543="",E543=""),"",SUMPRODUCT(($A$2:$A$581=A543)*($B$2:$B$581&lt;B543)*$I$2:$I$581))</f>
        <v>5</v>
      </c>
      <c r="I543">
        <f t="shared" si="8"/>
        <v>5</v>
      </c>
    </row>
    <row r="544" spans="1:9" ht="358">
      <c r="A544" t="s">
        <v>5450</v>
      </c>
      <c r="B544">
        <v>3</v>
      </c>
      <c r="C544" t="s">
        <v>230</v>
      </c>
      <c r="D544">
        <v>5</v>
      </c>
      <c r="E544" t="s">
        <v>2054</v>
      </c>
      <c r="F544">
        <v>1</v>
      </c>
      <c r="G544" s="10" t="s">
        <v>5463</v>
      </c>
      <c r="H544" cm="1">
        <f t="array" ref="H544">IF(OR(A544="",E544=""),"",SUMPRODUCT(($A$2:$A$581=A544)*($B$2:$B$581&lt;B544)*$I$2:$I$581))</f>
        <v>10</v>
      </c>
      <c r="I544">
        <f t="shared" si="8"/>
        <v>1</v>
      </c>
    </row>
    <row r="545" spans="1:9" ht="126">
      <c r="A545" t="s">
        <v>5450</v>
      </c>
      <c r="B545">
        <v>4</v>
      </c>
      <c r="C545" t="s">
        <v>366</v>
      </c>
      <c r="D545">
        <v>5</v>
      </c>
      <c r="G545" s="10" t="s">
        <v>5469</v>
      </c>
      <c r="H545" t="str" cm="1">
        <f t="array" ref="H545">IF(OR(A545="",E545=""),"",SUMPRODUCT(($A$2:$A$581=A545)*($B$2:$B$581&lt;B545)*$I$2:$I$581))</f>
        <v/>
      </c>
      <c r="I545">
        <f t="shared" si="8"/>
        <v>0</v>
      </c>
    </row>
    <row r="546" spans="1:9" ht="168">
      <c r="A546" t="s">
        <v>5450</v>
      </c>
      <c r="B546">
        <v>5</v>
      </c>
      <c r="C546" t="s">
        <v>1391</v>
      </c>
      <c r="D546">
        <v>3</v>
      </c>
      <c r="G546" s="10" t="s">
        <v>5472</v>
      </c>
      <c r="H546" t="str" cm="1">
        <f t="array" ref="H546">IF(OR(A546="",E546=""),"",SUMPRODUCT(($A$2:$A$581=A546)*($B$2:$B$581&lt;B546)*$I$2:$I$581))</f>
        <v/>
      </c>
      <c r="I546">
        <f t="shared" si="8"/>
        <v>0</v>
      </c>
    </row>
    <row r="547" spans="1:9" ht="252">
      <c r="A547" t="s">
        <v>5450</v>
      </c>
      <c r="B547">
        <v>6</v>
      </c>
      <c r="C547" t="s">
        <v>339</v>
      </c>
      <c r="D547">
        <v>3</v>
      </c>
      <c r="G547" s="10" t="s">
        <v>5478</v>
      </c>
      <c r="H547" t="str" cm="1">
        <f t="array" ref="H547">IF(OR(A547="",E547=""),"",SUMPRODUCT(($A$2:$A$581=A547)*($B$2:$B$581&lt;B547)*$I$2:$I$581))</f>
        <v/>
      </c>
      <c r="I547">
        <f t="shared" si="8"/>
        <v>0</v>
      </c>
    </row>
    <row r="548" spans="1:9" ht="168">
      <c r="A548" t="s">
        <v>5450</v>
      </c>
      <c r="B548">
        <v>7</v>
      </c>
      <c r="C548" t="s">
        <v>196</v>
      </c>
      <c r="D548">
        <v>2</v>
      </c>
      <c r="G548" s="10" t="s">
        <v>5486</v>
      </c>
      <c r="H548" t="str" cm="1">
        <f t="array" ref="H548">IF(OR(A548="",E548=""),"",SUMPRODUCT(($A$2:$A$581=A548)*($B$2:$B$581&lt;B548)*$I$2:$I$581))</f>
        <v/>
      </c>
      <c r="I548">
        <f t="shared" si="8"/>
        <v>0</v>
      </c>
    </row>
    <row r="549" spans="1:9" ht="154">
      <c r="A549" t="s">
        <v>5450</v>
      </c>
      <c r="B549">
        <v>8</v>
      </c>
      <c r="C549" t="s">
        <v>261</v>
      </c>
      <c r="D549">
        <v>2</v>
      </c>
      <c r="G549" s="10" t="s">
        <v>5492</v>
      </c>
      <c r="H549" t="str" cm="1">
        <f t="array" ref="H549">IF(OR(A549="",E549=""),"",SUMPRODUCT(($A$2:$A$581=A549)*($B$2:$B$581&lt;B549)*$I$2:$I$581))</f>
        <v/>
      </c>
      <c r="I549">
        <f t="shared" si="8"/>
        <v>0</v>
      </c>
    </row>
    <row r="550" spans="1:9" ht="252">
      <c r="A550" t="s">
        <v>5450</v>
      </c>
      <c r="B550">
        <v>9</v>
      </c>
      <c r="C550" t="s">
        <v>312</v>
      </c>
      <c r="D550">
        <v>2</v>
      </c>
      <c r="G550" s="10" t="s">
        <v>5495</v>
      </c>
      <c r="H550" t="str" cm="1">
        <f t="array" ref="H550">IF(OR(A550="",E550=""),"",SUMPRODUCT(($A$2:$A$581=A550)*($B$2:$B$581&lt;B550)*$I$2:$I$581))</f>
        <v/>
      </c>
      <c r="I550">
        <f t="shared" si="8"/>
        <v>0</v>
      </c>
    </row>
    <row r="551" spans="1:9" ht="196">
      <c r="A551" t="s">
        <v>5450</v>
      </c>
      <c r="B551">
        <v>10</v>
      </c>
      <c r="C551" t="s">
        <v>355</v>
      </c>
      <c r="D551">
        <v>2</v>
      </c>
      <c r="G551" s="10" t="s">
        <v>5501</v>
      </c>
      <c r="H551" t="str" cm="1">
        <f t="array" ref="H551">IF(OR(A551="",E551=""),"",SUMPRODUCT(($A$2:$A$581=A551)*($B$2:$B$581&lt;B551)*$I$2:$I$581))</f>
        <v/>
      </c>
      <c r="I551">
        <f t="shared" si="8"/>
        <v>0</v>
      </c>
    </row>
    <row r="552" spans="1:9" ht="397">
      <c r="A552" t="s">
        <v>5664</v>
      </c>
      <c r="B552">
        <v>1</v>
      </c>
      <c r="C552" t="s">
        <v>181</v>
      </c>
      <c r="D552">
        <v>39</v>
      </c>
      <c r="E552" t="s">
        <v>953</v>
      </c>
      <c r="F552">
        <v>56</v>
      </c>
      <c r="G552" s="10" t="s">
        <v>5667</v>
      </c>
      <c r="H552" cm="1">
        <f t="array" ref="H552">IF(OR(A552="",E552=""),"",SUMPRODUCT(($A$2:$A$581=A552)*($B$2:$B$581&lt;B552)*$I$2:$I$581))</f>
        <v>0</v>
      </c>
      <c r="I552">
        <f t="shared" si="8"/>
        <v>5</v>
      </c>
    </row>
    <row r="553" spans="1:9" ht="196">
      <c r="A553" t="s">
        <v>5664</v>
      </c>
      <c r="B553">
        <v>2</v>
      </c>
      <c r="C553" t="s">
        <v>388</v>
      </c>
      <c r="D553">
        <v>9</v>
      </c>
      <c r="E553" t="s">
        <v>185</v>
      </c>
      <c r="F553">
        <v>5</v>
      </c>
      <c r="G553" s="10" t="s">
        <v>5676</v>
      </c>
      <c r="H553" cm="1">
        <f t="array" ref="H553">IF(OR(A553="",E553=""),"",SUMPRODUCT(($A$2:$A$581=A553)*($B$2:$B$581&lt;B553)*$I$2:$I$581))</f>
        <v>5</v>
      </c>
      <c r="I553">
        <f t="shared" si="8"/>
        <v>5</v>
      </c>
    </row>
    <row r="554" spans="1:9" ht="224">
      <c r="A554" t="s">
        <v>5664</v>
      </c>
      <c r="B554">
        <v>3</v>
      </c>
      <c r="C554" t="s">
        <v>170</v>
      </c>
      <c r="D554">
        <v>7</v>
      </c>
      <c r="E554" t="s">
        <v>794</v>
      </c>
      <c r="F554">
        <v>2</v>
      </c>
      <c r="G554" s="10" t="s">
        <v>990</v>
      </c>
      <c r="H554" cm="1">
        <f t="array" ref="H554">IF(OR(A554="",E554=""),"",SUMPRODUCT(($A$2:$A$581=A554)*($B$2:$B$581&lt;B554)*$I$2:$I$581))</f>
        <v>10</v>
      </c>
      <c r="I554">
        <f t="shared" si="8"/>
        <v>2</v>
      </c>
    </row>
    <row r="555" spans="1:9" ht="293">
      <c r="A555" t="s">
        <v>5664</v>
      </c>
      <c r="B555">
        <v>4</v>
      </c>
      <c r="C555" t="s">
        <v>1048</v>
      </c>
      <c r="D555">
        <v>3</v>
      </c>
      <c r="E555" t="s">
        <v>204</v>
      </c>
      <c r="F555">
        <v>2</v>
      </c>
      <c r="G555" s="10" t="s">
        <v>5681</v>
      </c>
      <c r="H555" cm="1">
        <f t="array" ref="H555">IF(OR(A555="",E555=""),"",SUMPRODUCT(($A$2:$A$581=A555)*($B$2:$B$581&lt;B555)*$I$2:$I$581))</f>
        <v>12</v>
      </c>
      <c r="I555">
        <f t="shared" si="8"/>
        <v>2</v>
      </c>
    </row>
    <row r="556" spans="1:9" ht="306">
      <c r="A556" t="s">
        <v>5664</v>
      </c>
      <c r="B556">
        <v>5</v>
      </c>
      <c r="C556" t="s">
        <v>350</v>
      </c>
      <c r="D556">
        <v>2</v>
      </c>
      <c r="G556" s="10" t="s">
        <v>5683</v>
      </c>
      <c r="H556" t="str" cm="1">
        <f t="array" ref="H556">IF(OR(A556="",E556=""),"",SUMPRODUCT(($A$2:$A$581=A556)*($B$2:$B$581&lt;B556)*$I$2:$I$581))</f>
        <v/>
      </c>
      <c r="I556">
        <f t="shared" si="8"/>
        <v>0</v>
      </c>
    </row>
    <row r="557" spans="1:9" ht="358">
      <c r="A557" t="s">
        <v>5664</v>
      </c>
      <c r="B557">
        <v>6</v>
      </c>
      <c r="C557" t="s">
        <v>395</v>
      </c>
      <c r="D557">
        <v>1</v>
      </c>
      <c r="G557" s="10" t="s">
        <v>5687</v>
      </c>
      <c r="H557" t="str" cm="1">
        <f t="array" ref="H557">IF(OR(A557="",E557=""),"",SUMPRODUCT(($A$2:$A$581=A557)*($B$2:$B$581&lt;B557)*$I$2:$I$581))</f>
        <v/>
      </c>
      <c r="I557">
        <f t="shared" si="8"/>
        <v>0</v>
      </c>
    </row>
    <row r="558" spans="1:9" ht="210">
      <c r="A558" t="s">
        <v>5664</v>
      </c>
      <c r="B558">
        <v>7</v>
      </c>
      <c r="C558" t="s">
        <v>1193</v>
      </c>
      <c r="D558">
        <v>1</v>
      </c>
      <c r="G558" s="10" t="s">
        <v>5690</v>
      </c>
      <c r="H558" t="str" cm="1">
        <f t="array" ref="H558">IF(OR(A558="",E558=""),"",SUMPRODUCT(($A$2:$A$581=A558)*($B$2:$B$581&lt;B558)*$I$2:$I$581))</f>
        <v/>
      </c>
      <c r="I558">
        <f t="shared" si="8"/>
        <v>0</v>
      </c>
    </row>
    <row r="559" spans="1:9" ht="332">
      <c r="A559" t="s">
        <v>5664</v>
      </c>
      <c r="B559">
        <v>8</v>
      </c>
      <c r="C559" t="s">
        <v>1271</v>
      </c>
      <c r="D559">
        <v>1</v>
      </c>
      <c r="G559" s="10" t="s">
        <v>5693</v>
      </c>
      <c r="H559" t="str" cm="1">
        <f t="array" ref="H559">IF(OR(A559="",E559=""),"",SUMPRODUCT(($A$2:$A$581=A559)*($B$2:$B$581&lt;B559)*$I$2:$I$581))</f>
        <v/>
      </c>
      <c r="I559">
        <f t="shared" si="8"/>
        <v>0</v>
      </c>
    </row>
    <row r="560" spans="1:9" ht="409.6">
      <c r="A560" t="s">
        <v>5664</v>
      </c>
      <c r="B560">
        <v>9</v>
      </c>
      <c r="C560" t="s">
        <v>241</v>
      </c>
      <c r="D560">
        <v>1</v>
      </c>
      <c r="G560" s="10" t="s">
        <v>5696</v>
      </c>
      <c r="H560" t="str" cm="1">
        <f t="array" ref="H560">IF(OR(A560="",E560=""),"",SUMPRODUCT(($A$2:$A$581=A560)*($B$2:$B$581&lt;B560)*$I$2:$I$581))</f>
        <v/>
      </c>
      <c r="I560">
        <f t="shared" si="8"/>
        <v>0</v>
      </c>
    </row>
    <row r="561" spans="1:9" ht="210">
      <c r="A561" t="s">
        <v>5664</v>
      </c>
      <c r="B561">
        <v>10</v>
      </c>
      <c r="C561" t="s">
        <v>1998</v>
      </c>
      <c r="D561">
        <v>1</v>
      </c>
      <c r="G561" s="10" t="s">
        <v>5700</v>
      </c>
      <c r="H561" t="str" cm="1">
        <f t="array" ref="H561">IF(OR(A561="",E561=""),"",SUMPRODUCT(($A$2:$A$581=A561)*($B$2:$B$581&lt;B561)*$I$2:$I$581))</f>
        <v/>
      </c>
      <c r="I561">
        <f t="shared" si="8"/>
        <v>0</v>
      </c>
    </row>
    <row r="562" spans="1:9" ht="196">
      <c r="A562" t="s">
        <v>5760</v>
      </c>
      <c r="B562">
        <v>1</v>
      </c>
      <c r="C562" t="s">
        <v>355</v>
      </c>
      <c r="D562">
        <v>12</v>
      </c>
      <c r="E562" t="s">
        <v>4126</v>
      </c>
      <c r="F562">
        <v>15</v>
      </c>
      <c r="G562" s="10" t="s">
        <v>5763</v>
      </c>
      <c r="H562" cm="1">
        <f t="array" ref="H562">IF(OR(A562="",E562=""),"",SUMPRODUCT(($A$2:$A$581=A562)*($B$2:$B$581&lt;B562)*$I$2:$I$581))</f>
        <v>0</v>
      </c>
      <c r="I562">
        <f t="shared" si="8"/>
        <v>5</v>
      </c>
    </row>
    <row r="563" spans="1:9" ht="210">
      <c r="A563" t="s">
        <v>5760</v>
      </c>
      <c r="B563">
        <v>2</v>
      </c>
      <c r="C563" t="s">
        <v>230</v>
      </c>
      <c r="D563">
        <v>10</v>
      </c>
      <c r="E563" t="s">
        <v>3093</v>
      </c>
      <c r="F563">
        <v>9</v>
      </c>
      <c r="G563" s="10" t="s">
        <v>5766</v>
      </c>
      <c r="H563" cm="1">
        <f t="array" ref="H563">IF(OR(A563="",E563=""),"",SUMPRODUCT(($A$2:$A$581=A563)*($B$2:$B$581&lt;B563)*$I$2:$I$581))</f>
        <v>5</v>
      </c>
      <c r="I563">
        <f t="shared" si="8"/>
        <v>5</v>
      </c>
    </row>
    <row r="564" spans="1:9" ht="182">
      <c r="A564" t="s">
        <v>5760</v>
      </c>
      <c r="B564">
        <v>3</v>
      </c>
      <c r="C564" t="s">
        <v>312</v>
      </c>
      <c r="D564">
        <v>6</v>
      </c>
      <c r="E564" t="s">
        <v>2054</v>
      </c>
      <c r="F564">
        <v>9</v>
      </c>
      <c r="G564" s="10" t="s">
        <v>5769</v>
      </c>
      <c r="H564" cm="1">
        <f t="array" ref="H564">IF(OR(A564="",E564=""),"",SUMPRODUCT(($A$2:$A$581=A564)*($B$2:$B$581&lt;B564)*$I$2:$I$581))</f>
        <v>10</v>
      </c>
      <c r="I564">
        <f t="shared" si="8"/>
        <v>5</v>
      </c>
    </row>
    <row r="565" spans="1:9" ht="238">
      <c r="A565" t="s">
        <v>5760</v>
      </c>
      <c r="B565">
        <v>4</v>
      </c>
      <c r="C565" t="s">
        <v>181</v>
      </c>
      <c r="D565">
        <v>5</v>
      </c>
      <c r="E565" t="s">
        <v>2975</v>
      </c>
      <c r="F565">
        <v>8</v>
      </c>
      <c r="G565" s="10" t="s">
        <v>5772</v>
      </c>
      <c r="H565" cm="1">
        <f t="array" ref="H565">IF(OR(A565="",E565=""),"",SUMPRODUCT(($A$2:$A$581=A565)*($B$2:$B$581&lt;B565)*$I$2:$I$581))</f>
        <v>15</v>
      </c>
      <c r="I565">
        <f t="shared" si="8"/>
        <v>5</v>
      </c>
    </row>
    <row r="566" spans="1:9" ht="266">
      <c r="A566" t="s">
        <v>5760</v>
      </c>
      <c r="B566">
        <v>5</v>
      </c>
      <c r="C566" t="s">
        <v>276</v>
      </c>
      <c r="D566">
        <v>4</v>
      </c>
      <c r="E566" t="s">
        <v>204</v>
      </c>
      <c r="F566">
        <v>6</v>
      </c>
      <c r="G566" s="10" t="s">
        <v>5776</v>
      </c>
      <c r="H566" cm="1">
        <f t="array" ref="H566">IF(OR(A566="",E566=""),"",SUMPRODUCT(($A$2:$A$581=A566)*($B$2:$B$581&lt;B566)*$I$2:$I$581))</f>
        <v>20</v>
      </c>
      <c r="I566">
        <f t="shared" si="8"/>
        <v>5</v>
      </c>
    </row>
    <row r="567" spans="1:9" ht="154">
      <c r="A567" t="s">
        <v>5760</v>
      </c>
      <c r="B567">
        <v>6</v>
      </c>
      <c r="C567" t="s">
        <v>350</v>
      </c>
      <c r="D567">
        <v>3</v>
      </c>
      <c r="E567" t="s">
        <v>2537</v>
      </c>
      <c r="F567">
        <v>1</v>
      </c>
      <c r="G567" s="10" t="s">
        <v>5785</v>
      </c>
      <c r="H567" cm="1">
        <f t="array" ref="H567">IF(OR(A567="",E567=""),"",SUMPRODUCT(($A$2:$A$581=A567)*($B$2:$B$581&lt;B567)*$I$2:$I$581))</f>
        <v>25</v>
      </c>
      <c r="I567">
        <f t="shared" si="8"/>
        <v>1</v>
      </c>
    </row>
    <row r="568" spans="1:9" ht="182">
      <c r="A568" t="s">
        <v>5760</v>
      </c>
      <c r="B568">
        <v>7</v>
      </c>
      <c r="C568" t="s">
        <v>196</v>
      </c>
      <c r="D568">
        <v>2</v>
      </c>
      <c r="E568" t="s">
        <v>3685</v>
      </c>
      <c r="F568">
        <v>1</v>
      </c>
      <c r="G568" s="10" t="s">
        <v>5788</v>
      </c>
      <c r="H568" cm="1">
        <f t="array" ref="H568">IF(OR(A568="",E568=""),"",SUMPRODUCT(($A$2:$A$581=A568)*($B$2:$B$581&lt;B568)*$I$2:$I$581))</f>
        <v>26</v>
      </c>
      <c r="I568">
        <f t="shared" si="8"/>
        <v>1</v>
      </c>
    </row>
    <row r="569" spans="1:9" ht="252">
      <c r="A569" t="s">
        <v>5760</v>
      </c>
      <c r="B569">
        <v>8</v>
      </c>
      <c r="C569" t="s">
        <v>333</v>
      </c>
      <c r="D569">
        <v>2</v>
      </c>
      <c r="E569" t="s">
        <v>3852</v>
      </c>
      <c r="F569">
        <v>1</v>
      </c>
      <c r="G569" s="10" t="s">
        <v>5791</v>
      </c>
      <c r="H569" cm="1">
        <f t="array" ref="H569">IF(OR(A569="",E569=""),"",SUMPRODUCT(($A$2:$A$581=A569)*($B$2:$B$581&lt;B569)*$I$2:$I$581))</f>
        <v>27</v>
      </c>
      <c r="I569">
        <f t="shared" si="8"/>
        <v>1</v>
      </c>
    </row>
    <row r="570" spans="1:9" ht="168">
      <c r="A570" t="s">
        <v>5760</v>
      </c>
      <c r="B570">
        <v>9</v>
      </c>
      <c r="C570" t="s">
        <v>388</v>
      </c>
      <c r="D570">
        <v>1</v>
      </c>
      <c r="G570" s="10" t="s">
        <v>5794</v>
      </c>
      <c r="H570" t="str" cm="1">
        <f t="array" ref="H570">IF(OR(A570="",E570=""),"",SUMPRODUCT(($A$2:$A$581=A570)*($B$2:$B$581&lt;B570)*$I$2:$I$581))</f>
        <v/>
      </c>
      <c r="I570">
        <f t="shared" si="8"/>
        <v>0</v>
      </c>
    </row>
    <row r="571" spans="1:9" ht="112">
      <c r="A571" t="s">
        <v>5760</v>
      </c>
      <c r="B571">
        <v>10</v>
      </c>
      <c r="C571" t="s">
        <v>1216</v>
      </c>
      <c r="D571">
        <v>1</v>
      </c>
      <c r="G571" s="10" t="s">
        <v>5797</v>
      </c>
      <c r="H571" t="str" cm="1">
        <f t="array" ref="H571">IF(OR(A571="",E571=""),"",SUMPRODUCT(($A$2:$A$581=A571)*($B$2:$B$581&lt;B571)*$I$2:$I$581))</f>
        <v/>
      </c>
      <c r="I571">
        <f t="shared" si="8"/>
        <v>0</v>
      </c>
    </row>
    <row r="572" spans="1:9" ht="332">
      <c r="A572" t="s">
        <v>5883</v>
      </c>
      <c r="B572">
        <v>1</v>
      </c>
      <c r="C572" t="s">
        <v>1048</v>
      </c>
      <c r="D572">
        <v>24</v>
      </c>
      <c r="E572" t="s">
        <v>204</v>
      </c>
      <c r="F572">
        <v>19</v>
      </c>
      <c r="G572" s="10" t="s">
        <v>5886</v>
      </c>
      <c r="H572" cm="1">
        <f t="array" ref="H572">IF(OR(A572="",E572=""),"",SUMPRODUCT(($A$2:$A$581=A572)*($B$2:$B$581&lt;B572)*$I$2:$I$581))</f>
        <v>0</v>
      </c>
      <c r="I572">
        <f t="shared" si="8"/>
        <v>5</v>
      </c>
    </row>
    <row r="573" spans="1:9" ht="238">
      <c r="A573" t="s">
        <v>5883</v>
      </c>
      <c r="B573">
        <v>2</v>
      </c>
      <c r="C573" t="s">
        <v>181</v>
      </c>
      <c r="D573">
        <v>1</v>
      </c>
      <c r="E573" t="s">
        <v>1060</v>
      </c>
      <c r="F573">
        <v>4</v>
      </c>
      <c r="G573" s="10" t="s">
        <v>5889</v>
      </c>
      <c r="H573" cm="1">
        <f t="array" ref="H573">IF(OR(A573="",E573=""),"",SUMPRODUCT(($A$2:$A$581=A573)*($B$2:$B$581&lt;B573)*$I$2:$I$581))</f>
        <v>5</v>
      </c>
      <c r="I573">
        <f t="shared" si="8"/>
        <v>4</v>
      </c>
    </row>
    <row r="574" spans="1:9" ht="196">
      <c r="A574" t="s">
        <v>5883</v>
      </c>
      <c r="B574">
        <v>3</v>
      </c>
      <c r="C574" t="s">
        <v>202</v>
      </c>
      <c r="D574">
        <v>1</v>
      </c>
      <c r="E574" t="s">
        <v>185</v>
      </c>
      <c r="F574">
        <v>3</v>
      </c>
      <c r="G574" s="10" t="s">
        <v>5892</v>
      </c>
      <c r="H574" cm="1">
        <f t="array" ref="H574">IF(OR(A574="",E574=""),"",SUMPRODUCT(($A$2:$A$581=A574)*($B$2:$B$581&lt;B574)*$I$2:$I$581))</f>
        <v>9</v>
      </c>
      <c r="I574">
        <f t="shared" si="8"/>
        <v>3</v>
      </c>
    </row>
    <row r="575" spans="1:9" ht="293">
      <c r="A575" t="s">
        <v>5883</v>
      </c>
      <c r="B575">
        <v>4</v>
      </c>
      <c r="C575" t="s">
        <v>230</v>
      </c>
      <c r="D575">
        <v>1</v>
      </c>
      <c r="E575" t="s">
        <v>953</v>
      </c>
      <c r="F575">
        <v>2</v>
      </c>
      <c r="G575" s="10" t="s">
        <v>5894</v>
      </c>
      <c r="H575" cm="1">
        <f t="array" ref="H575">IF(OR(A575="",E575=""),"",SUMPRODUCT(($A$2:$A$581=A575)*($B$2:$B$581&lt;B575)*$I$2:$I$581))</f>
        <v>12</v>
      </c>
      <c r="I575">
        <f t="shared" si="8"/>
        <v>2</v>
      </c>
    </row>
    <row r="576" spans="1:9" ht="280">
      <c r="A576" t="s">
        <v>5883</v>
      </c>
      <c r="B576">
        <v>5</v>
      </c>
      <c r="C576" t="s">
        <v>241</v>
      </c>
      <c r="D576">
        <v>1</v>
      </c>
      <c r="E576" t="s">
        <v>177</v>
      </c>
      <c r="F576">
        <v>1</v>
      </c>
      <c r="G576" s="10" t="s">
        <v>5898</v>
      </c>
      <c r="H576" cm="1">
        <f t="array" ref="H576">IF(OR(A576="",E576=""),"",SUMPRODUCT(($A$2:$A$581=A576)*($B$2:$B$581&lt;B576)*$I$2:$I$581))</f>
        <v>14</v>
      </c>
      <c r="I576">
        <f t="shared" si="8"/>
        <v>1</v>
      </c>
    </row>
    <row r="577" spans="1:9" ht="266">
      <c r="A577" t="s">
        <v>5883</v>
      </c>
      <c r="B577">
        <v>6</v>
      </c>
      <c r="C577" t="s">
        <v>276</v>
      </c>
      <c r="D577">
        <v>1</v>
      </c>
      <c r="E577" t="s">
        <v>794</v>
      </c>
      <c r="F577">
        <v>1</v>
      </c>
      <c r="G577" s="10" t="s">
        <v>5902</v>
      </c>
      <c r="H577" cm="1">
        <f t="array" ref="H577">IF(OR(A577="",E577=""),"",SUMPRODUCT(($A$2:$A$581=A577)*($B$2:$B$581&lt;B577)*$I$2:$I$581))</f>
        <v>15</v>
      </c>
      <c r="I577">
        <f t="shared" si="8"/>
        <v>1</v>
      </c>
    </row>
    <row r="578" spans="1:9" ht="154">
      <c r="A578" t="s">
        <v>5883</v>
      </c>
      <c r="B578">
        <v>7</v>
      </c>
      <c r="C578" t="s">
        <v>2003</v>
      </c>
      <c r="D578">
        <v>1</v>
      </c>
      <c r="G578" s="10" t="s">
        <v>5905</v>
      </c>
      <c r="H578" t="str" cm="1">
        <f t="array" ref="H578">IF(OR(A578="",E578=""),"",SUMPRODUCT(($A$2:$A$581=A578)*($B$2:$B$581&lt;B578)*$I$2:$I$581))</f>
        <v/>
      </c>
      <c r="I578">
        <f t="shared" si="8"/>
        <v>0</v>
      </c>
    </row>
    <row r="579" spans="1:9" ht="409.6">
      <c r="A579" t="s">
        <v>5883</v>
      </c>
      <c r="B579">
        <v>8</v>
      </c>
      <c r="G579" s="10" t="s">
        <v>5908</v>
      </c>
      <c r="H579" t="str" cm="1">
        <f t="array" ref="H579">IF(OR(A579="",E579=""),"",SUMPRODUCT(($A$2:$A$581=A579)*($B$2:$B$581&lt;B579)*$I$2:$I$581))</f>
        <v/>
      </c>
      <c r="I579">
        <f t="shared" ref="I579:I581" si="9">IF(OR(A579="",E579="",NOT(ISNUMBER(F579))),0,MIN(F579,5))</f>
        <v>0</v>
      </c>
    </row>
    <row r="580" spans="1:9" ht="332">
      <c r="A580" t="s">
        <v>5883</v>
      </c>
      <c r="B580">
        <v>9</v>
      </c>
      <c r="G580" s="10" t="s">
        <v>5911</v>
      </c>
      <c r="H580" t="str" cm="1">
        <f t="array" ref="H580">IF(OR(A580="",E580=""),"",SUMPRODUCT(($A$2:$A$581=A580)*($B$2:$B$581&lt;B580)*$I$2:$I$581))</f>
        <v/>
      </c>
      <c r="I580">
        <f t="shared" si="9"/>
        <v>0</v>
      </c>
    </row>
    <row r="581" spans="1:9" ht="319">
      <c r="A581" t="s">
        <v>5883</v>
      </c>
      <c r="B581">
        <v>10</v>
      </c>
      <c r="G581" s="10" t="s">
        <v>5915</v>
      </c>
      <c r="H581" t="str" cm="1">
        <f t="array" ref="H581">IF(OR(A581="",E581=""),"",SUMPRODUCT(($A$2:$A$581=A581)*($B$2:$B$581&lt;B581)*$I$2:$I$581))</f>
        <v/>
      </c>
      <c r="I581">
        <f t="shared" si="9"/>
        <v>0</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9</vt:i4>
      </vt:variant>
      <vt:variant>
        <vt:lpstr>이름 지정된 범위</vt:lpstr>
      </vt:variant>
      <vt:variant>
        <vt:i4>3</vt:i4>
      </vt:variant>
    </vt:vector>
  </HeadingPairs>
  <TitlesOfParts>
    <vt:vector size="12" baseType="lpstr">
      <vt:lpstr>SIF DB</vt:lpstr>
      <vt:lpstr>Dashboard 입력</vt:lpstr>
      <vt:lpstr>기인물 위험정보제공</vt:lpstr>
      <vt:lpstr>Table 1</vt:lpstr>
      <vt:lpstr>Table 2</vt:lpstr>
      <vt:lpstr>Table 4</vt:lpstr>
      <vt:lpstr>작업개요 DB</vt:lpstr>
      <vt:lpstr>위험성평가 DB</vt:lpstr>
      <vt:lpstr>_Helper</vt:lpstr>
      <vt:lpstr>'Table 1'!Print_Area</vt:lpstr>
      <vt:lpstr>'Table 2'!Print_Area</vt:lpstr>
      <vt:lpstr>'Table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새 문서</dc:title>
  <cp:lastModifiedBy>김지환</cp:lastModifiedBy>
  <cp:lastPrinted>2026-03-21T04:41:59Z</cp:lastPrinted>
  <dcterms:created xsi:type="dcterms:W3CDTF">2026-03-14T16:29:25Z</dcterms:created>
  <dcterms:modified xsi:type="dcterms:W3CDTF">2026-04-12T03:31:24Z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2025-06-14T00:00:00Z</vt:filetime>
  </property>
  <property fmtid="{D5CDD505-2E9C-101B-9397-08002B2CF9AE}" pid="3" name="Creator">
    <vt:lpwstr>한컴오피스 Viewer</vt:lpwstr>
  </property>
  <property fmtid="{D5CDD505-2E9C-101B-9397-08002B2CF9AE}" pid="4" name="LastSaved">
    <vt:filetime>2026-03-14T00:00:00Z</vt:filetime>
  </property>
  <property fmtid="{D5CDD505-2E9C-101B-9397-08002B2CF9AE}" pid="5" name="Producer">
    <vt:lpwstr>iOS Version 18.5 (Build 22F76) Quartz PDFContext</vt:lpwstr>
  </property>
</Properties>
</file>